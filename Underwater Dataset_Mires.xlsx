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 Stats" sheetId="1" r:id="rId5"/>
    <sheet state="visible" name="SR202204_LDM-S_D01" sheetId="2" r:id="rId6"/>
    <sheet state="visible" name="NI202409_CAP-EC_D01" sheetId="3" r:id="rId7"/>
    <sheet state="visible" name="NI202409_CAP-EC_D02" sheetId="4" r:id="rId8"/>
    <sheet state="visible" name="NI202409_CAP-EC_D03" sheetId="5" r:id="rId9"/>
    <sheet state="visible" name="NI202409_CAP-EC_D04" sheetId="6" r:id="rId10"/>
    <sheet state="visible" name="NI202409_CAP-EC_D05" sheetId="7" r:id="rId11"/>
    <sheet state="visible" name="NI202409_CAP-EC_D06" sheetId="8" r:id="rId12"/>
  </sheets>
  <definedNames/>
  <calcPr/>
</workbook>
</file>

<file path=xl/sharedStrings.xml><?xml version="1.0" encoding="utf-8"?>
<sst xmlns="http://schemas.openxmlformats.org/spreadsheetml/2006/main" count="31866" uniqueCount="13786">
  <si>
    <t>Mire ID</t>
  </si>
  <si>
    <t>Occ totale</t>
  </si>
  <si>
    <t>Occ H3p</t>
  </si>
  <si>
    <t>Occ H9</t>
  </si>
  <si>
    <t>PicamV3</t>
  </si>
  <si>
    <t>Zones</t>
  </si>
  <si>
    <t>Cap de Nice</t>
  </si>
  <si>
    <t>Sirene</t>
  </si>
  <si>
    <t>The Mermaid Area</t>
  </si>
  <si>
    <t>Département :</t>
  </si>
  <si>
    <t>Var</t>
  </si>
  <si>
    <t xml:space="preserve">Ville : </t>
  </si>
  <si>
    <t>Saint-Raphaël</t>
  </si>
  <si>
    <t xml:space="preserve">Site : </t>
  </si>
  <si>
    <t>Lion de Mer, Sirene</t>
  </si>
  <si>
    <t xml:space="preserve">Date : </t>
  </si>
  <si>
    <t xml:space="preserve">ID : </t>
  </si>
  <si>
    <t>SR202204_LDM-S</t>
  </si>
  <si>
    <t xml:space="preserve">Camera : </t>
  </si>
  <si>
    <t>GoPro H3p</t>
  </si>
  <si>
    <t>NB Img :</t>
  </si>
  <si>
    <t>Stats</t>
  </si>
  <si>
    <t>Img avec mire(s) :</t>
  </si>
  <si>
    <t>1 M :</t>
  </si>
  <si>
    <t>2 M :</t>
  </si>
  <si>
    <t>3 M :</t>
  </si>
  <si>
    <t>4 M :</t>
  </si>
  <si>
    <t>5 M :</t>
  </si>
  <si>
    <t>X Ms :</t>
  </si>
  <si>
    <t>Images name</t>
  </si>
  <si>
    <t>Mire ?</t>
  </si>
  <si>
    <t>Quantité</t>
  </si>
  <si>
    <t>M26</t>
  </si>
  <si>
    <t>M28</t>
  </si>
  <si>
    <t>M29</t>
  </si>
  <si>
    <t>M30</t>
  </si>
  <si>
    <t>M33</t>
  </si>
  <si>
    <t>M26 occ:</t>
  </si>
  <si>
    <t>M28 occ:</t>
  </si>
  <si>
    <t>M29 occ:</t>
  </si>
  <si>
    <t>M30 occ:</t>
  </si>
  <si>
    <t>M33 occ:</t>
  </si>
  <si>
    <t>SR202204_LDM-S_D01_0000.JPG</t>
  </si>
  <si>
    <t>NO</t>
  </si>
  <si>
    <t>Combinaisons visibles de mires sur les images</t>
  </si>
  <si>
    <t>SR202204_LDM-S_D01_0001.JPG</t>
  </si>
  <si>
    <t>SR202204_LDM-S_D01_0002.JPG</t>
  </si>
  <si>
    <t>SR202204_LDM-S_D01_0003.JPG</t>
  </si>
  <si>
    <t>YES</t>
  </si>
  <si>
    <t>SR202204_LDM-S_D01_0004.JPG</t>
  </si>
  <si>
    <t>SR202204_LDM-S_D01_0005.JPG</t>
  </si>
  <si>
    <t>SR202204_LDM-S_D01_0006.JPG</t>
  </si>
  <si>
    <t>SR202204_LDM-S_D01_0007.JPG</t>
  </si>
  <si>
    <t>SR202204_LDM-S_D01_0008.JPG</t>
  </si>
  <si>
    <t>SR202204_LDM-S_D01_0009.JPG</t>
  </si>
  <si>
    <t>SR202204_LDM-S_D01_0010.JPG</t>
  </si>
  <si>
    <t>SR202204_LDM-S_D01_0011.JPG</t>
  </si>
  <si>
    <t>SR202204_LDM-S_D01_0012.JPG</t>
  </si>
  <si>
    <t>SR202204_LDM-S_D01_0013.JPG</t>
  </si>
  <si>
    <t>SR202204_LDM-S_D01_0014.JPG</t>
  </si>
  <si>
    <t>SR202204_LDM-S_D01_0015.JPG</t>
  </si>
  <si>
    <t>SR202204_LDM-S_D01_0016.JPG</t>
  </si>
  <si>
    <t>SR202204_LDM-S_D01_0017.JPG</t>
  </si>
  <si>
    <t>SR202204_LDM-S_D01_0018.JPG</t>
  </si>
  <si>
    <t>SR202204_LDM-S_D01_0019.JPG</t>
  </si>
  <si>
    <t>SR202204_LDM-S_D01_0020.JPG</t>
  </si>
  <si>
    <t>SR202204_LDM-S_D01_0021.JPG</t>
  </si>
  <si>
    <t>SR202204_LDM-S_D01_0022.JPG</t>
  </si>
  <si>
    <t>SR202204_LDM-S_D01_0023.JPG</t>
  </si>
  <si>
    <t>SR202204_LDM-S_D01_0024.JPG</t>
  </si>
  <si>
    <t>SR202204_LDM-S_D01_0025.JPG</t>
  </si>
  <si>
    <t>SR202204_LDM-S_D01_0026.JPG</t>
  </si>
  <si>
    <t>SR202204_LDM-S_D01_0027.JPG</t>
  </si>
  <si>
    <t>SR202204_LDM-S_D01_0028.JPG</t>
  </si>
  <si>
    <t>SR202204_LDM-S_D01_0029.JPG</t>
  </si>
  <si>
    <t>SR202204_LDM-S_D01_0030.JPG</t>
  </si>
  <si>
    <t>SR202204_LDM-S_D01_0031.JPG</t>
  </si>
  <si>
    <t>SR202204_LDM-S_D01_0032.JPG</t>
  </si>
  <si>
    <t>SR202204_LDM-S_D01_0033.JPG</t>
  </si>
  <si>
    <t>SR202204_LDM-S_D01_0034.JPG</t>
  </si>
  <si>
    <t>SR202204_LDM-S_D01_0035.JPG</t>
  </si>
  <si>
    <t>SR202204_LDM-S_D01_0036.JPG</t>
  </si>
  <si>
    <t>SR202204_LDM-S_D01_0037.JPG</t>
  </si>
  <si>
    <t>SR202204_LDM-S_D01_0038.JPG</t>
  </si>
  <si>
    <t>SR202204_LDM-S_D01_0039.JPG</t>
  </si>
  <si>
    <t>SR202204_LDM-S_D01_0040.JPG</t>
  </si>
  <si>
    <t>SR202204_LDM-S_D01_0041.JPG</t>
  </si>
  <si>
    <t>SR202204_LDM-S_D01_0042.JPG</t>
  </si>
  <si>
    <t>SR202204_LDM-S_D01_0043.JPG</t>
  </si>
  <si>
    <t>SR202204_LDM-S_D01_0044.JPG</t>
  </si>
  <si>
    <t>SR202204_LDM-S_D01_0045.JPG</t>
  </si>
  <si>
    <t>SR202204_LDM-S_D01_0046.JPG</t>
  </si>
  <si>
    <t>SR202204_LDM-S_D01_0047.JPG</t>
  </si>
  <si>
    <t>SR202204_LDM-S_D01_0048.JPG</t>
  </si>
  <si>
    <t>SR202204_LDM-S_D01_0049.JPG</t>
  </si>
  <si>
    <t>SR202204_LDM-S_D01_0050.JPG</t>
  </si>
  <si>
    <t>SR202204_LDM-S_D01_0051.JPG</t>
  </si>
  <si>
    <t>SR202204_LDM-S_D01_0052.JPG</t>
  </si>
  <si>
    <t>SR202204_LDM-S_D01_0053.JPG</t>
  </si>
  <si>
    <t>SR202204_LDM-S_D01_0054.JPG</t>
  </si>
  <si>
    <t>SR202204_LDM-S_D01_0055.JPG</t>
  </si>
  <si>
    <t>SR202204_LDM-S_D01_0056.JPG</t>
  </si>
  <si>
    <t>SR202204_LDM-S_D01_0057.JPG</t>
  </si>
  <si>
    <t>SR202204_LDM-S_D01_0058.JPG</t>
  </si>
  <si>
    <t>SR202204_LDM-S_D01_0059.JPG</t>
  </si>
  <si>
    <t>SR202204_LDM-S_D01_0060.JPG</t>
  </si>
  <si>
    <t>SR202204_LDM-S_D01_0061.JPG</t>
  </si>
  <si>
    <t>SR202204_LDM-S_D01_0062.JPG</t>
  </si>
  <si>
    <t>SR202204_LDM-S_D01_0063.JPG</t>
  </si>
  <si>
    <t>SR202204_LDM-S_D01_0064.JPG</t>
  </si>
  <si>
    <t>SR202204_LDM-S_D01_0065.JPG</t>
  </si>
  <si>
    <t>SR202204_LDM-S_D01_0066.JPG</t>
  </si>
  <si>
    <t>SR202204_LDM-S_D01_0067.JPG</t>
  </si>
  <si>
    <t>SR202204_LDM-S_D01_0068.JPG</t>
  </si>
  <si>
    <t>SR202204_LDM-S_D01_0069.JPG</t>
  </si>
  <si>
    <t>SR202204_LDM-S_D01_0070.JPG</t>
  </si>
  <si>
    <t>SR202204_LDM-S_D01_0071.JPG</t>
  </si>
  <si>
    <t>SR202204_LDM-S_D01_0072.JPG</t>
  </si>
  <si>
    <t>SR202204_LDM-S_D01_0073.JPG</t>
  </si>
  <si>
    <t>SR202204_LDM-S_D01_0074.JPG</t>
  </si>
  <si>
    <t>SR202204_LDM-S_D01_0075.JPG</t>
  </si>
  <si>
    <t>SR202204_LDM-S_D01_0076.JPG</t>
  </si>
  <si>
    <t>SR202204_LDM-S_D01_0077.JPG</t>
  </si>
  <si>
    <t>SR202204_LDM-S_D01_0078.JPG</t>
  </si>
  <si>
    <t>SR202204_LDM-S_D01_0079.JPG</t>
  </si>
  <si>
    <t>SR202204_LDM-S_D01_0080.JPG</t>
  </si>
  <si>
    <t>SR202204_LDM-S_D01_0081.JPG</t>
  </si>
  <si>
    <t>SR202204_LDM-S_D01_0082.JPG</t>
  </si>
  <si>
    <t>SR202204_LDM-S_D01_0083.JPG</t>
  </si>
  <si>
    <t>SR202204_LDM-S_D01_0084.JPG</t>
  </si>
  <si>
    <t>SR202204_LDM-S_D01_0085.JPG</t>
  </si>
  <si>
    <t>SR202204_LDM-S_D01_0086.JPG</t>
  </si>
  <si>
    <t>SR202204_LDM-S_D01_0087.JPG</t>
  </si>
  <si>
    <t>SR202204_LDM-S_D01_0088.JPG</t>
  </si>
  <si>
    <t>SR202204_LDM-S_D01_0089.JPG</t>
  </si>
  <si>
    <t>SR202204_LDM-S_D01_0090.JPG</t>
  </si>
  <si>
    <t>SR202204_LDM-S_D01_0091.JPG</t>
  </si>
  <si>
    <t>SR202204_LDM-S_D01_0092.JPG</t>
  </si>
  <si>
    <t>SR202204_LDM-S_D01_0093.JPG</t>
  </si>
  <si>
    <t>SR202204_LDM-S_D01_0094.JPG</t>
  </si>
  <si>
    <t>SR202204_LDM-S_D01_0095.JPG</t>
  </si>
  <si>
    <t>SR202204_LDM-S_D01_0096.JPG</t>
  </si>
  <si>
    <t>SR202204_LDM-S_D01_0097.JPG</t>
  </si>
  <si>
    <t>SR202204_LDM-S_D01_0098.JPG</t>
  </si>
  <si>
    <t>SR202204_LDM-S_D01_0099.JPG</t>
  </si>
  <si>
    <t>SR202204_LDM-S_D01_0100.JPG</t>
  </si>
  <si>
    <t>SR202204_LDM-S_D01_0101.JPG</t>
  </si>
  <si>
    <t>SR202204_LDM-S_D01_0102.JPG</t>
  </si>
  <si>
    <t>SR202204_LDM-S_D01_0103.JPG</t>
  </si>
  <si>
    <t>SR202204_LDM-S_D01_0104.JPG</t>
  </si>
  <si>
    <t>SR202204_LDM-S_D01_0105.JPG</t>
  </si>
  <si>
    <t>SR202204_LDM-S_D01_0106.JPG</t>
  </si>
  <si>
    <t>SR202204_LDM-S_D01_0107.JPG</t>
  </si>
  <si>
    <t>SR202204_LDM-S_D01_0108.JPG</t>
  </si>
  <si>
    <t>SR202204_LDM-S_D01_0109.JPG</t>
  </si>
  <si>
    <t>SR202204_LDM-S_D01_0110.JPG</t>
  </si>
  <si>
    <t>SR202204_LDM-S_D01_0111.JPG</t>
  </si>
  <si>
    <t>SR202204_LDM-S_D01_0112.JPG</t>
  </si>
  <si>
    <t>SR202204_LDM-S_D01_0113.JPG</t>
  </si>
  <si>
    <t>SR202204_LDM-S_D01_0114.JPG</t>
  </si>
  <si>
    <t>SR202204_LDM-S_D01_0115.JPG</t>
  </si>
  <si>
    <t>SR202204_LDM-S_D01_0116.JPG</t>
  </si>
  <si>
    <t>SR202204_LDM-S_D01_0117.JPG</t>
  </si>
  <si>
    <t>SR202204_LDM-S_D01_0118.JPG</t>
  </si>
  <si>
    <t>SR202204_LDM-S_D01_0119.JPG</t>
  </si>
  <si>
    <t>SR202204_LDM-S_D01_0120.JPG</t>
  </si>
  <si>
    <t>SR202204_LDM-S_D01_0121.JPG</t>
  </si>
  <si>
    <t>SR202204_LDM-S_D01_0122.JPG</t>
  </si>
  <si>
    <t>SR202204_LDM-S_D01_0123.JPG</t>
  </si>
  <si>
    <t>SR202204_LDM-S_D01_0124.JPG</t>
  </si>
  <si>
    <t>SR202204_LDM-S_D01_0125.JPG</t>
  </si>
  <si>
    <t>SR202204_LDM-S_D01_0126.JPG</t>
  </si>
  <si>
    <t>SR202204_LDM-S_D01_0127.JPG</t>
  </si>
  <si>
    <t>SR202204_LDM-S_D01_0128.JPG</t>
  </si>
  <si>
    <t>SR202204_LDM-S_D01_0129.JPG</t>
  </si>
  <si>
    <t>SR202204_LDM-S_D01_0130.JPG</t>
  </si>
  <si>
    <t>SR202204_LDM-S_D01_0131.JPG</t>
  </si>
  <si>
    <t>SR202204_LDM-S_D01_0132.JPG</t>
  </si>
  <si>
    <t>SR202204_LDM-S_D01_0133.JPG</t>
  </si>
  <si>
    <t>SR202204_LDM-S_D01_0134.JPG</t>
  </si>
  <si>
    <t>SR202204_LDM-S_D01_0135.JPG</t>
  </si>
  <si>
    <t>SR202204_LDM-S_D01_0136.JPG</t>
  </si>
  <si>
    <t>SR202204_LDM-S_D01_0137.JPG</t>
  </si>
  <si>
    <t>SR202204_LDM-S_D01_0138.JPG</t>
  </si>
  <si>
    <t>SR202204_LDM-S_D01_0139.JPG</t>
  </si>
  <si>
    <t>SR202204_LDM-S_D01_0140.JPG</t>
  </si>
  <si>
    <t>SR202204_LDM-S_D01_0141.JPG</t>
  </si>
  <si>
    <t>SR202204_LDM-S_D01_0142.JPG</t>
  </si>
  <si>
    <t>SR202204_LDM-S_D01_0143.JPG</t>
  </si>
  <si>
    <t>SR202204_LDM-S_D01_0144.JPG</t>
  </si>
  <si>
    <t>SR202204_LDM-S_D01_0145.JPG</t>
  </si>
  <si>
    <t>SR202204_LDM-S_D01_0146.JPG</t>
  </si>
  <si>
    <t>SR202204_LDM-S_D01_0147.JPG</t>
  </si>
  <si>
    <t>SR202204_LDM-S_D01_0148.JPG</t>
  </si>
  <si>
    <t>SR202204_LDM-S_D01_0149.JPG</t>
  </si>
  <si>
    <t>SR202204_LDM-S_D01_0150.JPG</t>
  </si>
  <si>
    <t>SR202204_LDM-S_D01_0151.JPG</t>
  </si>
  <si>
    <t>SR202204_LDM-S_D01_0152.JPG</t>
  </si>
  <si>
    <t>SR202204_LDM-S_D01_0153.JPG</t>
  </si>
  <si>
    <t>SR202204_LDM-S_D01_0154.JPG</t>
  </si>
  <si>
    <t>SR202204_LDM-S_D01_0155.JPG</t>
  </si>
  <si>
    <t>SR202204_LDM-S_D01_0156.JPG</t>
  </si>
  <si>
    <t>SR202204_LDM-S_D01_0157.JPG</t>
  </si>
  <si>
    <t>SR202204_LDM-S_D01_0158.JPG</t>
  </si>
  <si>
    <t>SR202204_LDM-S_D01_0159.JPG</t>
  </si>
  <si>
    <t>SR202204_LDM-S_D01_0160.JPG</t>
  </si>
  <si>
    <t>SR202204_LDM-S_D01_0161.JPG</t>
  </si>
  <si>
    <t>SR202204_LDM-S_D01_0162.JPG</t>
  </si>
  <si>
    <t>SR202204_LDM-S_D01_0163.JPG</t>
  </si>
  <si>
    <t>SR202204_LDM-S_D01_0164.JPG</t>
  </si>
  <si>
    <t>SR202204_LDM-S_D01_0165.JPG</t>
  </si>
  <si>
    <t>SR202204_LDM-S_D01_0166.JPG</t>
  </si>
  <si>
    <t>SR202204_LDM-S_D01_0167.JPG</t>
  </si>
  <si>
    <t>SR202204_LDM-S_D01_0168.JPG</t>
  </si>
  <si>
    <t>SR202204_LDM-S_D01_0169.JPG</t>
  </si>
  <si>
    <t>SR202204_LDM-S_D01_0170.JPG</t>
  </si>
  <si>
    <t>SR202204_LDM-S_D01_0171.JPG</t>
  </si>
  <si>
    <t>SR202204_LDM-S_D01_0172.JPG</t>
  </si>
  <si>
    <t>SR202204_LDM-S_D01_0173.JPG</t>
  </si>
  <si>
    <t>SR202204_LDM-S_D01_0174.JPG</t>
  </si>
  <si>
    <t>SR202204_LDM-S_D01_0175.JPG</t>
  </si>
  <si>
    <t>SR202204_LDM-S_D01_0176.JPG</t>
  </si>
  <si>
    <t>SR202204_LDM-S_D01_0177.JPG</t>
  </si>
  <si>
    <t>SR202204_LDM-S_D01_0178.JPG</t>
  </si>
  <si>
    <t>SR202204_LDM-S_D01_0179.JPG</t>
  </si>
  <si>
    <t>SR202204_LDM-S_D01_0180.JPG</t>
  </si>
  <si>
    <t>SR202204_LDM-S_D01_0181.JPG</t>
  </si>
  <si>
    <t>SR202204_LDM-S_D01_0182.JPG</t>
  </si>
  <si>
    <t>SR202204_LDM-S_D01_0183.JPG</t>
  </si>
  <si>
    <t>SR202204_LDM-S_D01_0184.JPG</t>
  </si>
  <si>
    <t>SR202204_LDM-S_D01_0185.JPG</t>
  </si>
  <si>
    <t>SR202204_LDM-S_D01_0186.JPG</t>
  </si>
  <si>
    <t>SR202204_LDM-S_D01_0187.JPG</t>
  </si>
  <si>
    <t>SR202204_LDM-S_D01_0188.JPG</t>
  </si>
  <si>
    <t>SR202204_LDM-S_D01_0189.JPG</t>
  </si>
  <si>
    <t>SR202204_LDM-S_D01_0190.JPG</t>
  </si>
  <si>
    <t>SR202204_LDM-S_D01_0191.JPG</t>
  </si>
  <si>
    <t>SR202204_LDM-S_D01_0192.JPG</t>
  </si>
  <si>
    <t>SR202204_LDM-S_D01_0193.JPG</t>
  </si>
  <si>
    <t>SR202204_LDM-S_D01_0194.JPG</t>
  </si>
  <si>
    <t>SR202204_LDM-S_D01_0195.JPG</t>
  </si>
  <si>
    <t>SR202204_LDM-S_D01_0196.JPG</t>
  </si>
  <si>
    <t>SR202204_LDM-S_D01_0197.JPG</t>
  </si>
  <si>
    <t>SR202204_LDM-S_D01_0198.JPG</t>
  </si>
  <si>
    <t>SR202204_LDM-S_D01_0199.JPG</t>
  </si>
  <si>
    <t>SR202204_LDM-S_D01_0200.JPG</t>
  </si>
  <si>
    <t>SR202204_LDM-S_D01_0201.JPG</t>
  </si>
  <si>
    <t>SR202204_LDM-S_D01_0202.JPG</t>
  </si>
  <si>
    <t>SR202204_LDM-S_D01_0203.JPG</t>
  </si>
  <si>
    <t>SR202204_LDM-S_D01_0204.JPG</t>
  </si>
  <si>
    <t>SR202204_LDM-S_D01_0205.JPG</t>
  </si>
  <si>
    <t>SR202204_LDM-S_D01_0206.JPG</t>
  </si>
  <si>
    <t>SR202204_LDM-S_D01_0207.JPG</t>
  </si>
  <si>
    <t>SR202204_LDM-S_D01_0208.JPG</t>
  </si>
  <si>
    <t>SR202204_LDM-S_D01_0209.JPG</t>
  </si>
  <si>
    <t>SR202204_LDM-S_D01_0210.JPG</t>
  </si>
  <si>
    <t>SR202204_LDM-S_D01_0211.JPG</t>
  </si>
  <si>
    <t>SR202204_LDM-S_D01_0212.JPG</t>
  </si>
  <si>
    <t>SR202204_LDM-S_D01_0213.JPG</t>
  </si>
  <si>
    <t>SR202204_LDM-S_D01_0214.JPG</t>
  </si>
  <si>
    <t>SR202204_LDM-S_D01_0215.JPG</t>
  </si>
  <si>
    <t>SR202204_LDM-S_D01_0216.JPG</t>
  </si>
  <si>
    <t>SR202204_LDM-S_D01_0217.JPG</t>
  </si>
  <si>
    <t>SR202204_LDM-S_D01_0218.JPG</t>
  </si>
  <si>
    <t>SR202204_LDM-S_D01_0219.JPG</t>
  </si>
  <si>
    <t>SR202204_LDM-S_D01_0220.JPG</t>
  </si>
  <si>
    <t>SR202204_LDM-S_D01_0221.JPG</t>
  </si>
  <si>
    <t>SR202204_LDM-S_D01_0222.JPG</t>
  </si>
  <si>
    <t>SR202204_LDM-S_D01_0223.JPG</t>
  </si>
  <si>
    <t>SR202204_LDM-S_D01_0224.JPG</t>
  </si>
  <si>
    <t>SR202204_LDM-S_D01_0225.JPG</t>
  </si>
  <si>
    <t>SR202204_LDM-S_D01_0226.JPG</t>
  </si>
  <si>
    <t>SR202204_LDM-S_D01_0227.JPG</t>
  </si>
  <si>
    <t>SR202204_LDM-S_D01_0228.JPG</t>
  </si>
  <si>
    <t>SR202204_LDM-S_D01_0229.JPG</t>
  </si>
  <si>
    <t>SR202204_LDM-S_D01_0230.JPG</t>
  </si>
  <si>
    <t>SR202204_LDM-S_D01_0231.JPG</t>
  </si>
  <si>
    <t>SR202204_LDM-S_D01_0232.JPG</t>
  </si>
  <si>
    <t>SR202204_LDM-S_D01_0233.JPG</t>
  </si>
  <si>
    <t>SR202204_LDM-S_D01_0234.JPG</t>
  </si>
  <si>
    <t>SR202204_LDM-S_D01_0235.JPG</t>
  </si>
  <si>
    <t>SR202204_LDM-S_D01_0236.JPG</t>
  </si>
  <si>
    <t>SR202204_LDM-S_D01_0237.JPG</t>
  </si>
  <si>
    <t>SR202204_LDM-S_D01_0238.JPG</t>
  </si>
  <si>
    <t>SR202204_LDM-S_D01_0239.JPG</t>
  </si>
  <si>
    <t>SR202204_LDM-S_D01_0240.JPG</t>
  </si>
  <si>
    <t>SR202204_LDM-S_D01_0241.JPG</t>
  </si>
  <si>
    <t>SR202204_LDM-S_D01_0242.JPG</t>
  </si>
  <si>
    <t>SR202204_LDM-S_D01_0243.JPG</t>
  </si>
  <si>
    <t>SR202204_LDM-S_D01_0244.JPG</t>
  </si>
  <si>
    <t>SR202204_LDM-S_D01_0245.JPG</t>
  </si>
  <si>
    <t>SR202204_LDM-S_D01_0246.JPG</t>
  </si>
  <si>
    <t>SR202204_LDM-S_D01_0247.JPG</t>
  </si>
  <si>
    <t>SR202204_LDM-S_D01_0248.JPG</t>
  </si>
  <si>
    <t>SR202204_LDM-S_D01_0249.JPG</t>
  </si>
  <si>
    <t>SR202204_LDM-S_D01_0250.JPG</t>
  </si>
  <si>
    <t>SR202204_LDM-S_D01_0251.JPG</t>
  </si>
  <si>
    <t>SR202204_LDM-S_D01_0252.JPG</t>
  </si>
  <si>
    <t>SR202204_LDM-S_D01_0253.JPG</t>
  </si>
  <si>
    <t>SR202204_LDM-S_D01_0254.JPG</t>
  </si>
  <si>
    <t>SR202204_LDM-S_D01_0255.JPG</t>
  </si>
  <si>
    <t>SR202204_LDM-S_D01_0256.JPG</t>
  </si>
  <si>
    <t>SR202204_LDM-S_D01_0257.JPG</t>
  </si>
  <si>
    <t>SR202204_LDM-S_D01_0258.JPG</t>
  </si>
  <si>
    <t>SR202204_LDM-S_D01_0259.JPG</t>
  </si>
  <si>
    <t>SR202204_LDM-S_D01_0260.JPG</t>
  </si>
  <si>
    <t>SR202204_LDM-S_D01_0261.JPG</t>
  </si>
  <si>
    <t>SR202204_LDM-S_D01_0262.JPG</t>
  </si>
  <si>
    <t>SR202204_LDM-S_D01_0263.JPG</t>
  </si>
  <si>
    <t>SR202204_LDM-S_D01_0264.JPG</t>
  </si>
  <si>
    <t>SR202204_LDM-S_D01_0265.JPG</t>
  </si>
  <si>
    <t>SR202204_LDM-S_D01_0266.JPG</t>
  </si>
  <si>
    <t>SR202204_LDM-S_D01_0267.JPG</t>
  </si>
  <si>
    <t>SR202204_LDM-S_D01_0268.JPG</t>
  </si>
  <si>
    <t>SR202204_LDM-S_D01_0269.JPG</t>
  </si>
  <si>
    <t>SR202204_LDM-S_D01_0270.JPG</t>
  </si>
  <si>
    <t>SR202204_LDM-S_D01_0271.JPG</t>
  </si>
  <si>
    <t>SR202204_LDM-S_D01_0272.JPG</t>
  </si>
  <si>
    <t>SR202204_LDM-S_D01_0273.JPG</t>
  </si>
  <si>
    <t>SR202204_LDM-S_D01_0274.JPG</t>
  </si>
  <si>
    <t>SR202204_LDM-S_D01_0275.JPG</t>
  </si>
  <si>
    <t>SR202204_LDM-S_D01_0276.JPG</t>
  </si>
  <si>
    <t>SR202204_LDM-S_D01_0277.JPG</t>
  </si>
  <si>
    <t>SR202204_LDM-S_D01_0278.JPG</t>
  </si>
  <si>
    <t>SR202204_LDM-S_D01_0279.JPG</t>
  </si>
  <si>
    <t>SR202204_LDM-S_D01_0280.JPG</t>
  </si>
  <si>
    <t>SR202204_LDM-S_D01_0281.JPG</t>
  </si>
  <si>
    <t>SR202204_LDM-S_D01_0282.JPG</t>
  </si>
  <si>
    <t>SR202204_LDM-S_D01_0283.JPG</t>
  </si>
  <si>
    <t>SR202204_LDM-S_D01_0284.JPG</t>
  </si>
  <si>
    <t>SR202204_LDM-S_D01_0285.JPG</t>
  </si>
  <si>
    <t>SR202204_LDM-S_D01_0286.JPG</t>
  </si>
  <si>
    <t>SR202204_LDM-S_D01_0287.JPG</t>
  </si>
  <si>
    <t>SR202204_LDM-S_D01_0288.JPG</t>
  </si>
  <si>
    <t>SR202204_LDM-S_D01_0289.JPG</t>
  </si>
  <si>
    <t>SR202204_LDM-S_D01_0290.JPG</t>
  </si>
  <si>
    <t>SR202204_LDM-S_D01_0291.JPG</t>
  </si>
  <si>
    <t>SR202204_LDM-S_D01_0292.JPG</t>
  </si>
  <si>
    <t>SR202204_LDM-S_D01_0293.JPG</t>
  </si>
  <si>
    <t>SR202204_LDM-S_D01_0294.JPG</t>
  </si>
  <si>
    <t>SR202204_LDM-S_D01_0295.JPG</t>
  </si>
  <si>
    <t>SR202204_LDM-S_D01_0296.JPG</t>
  </si>
  <si>
    <t>SR202204_LDM-S_D01_0297.JPG</t>
  </si>
  <si>
    <t>SR202204_LDM-S_D01_0298.JPG</t>
  </si>
  <si>
    <t>SR202204_LDM-S_D01_0299.JPG</t>
  </si>
  <si>
    <t>SR202204_LDM-S_D01_0300.JPG</t>
  </si>
  <si>
    <t>SR202204_LDM-S_D01_0301.JPG</t>
  </si>
  <si>
    <t>SR202204_LDM-S_D01_0302.JPG</t>
  </si>
  <si>
    <t>SR202204_LDM-S_D01_0303.JPG</t>
  </si>
  <si>
    <t>SR202204_LDM-S_D01_0304.JPG</t>
  </si>
  <si>
    <t>SR202204_LDM-S_D01_0305.JPG</t>
  </si>
  <si>
    <t>SR202204_LDM-S_D01_0306.JPG</t>
  </si>
  <si>
    <t>SR202204_LDM-S_D01_0307.JPG</t>
  </si>
  <si>
    <t>SR202204_LDM-S_D01_0308.JPG</t>
  </si>
  <si>
    <t>SR202204_LDM-S_D01_0309.JPG</t>
  </si>
  <si>
    <t>SR202204_LDM-S_D01_0310.JPG</t>
  </si>
  <si>
    <t>SR202204_LDM-S_D01_0311.JPG</t>
  </si>
  <si>
    <t>SR202204_LDM-S_D01_0312.JPG</t>
  </si>
  <si>
    <t>SR202204_LDM-S_D01_0313.JPG</t>
  </si>
  <si>
    <t>SR202204_LDM-S_D01_0314.JPG</t>
  </si>
  <si>
    <t>SR202204_LDM-S_D01_0315.JPG</t>
  </si>
  <si>
    <t>SR202204_LDM-S_D01_0316.JPG</t>
  </si>
  <si>
    <t>SR202204_LDM-S_D01_0317.JPG</t>
  </si>
  <si>
    <t>SR202204_LDM-S_D01_0318.JPG</t>
  </si>
  <si>
    <t>SR202204_LDM-S_D01_0319.JPG</t>
  </si>
  <si>
    <t>SR202204_LDM-S_D01_0320.JPG</t>
  </si>
  <si>
    <t>SR202204_LDM-S_D01_0321.JPG</t>
  </si>
  <si>
    <t>SR202204_LDM-S_D01_0322.JPG</t>
  </si>
  <si>
    <t>SR202204_LDM-S_D01_0323.JPG</t>
  </si>
  <si>
    <t>SR202204_LDM-S_D01_0324.JPG</t>
  </si>
  <si>
    <t>SR202204_LDM-S_D01_0325.JPG</t>
  </si>
  <si>
    <t>SR202204_LDM-S_D01_0326.JPG</t>
  </si>
  <si>
    <t>SR202204_LDM-S_D01_0327.JPG</t>
  </si>
  <si>
    <t>SR202204_LDM-S_D01_0328.JPG</t>
  </si>
  <si>
    <t>SR202204_LDM-S_D01_0329.JPG</t>
  </si>
  <si>
    <t>SR202204_LDM-S_D01_0330.JPG</t>
  </si>
  <si>
    <t>SR202204_LDM-S_D01_0331.JPG</t>
  </si>
  <si>
    <t>SR202204_LDM-S_D01_0332.JPG</t>
  </si>
  <si>
    <t>SR202204_LDM-S_D01_0333.JPG</t>
  </si>
  <si>
    <t>SR202204_LDM-S_D01_0334.JPG</t>
  </si>
  <si>
    <t>SR202204_LDM-S_D01_0335.JPG</t>
  </si>
  <si>
    <t>SR202204_LDM-S_D01_0336.JPG</t>
  </si>
  <si>
    <t>SR202204_LDM-S_D01_0337.JPG</t>
  </si>
  <si>
    <t>SR202204_LDM-S_D01_0338.JPG</t>
  </si>
  <si>
    <t>SR202204_LDM-S_D01_0339.JPG</t>
  </si>
  <si>
    <t>SR202204_LDM-S_D01_0340.JPG</t>
  </si>
  <si>
    <t>SR202204_LDM-S_D01_0341.JPG</t>
  </si>
  <si>
    <t>SR202204_LDM-S_D01_0342.JPG</t>
  </si>
  <si>
    <t>SR202204_LDM-S_D01_0343.JPG</t>
  </si>
  <si>
    <t>SR202204_LDM-S_D01_0344.JPG</t>
  </si>
  <si>
    <t>SR202204_LDM-S_D01_0345.JPG</t>
  </si>
  <si>
    <t>SR202204_LDM-S_D01_0346.JPG</t>
  </si>
  <si>
    <t>SR202204_LDM-S_D01_0347.JPG</t>
  </si>
  <si>
    <t>SR202204_LDM-S_D01_0348.JPG</t>
  </si>
  <si>
    <t>SR202204_LDM-S_D01_0349.JPG</t>
  </si>
  <si>
    <t>SR202204_LDM-S_D01_0350.JPG</t>
  </si>
  <si>
    <t>SR202204_LDM-S_D01_0351.JPG</t>
  </si>
  <si>
    <t>SR202204_LDM-S_D01_0352.JPG</t>
  </si>
  <si>
    <t>SR202204_LDM-S_D01_0353.JPG</t>
  </si>
  <si>
    <t>SR202204_LDM-S_D01_0354.JPG</t>
  </si>
  <si>
    <t>SR202204_LDM-S_D01_0355.JPG</t>
  </si>
  <si>
    <t>SR202204_LDM-S_D01_0356.JPG</t>
  </si>
  <si>
    <t>SR202204_LDM-S_D01_0357.JPG</t>
  </si>
  <si>
    <t>SR202204_LDM-S_D01_0358.JPG</t>
  </si>
  <si>
    <t>SR202204_LDM-S_D01_0359.JPG</t>
  </si>
  <si>
    <t>SR202204_LDM-S_D01_0360.JPG</t>
  </si>
  <si>
    <t>SR202204_LDM-S_D01_0361.JPG</t>
  </si>
  <si>
    <t>SR202204_LDM-S_D01_0362.JPG</t>
  </si>
  <si>
    <t>SR202204_LDM-S_D01_0363.JPG</t>
  </si>
  <si>
    <t>SR202204_LDM-S_D01_0364.JPG</t>
  </si>
  <si>
    <t>SR202204_LDM-S_D01_0365.JPG</t>
  </si>
  <si>
    <t>SR202204_LDM-S_D01_0366.JPG</t>
  </si>
  <si>
    <t>SR202204_LDM-S_D01_0367.JPG</t>
  </si>
  <si>
    <t>SR202204_LDM-S_D01_0368.JPG</t>
  </si>
  <si>
    <t>SR202204_LDM-S_D01_0369.JPG</t>
  </si>
  <si>
    <t>SR202204_LDM-S_D01_0370.JPG</t>
  </si>
  <si>
    <t>SR202204_LDM-S_D01_0371.JPG</t>
  </si>
  <si>
    <t>SR202204_LDM-S_D01_0372.JPG</t>
  </si>
  <si>
    <t>SR202204_LDM-S_D01_0373.JPG</t>
  </si>
  <si>
    <t>SR202204_LDM-S_D01_0374.JPG</t>
  </si>
  <si>
    <t>SR202204_LDM-S_D01_0375.JPG</t>
  </si>
  <si>
    <t>SR202204_LDM-S_D01_0376.JPG</t>
  </si>
  <si>
    <t>SR202204_LDM-S_D01_0377.JPG</t>
  </si>
  <si>
    <t>SR202204_LDM-S_D01_0378.JPG</t>
  </si>
  <si>
    <t>SR202204_LDM-S_D01_0379.JPG</t>
  </si>
  <si>
    <t>SR202204_LDM-S_D01_0380.JPG</t>
  </si>
  <si>
    <t>SR202204_LDM-S_D01_0381.JPG</t>
  </si>
  <si>
    <t>SR202204_LDM-S_D01_0382.JPG</t>
  </si>
  <si>
    <t>SR202204_LDM-S_D01_0383.JPG</t>
  </si>
  <si>
    <t>SR202204_LDM-S_D01_0384.JPG</t>
  </si>
  <si>
    <t>SR202204_LDM-S_D01_0385.JPG</t>
  </si>
  <si>
    <t>SR202204_LDM-S_D01_0386.JPG</t>
  </si>
  <si>
    <t>SR202204_LDM-S_D01_0387.JPG</t>
  </si>
  <si>
    <t>SR202204_LDM-S_D01_0388.JPG</t>
  </si>
  <si>
    <t>SR202204_LDM-S_D01_0389.JPG</t>
  </si>
  <si>
    <t>SR202204_LDM-S_D01_0390.JPG</t>
  </si>
  <si>
    <t>SR202204_LDM-S_D01_0391.JPG</t>
  </si>
  <si>
    <t>SR202204_LDM-S_D01_0392.JPG</t>
  </si>
  <si>
    <t>SR202204_LDM-S_D01_0393.JPG</t>
  </si>
  <si>
    <t>SR202204_LDM-S_D01_0394.JPG</t>
  </si>
  <si>
    <t>SR202204_LDM-S_D01_0395.JPG</t>
  </si>
  <si>
    <t>SR202204_LDM-S_D01_0396.JPG</t>
  </si>
  <si>
    <t>SR202204_LDM-S_D01_0397.JPG</t>
  </si>
  <si>
    <t>SR202204_LDM-S_D01_0398.JPG</t>
  </si>
  <si>
    <t>SR202204_LDM-S_D01_0399.JPG</t>
  </si>
  <si>
    <t>SR202204_LDM-S_D01_0400.JPG</t>
  </si>
  <si>
    <t>SR202204_LDM-S_D01_0401.JPG</t>
  </si>
  <si>
    <t>SR202204_LDM-S_D01_0402.JPG</t>
  </si>
  <si>
    <t>SR202204_LDM-S_D01_0403.JPG</t>
  </si>
  <si>
    <t>SR202204_LDM-S_D01_0404.JPG</t>
  </si>
  <si>
    <t>SR202204_LDM-S_D01_0405.JPG</t>
  </si>
  <si>
    <t>SR202204_LDM-S_D01_0406.JPG</t>
  </si>
  <si>
    <t>SR202204_LDM-S_D01_0407.JPG</t>
  </si>
  <si>
    <t>SR202204_LDM-S_D01_0408.JPG</t>
  </si>
  <si>
    <t>SR202204_LDM-S_D01_0409.JPG</t>
  </si>
  <si>
    <t>SR202204_LDM-S_D01_0410.JPG</t>
  </si>
  <si>
    <t>SR202204_LDM-S_D01_0411.JPG</t>
  </si>
  <si>
    <t>SR202204_LDM-S_D01_0412.JPG</t>
  </si>
  <si>
    <t>SR202204_LDM-S_D01_0413.JPG</t>
  </si>
  <si>
    <t>SR202204_LDM-S_D01_0414.JPG</t>
  </si>
  <si>
    <t>SR202204_LDM-S_D01_0415.JPG</t>
  </si>
  <si>
    <t>SR202204_LDM-S_D01_0416.JPG</t>
  </si>
  <si>
    <t>SR202204_LDM-S_D01_0417.JPG</t>
  </si>
  <si>
    <t>SR202204_LDM-S_D01_0418.JPG</t>
  </si>
  <si>
    <t>SR202204_LDM-S_D01_0419.JPG</t>
  </si>
  <si>
    <t>SR202204_LDM-S_D01_0420.JPG</t>
  </si>
  <si>
    <t>SR202204_LDM-S_D01_0421.JPG</t>
  </si>
  <si>
    <t>SR202204_LDM-S_D01_0422.JPG</t>
  </si>
  <si>
    <t>SR202204_LDM-S_D01_0423.JPG</t>
  </si>
  <si>
    <t>SR202204_LDM-S_D01_0424.JPG</t>
  </si>
  <si>
    <t>SR202204_LDM-S_D01_0425.JPG</t>
  </si>
  <si>
    <t>SR202204_LDM-S_D01_0426.JPG</t>
  </si>
  <si>
    <t>SR202204_LDM-S_D01_0427.JPG</t>
  </si>
  <si>
    <t>SR202204_LDM-S_D01_0428.JPG</t>
  </si>
  <si>
    <t>SR202204_LDM-S_D01_0429.JPG</t>
  </si>
  <si>
    <t>SR202204_LDM-S_D01_0430.JPG</t>
  </si>
  <si>
    <t>SR202204_LDM-S_D01_0431.JPG</t>
  </si>
  <si>
    <t>SR202204_LDM-S_D01_0432.JPG</t>
  </si>
  <si>
    <t>SR202204_LDM-S_D01_0433.JPG</t>
  </si>
  <si>
    <t>SR202204_LDM-S_D01_0434.JPG</t>
  </si>
  <si>
    <t>SR202204_LDM-S_D01_0435.JPG</t>
  </si>
  <si>
    <t>SR202204_LDM-S_D01_0436.JPG</t>
  </si>
  <si>
    <t>SR202204_LDM-S_D01_0437.JPG</t>
  </si>
  <si>
    <t>SR202204_LDM-S_D01_0438.JPG</t>
  </si>
  <si>
    <t>SR202204_LDM-S_D01_0439.JPG</t>
  </si>
  <si>
    <t>SR202204_LDM-S_D01_0440.JPG</t>
  </si>
  <si>
    <t>SR202204_LDM-S_D01_0441.JPG</t>
  </si>
  <si>
    <t>SR202204_LDM-S_D01_0442.JPG</t>
  </si>
  <si>
    <t>SR202204_LDM-S_D01_0443.JPG</t>
  </si>
  <si>
    <t>SR202204_LDM-S_D01_0444.JPG</t>
  </si>
  <si>
    <t>SR202204_LDM-S_D01_0445.JPG</t>
  </si>
  <si>
    <t>SR202204_LDM-S_D01_0446.JPG</t>
  </si>
  <si>
    <t>SR202204_LDM-S_D01_0447.JPG</t>
  </si>
  <si>
    <t>SR202204_LDM-S_D01_0448.JPG</t>
  </si>
  <si>
    <t>SR202204_LDM-S_D01_0449.JPG</t>
  </si>
  <si>
    <t>SR202204_LDM-S_D01_0450.JPG</t>
  </si>
  <si>
    <t>SR202204_LDM-S_D01_0451.JPG</t>
  </si>
  <si>
    <t>SR202204_LDM-S_D01_0452.JPG</t>
  </si>
  <si>
    <t>SR202204_LDM-S_D01_0453.JPG</t>
  </si>
  <si>
    <t>SR202204_LDM-S_D01_0454.JPG</t>
  </si>
  <si>
    <t>SR202204_LDM-S_D01_0455.JPG</t>
  </si>
  <si>
    <t>SR202204_LDM-S_D01_0456.JPG</t>
  </si>
  <si>
    <t>SR202204_LDM-S_D01_0457.JPG</t>
  </si>
  <si>
    <t>SR202204_LDM-S_D01_0458.JPG</t>
  </si>
  <si>
    <t>SR202204_LDM-S_D01_0459.JPG</t>
  </si>
  <si>
    <t>SR202204_LDM-S_D01_0460.JPG</t>
  </si>
  <si>
    <t>SR202204_LDM-S_D01_0461.JPG</t>
  </si>
  <si>
    <t>SR202204_LDM-S_D01_0462.JPG</t>
  </si>
  <si>
    <t>SR202204_LDM-S_D01_0463.JPG</t>
  </si>
  <si>
    <t>SR202204_LDM-S_D01_0464.JPG</t>
  </si>
  <si>
    <t>SR202204_LDM-S_D01_0465.JPG</t>
  </si>
  <si>
    <t>SR202204_LDM-S_D01_0466.JPG</t>
  </si>
  <si>
    <t>SR202204_LDM-S_D01_0467.JPG</t>
  </si>
  <si>
    <t>SR202204_LDM-S_D01_0468.JPG</t>
  </si>
  <si>
    <t>SR202204_LDM-S_D01_0469.JPG</t>
  </si>
  <si>
    <t>SR202204_LDM-S_D01_0470.JPG</t>
  </si>
  <si>
    <t>SR202204_LDM-S_D01_0471.JPG</t>
  </si>
  <si>
    <t>SR202204_LDM-S_D01_0472.JPG</t>
  </si>
  <si>
    <t>SR202204_LDM-S_D01_0473.JPG</t>
  </si>
  <si>
    <t>SR202204_LDM-S_D01_0474.JPG</t>
  </si>
  <si>
    <t>SR202204_LDM-S_D01_0475.JPG</t>
  </si>
  <si>
    <t>SR202204_LDM-S_D01_0476.JPG</t>
  </si>
  <si>
    <t>SR202204_LDM-S_D01_0477.JPG</t>
  </si>
  <si>
    <t>SR202204_LDM-S_D01_0478.JPG</t>
  </si>
  <si>
    <t>SR202204_LDM-S_D01_0479.JPG</t>
  </si>
  <si>
    <t>SR202204_LDM-S_D01_0480.JPG</t>
  </si>
  <si>
    <t>SR202204_LDM-S_D01_0481.JPG</t>
  </si>
  <si>
    <t>SR202204_LDM-S_D01_0482.JPG</t>
  </si>
  <si>
    <t>SR202204_LDM-S_D01_0483.JPG</t>
  </si>
  <si>
    <t>SR202204_LDM-S_D01_0484.JPG</t>
  </si>
  <si>
    <t>SR202204_LDM-S_D01_0485.JPG</t>
  </si>
  <si>
    <t>SR202204_LDM-S_D01_0486.JPG</t>
  </si>
  <si>
    <t>SR202204_LDM-S_D01_0487.JPG</t>
  </si>
  <si>
    <t>SR202204_LDM-S_D01_0488.JPG</t>
  </si>
  <si>
    <t>SR202204_LDM-S_D01_0489.JPG</t>
  </si>
  <si>
    <t>SR202204_LDM-S_D01_0490.JPG</t>
  </si>
  <si>
    <t>SR202204_LDM-S_D01_0491.JPG</t>
  </si>
  <si>
    <t>SR202204_LDM-S_D01_0492.JPG</t>
  </si>
  <si>
    <t>SR202204_LDM-S_D01_0493.JPG</t>
  </si>
  <si>
    <t>SR202204_LDM-S_D01_0494.JPG</t>
  </si>
  <si>
    <t>SR202204_LDM-S_D01_0495.JPG</t>
  </si>
  <si>
    <t>SR202204_LDM-S_D01_0496.JPG</t>
  </si>
  <si>
    <t>SR202204_LDM-S_D01_0497.JPG</t>
  </si>
  <si>
    <t>SR202204_LDM-S_D01_0498.JPG</t>
  </si>
  <si>
    <t>SR202204_LDM-S_D01_0499.JPG</t>
  </si>
  <si>
    <t>SR202204_LDM-S_D01_0500.JPG</t>
  </si>
  <si>
    <t>SR202204_LDM-S_D01_0501.JPG</t>
  </si>
  <si>
    <t>SR202204_LDM-S_D01_0502.JPG</t>
  </si>
  <si>
    <t>SR202204_LDM-S_D01_0503.JPG</t>
  </si>
  <si>
    <t>SR202204_LDM-S_D01_0504.JPG</t>
  </si>
  <si>
    <t>SR202204_LDM-S_D01_0505.JPG</t>
  </si>
  <si>
    <t>SR202204_LDM-S_D01_0506.JPG</t>
  </si>
  <si>
    <t>SR202204_LDM-S_D01_0507.JPG</t>
  </si>
  <si>
    <t>SR202204_LDM-S_D01_0508.JPG</t>
  </si>
  <si>
    <t>SR202204_LDM-S_D01_0509.JPG</t>
  </si>
  <si>
    <t>SR202204_LDM-S_D01_0510.JPG</t>
  </si>
  <si>
    <t>SR202204_LDM-S_D01_0511.JPG</t>
  </si>
  <si>
    <t>SR202204_LDM-S_D01_0512.JPG</t>
  </si>
  <si>
    <t>SR202204_LDM-S_D01_0513.JPG</t>
  </si>
  <si>
    <t>SR202204_LDM-S_D01_0514.JPG</t>
  </si>
  <si>
    <t>SR202204_LDM-S_D01_0515.JPG</t>
  </si>
  <si>
    <t>SR202204_LDM-S_D01_0516.JPG</t>
  </si>
  <si>
    <t>SR202204_LDM-S_D01_0517.JPG</t>
  </si>
  <si>
    <t>SR202204_LDM-S_D01_0518.JPG</t>
  </si>
  <si>
    <t>SR202204_LDM-S_D01_0519.JPG</t>
  </si>
  <si>
    <t>SR202204_LDM-S_D01_0520.JPG</t>
  </si>
  <si>
    <t>SR202204_LDM-S_D01_0521.JPG</t>
  </si>
  <si>
    <t>SR202204_LDM-S_D01_0522.JPG</t>
  </si>
  <si>
    <t>SR202204_LDM-S_D01_0523.JPG</t>
  </si>
  <si>
    <t>SR202204_LDM-S_D01_0524.JPG</t>
  </si>
  <si>
    <t>SR202204_LDM-S_D01_0525.JPG</t>
  </si>
  <si>
    <t>SR202204_LDM-S_D01_0526.JPG</t>
  </si>
  <si>
    <t>SR202204_LDM-S_D01_0527.JPG</t>
  </si>
  <si>
    <t>SR202204_LDM-S_D01_0528.JPG</t>
  </si>
  <si>
    <t>SR202204_LDM-S_D01_0529.JPG</t>
  </si>
  <si>
    <t>SR202204_LDM-S_D01_0530.JPG</t>
  </si>
  <si>
    <t>SR202204_LDM-S_D01_0531.JPG</t>
  </si>
  <si>
    <t>SR202204_LDM-S_D01_0532.JPG</t>
  </si>
  <si>
    <t>SR202204_LDM-S_D01_0533.JPG</t>
  </si>
  <si>
    <t>SR202204_LDM-S_D01_0534.JPG</t>
  </si>
  <si>
    <t>SR202204_LDM-S_D01_0535.JPG</t>
  </si>
  <si>
    <t>SR202204_LDM-S_D01_0536.JPG</t>
  </si>
  <si>
    <t>SR202204_LDM-S_D01_0537.JPG</t>
  </si>
  <si>
    <t>SR202204_LDM-S_D01_0538.JPG</t>
  </si>
  <si>
    <t>SR202204_LDM-S_D01_0539.JPG</t>
  </si>
  <si>
    <t>SR202204_LDM-S_D01_0540.JPG</t>
  </si>
  <si>
    <t>SR202204_LDM-S_D01_0541.JPG</t>
  </si>
  <si>
    <t>SR202204_LDM-S_D01_0542.JPG</t>
  </si>
  <si>
    <t>SR202204_LDM-S_D01_0543.JPG</t>
  </si>
  <si>
    <t>SR202204_LDM-S_D01_0544.JPG</t>
  </si>
  <si>
    <t>SR202204_LDM-S_D01_0545.JPG</t>
  </si>
  <si>
    <t>SR202204_LDM-S_D01_0546.JPG</t>
  </si>
  <si>
    <t>SR202204_LDM-S_D01_0547.JPG</t>
  </si>
  <si>
    <t>SR202204_LDM-S_D01_0548.JPG</t>
  </si>
  <si>
    <t>SR202204_LDM-S_D01_0549.JPG</t>
  </si>
  <si>
    <t>SR202204_LDM-S_D01_0550.JPG</t>
  </si>
  <si>
    <t>SR202204_LDM-S_D01_0551.JPG</t>
  </si>
  <si>
    <t>SR202204_LDM-S_D01_0552.JPG</t>
  </si>
  <si>
    <t>SR202204_LDM-S_D01_0553.JPG</t>
  </si>
  <si>
    <t>SR202204_LDM-S_D01_0554.JPG</t>
  </si>
  <si>
    <t>SR202204_LDM-S_D01_0555.JPG</t>
  </si>
  <si>
    <t>SR202204_LDM-S_D01_0556.JPG</t>
  </si>
  <si>
    <t>SR202204_LDM-S_D01_0557.JPG</t>
  </si>
  <si>
    <t>SR202204_LDM-S_D01_0558.JPG</t>
  </si>
  <si>
    <t>SR202204_LDM-S_D01_0559.JPG</t>
  </si>
  <si>
    <t>SR202204_LDM-S_D01_0560.JPG</t>
  </si>
  <si>
    <t>SR202204_LDM-S_D01_0561.JPG</t>
  </si>
  <si>
    <t>SR202204_LDM-S_D01_0562.JPG</t>
  </si>
  <si>
    <t>SR202204_LDM-S_D01_0563.JPG</t>
  </si>
  <si>
    <t>SR202204_LDM-S_D01_0564.JPG</t>
  </si>
  <si>
    <t>SR202204_LDM-S_D01_0565.JPG</t>
  </si>
  <si>
    <t>SR202204_LDM-S_D01_0566.JPG</t>
  </si>
  <si>
    <t>SR202204_LDM-S_D01_0567.JPG</t>
  </si>
  <si>
    <t>SR202204_LDM-S_D01_0568.JPG</t>
  </si>
  <si>
    <t>SR202204_LDM-S_D01_0569.JPG</t>
  </si>
  <si>
    <t>SR202204_LDM-S_D01_0570.JPG</t>
  </si>
  <si>
    <t>SR202204_LDM-S_D01_0571.JPG</t>
  </si>
  <si>
    <t>SR202204_LDM-S_D01_0572.JPG</t>
  </si>
  <si>
    <t>SR202204_LDM-S_D01_0573.JPG</t>
  </si>
  <si>
    <t>SR202204_LDM-S_D01_0574.JPG</t>
  </si>
  <si>
    <t>SR202204_LDM-S_D01_0575.JPG</t>
  </si>
  <si>
    <t>SR202204_LDM-S_D01_0576.JPG</t>
  </si>
  <si>
    <t>SR202204_LDM-S_D01_0577.JPG</t>
  </si>
  <si>
    <t>SR202204_LDM-S_D01_0578.JPG</t>
  </si>
  <si>
    <t>SR202204_LDM-S_D01_0579.JPG</t>
  </si>
  <si>
    <t>SR202204_LDM-S_D01_0580.JPG</t>
  </si>
  <si>
    <t>SR202204_LDM-S_D01_0581.JPG</t>
  </si>
  <si>
    <t>SR202204_LDM-S_D01_0582.JPG</t>
  </si>
  <si>
    <t>SR202204_LDM-S_D01_0583.JPG</t>
  </si>
  <si>
    <t>SR202204_LDM-S_D01_0584.JPG</t>
  </si>
  <si>
    <t>SR202204_LDM-S_D01_0585.JPG</t>
  </si>
  <si>
    <t>SR202204_LDM-S_D01_0586.JPG</t>
  </si>
  <si>
    <t>SR202204_LDM-S_D01_0587.JPG</t>
  </si>
  <si>
    <t>SR202204_LDM-S_D01_0588.JPG</t>
  </si>
  <si>
    <t>SR202204_LDM-S_D01_0589.JPG</t>
  </si>
  <si>
    <t>SR202204_LDM-S_D01_0590.JPG</t>
  </si>
  <si>
    <t>SR202204_LDM-S_D01_0591.JPG</t>
  </si>
  <si>
    <t>SR202204_LDM-S_D01_0592.JPG</t>
  </si>
  <si>
    <t>SR202204_LDM-S_D01_0593.JPG</t>
  </si>
  <si>
    <t>SR202204_LDM-S_D01_0594.JPG</t>
  </si>
  <si>
    <t>SR202204_LDM-S_D01_0595.JPG</t>
  </si>
  <si>
    <t>SR202204_LDM-S_D01_0596.JPG</t>
  </si>
  <si>
    <t>SR202204_LDM-S_D01_0597.JPG</t>
  </si>
  <si>
    <t>SR202204_LDM-S_D01_0598.JPG</t>
  </si>
  <si>
    <t>SR202204_LDM-S_D01_0599.JPG</t>
  </si>
  <si>
    <t>SR202204_LDM-S_D01_0600.JPG</t>
  </si>
  <si>
    <t>SR202204_LDM-S_D01_0601.JPG</t>
  </si>
  <si>
    <t>SR202204_LDM-S_D01_0602.JPG</t>
  </si>
  <si>
    <t>SR202204_LDM-S_D01_0603.JPG</t>
  </si>
  <si>
    <t>SR202204_LDM-S_D01_0604.JPG</t>
  </si>
  <si>
    <t>SR202204_LDM-S_D01_0605.JPG</t>
  </si>
  <si>
    <t>SR202204_LDM-S_D01_0606.JPG</t>
  </si>
  <si>
    <t>SR202204_LDM-S_D01_0607.JPG</t>
  </si>
  <si>
    <t>SR202204_LDM-S_D01_0608.JPG</t>
  </si>
  <si>
    <t>SR202204_LDM-S_D01_0609.JPG</t>
  </si>
  <si>
    <t>SR202204_LDM-S_D01_0610.JPG</t>
  </si>
  <si>
    <t>SR202204_LDM-S_D01_0611.JPG</t>
  </si>
  <si>
    <t>SR202204_LDM-S_D01_0612.JPG</t>
  </si>
  <si>
    <t>SR202204_LDM-S_D01_0613.JPG</t>
  </si>
  <si>
    <t>SR202204_LDM-S_D01_0614.JPG</t>
  </si>
  <si>
    <t>SR202204_LDM-S_D01_0615.JPG</t>
  </si>
  <si>
    <t>SR202204_LDM-S_D01_0616.JPG</t>
  </si>
  <si>
    <t>SR202204_LDM-S_D01_0617.JPG</t>
  </si>
  <si>
    <t>SR202204_LDM-S_D01_0618.JPG</t>
  </si>
  <si>
    <t>SR202204_LDM-S_D01_0619.JPG</t>
  </si>
  <si>
    <t>SR202204_LDM-S_D01_0620.JPG</t>
  </si>
  <si>
    <t>SR202204_LDM-S_D01_0621.JPG</t>
  </si>
  <si>
    <t>SR202204_LDM-S_D01_0622.JPG</t>
  </si>
  <si>
    <t>SR202204_LDM-S_D01_0623.JPG</t>
  </si>
  <si>
    <t>SR202204_LDM-S_D01_0624.JPG</t>
  </si>
  <si>
    <t>SR202204_LDM-S_D01_0625.JPG</t>
  </si>
  <si>
    <t>SR202204_LDM-S_D01_0626.JPG</t>
  </si>
  <si>
    <t>SR202204_LDM-S_D01_0627.JPG</t>
  </si>
  <si>
    <t>SR202204_LDM-S_D01_0628.JPG</t>
  </si>
  <si>
    <t>SR202204_LDM-S_D01_0629.JPG</t>
  </si>
  <si>
    <t>SR202204_LDM-S_D01_0630.JPG</t>
  </si>
  <si>
    <t>SR202204_LDM-S_D01_0631.JPG</t>
  </si>
  <si>
    <t>SR202204_LDM-S_D01_0632.JPG</t>
  </si>
  <si>
    <t>SR202204_LDM-S_D01_0633.JPG</t>
  </si>
  <si>
    <t>SR202204_LDM-S_D01_0634.JPG</t>
  </si>
  <si>
    <t>SR202204_LDM-S_D01_0635.JPG</t>
  </si>
  <si>
    <t>SR202204_LDM-S_D01_0636.JPG</t>
  </si>
  <si>
    <t>SR202204_LDM-S_D01_0637.JPG</t>
  </si>
  <si>
    <t>SR202204_LDM-S_D01_0638.JPG</t>
  </si>
  <si>
    <t>SR202204_LDM-S_D01_0639.JPG</t>
  </si>
  <si>
    <t>SR202204_LDM-S_D01_0640.JPG</t>
  </si>
  <si>
    <t>SR202204_LDM-S_D01_0641.JPG</t>
  </si>
  <si>
    <t>SR202204_LDM-S_D01_0642.JPG</t>
  </si>
  <si>
    <t>SR202204_LDM-S_D01_0643.JPG</t>
  </si>
  <si>
    <t>SR202204_LDM-S_D01_0644.JPG</t>
  </si>
  <si>
    <t>SR202204_LDM-S_D01_0645.JPG</t>
  </si>
  <si>
    <t>SR202204_LDM-S_D01_0646.JPG</t>
  </si>
  <si>
    <t>SR202204_LDM-S_D01_0647.JPG</t>
  </si>
  <si>
    <t>SR202204_LDM-S_D01_0648.JPG</t>
  </si>
  <si>
    <t>SR202204_LDM-S_D01_0649.JPG</t>
  </si>
  <si>
    <t>SR202204_LDM-S_D01_0650.JPG</t>
  </si>
  <si>
    <t>SR202204_LDM-S_D01_0651.JPG</t>
  </si>
  <si>
    <t>SR202204_LDM-S_D01_0652.JPG</t>
  </si>
  <si>
    <t>SR202204_LDM-S_D01_0653.JPG</t>
  </si>
  <si>
    <t>SR202204_LDM-S_D01_0654.JPG</t>
  </si>
  <si>
    <t>SR202204_LDM-S_D01_0655.JPG</t>
  </si>
  <si>
    <t>SR202204_LDM-S_D01_0656.JPG</t>
  </si>
  <si>
    <t>SR202204_LDM-S_D01_0657.JPG</t>
  </si>
  <si>
    <t>SR202204_LDM-S_D01_0658.JPG</t>
  </si>
  <si>
    <t>SR202204_LDM-S_D01_0659.JPG</t>
  </si>
  <si>
    <t>SR202204_LDM-S_D01_0660.JPG</t>
  </si>
  <si>
    <t>SR202204_LDM-S_D01_0661.JPG</t>
  </si>
  <si>
    <t>SR202204_LDM-S_D01_0662.JPG</t>
  </si>
  <si>
    <t>SR202204_LDM-S_D01_0663.JPG</t>
  </si>
  <si>
    <t>SR202204_LDM-S_D01_0664.JPG</t>
  </si>
  <si>
    <t>SR202204_LDM-S_D01_0665.JPG</t>
  </si>
  <si>
    <t>SR202204_LDM-S_D01_0666.JPG</t>
  </si>
  <si>
    <t>SR202204_LDM-S_D01_0667.JPG</t>
  </si>
  <si>
    <t>SR202204_LDM-S_D01_0668.JPG</t>
  </si>
  <si>
    <t>SR202204_LDM-S_D01_0669.JPG</t>
  </si>
  <si>
    <t>SR202204_LDM-S_D01_0670.JPG</t>
  </si>
  <si>
    <t>SR202204_LDM-S_D01_0671.JPG</t>
  </si>
  <si>
    <t>SR202204_LDM-S_D01_0672.JPG</t>
  </si>
  <si>
    <t>SR202204_LDM-S_D01_0673.JPG</t>
  </si>
  <si>
    <t>SR202204_LDM-S_D01_0674.JPG</t>
  </si>
  <si>
    <t>SR202204_LDM-S_D01_0675.JPG</t>
  </si>
  <si>
    <t>SR202204_LDM-S_D01_0676.JPG</t>
  </si>
  <si>
    <t>SR202204_LDM-S_D01_0677.JPG</t>
  </si>
  <si>
    <t>SR202204_LDM-S_D01_0678.JPG</t>
  </si>
  <si>
    <t>SR202204_LDM-S_D01_0679.JPG</t>
  </si>
  <si>
    <t>SR202204_LDM-S_D01_0680.JPG</t>
  </si>
  <si>
    <t>SR202204_LDM-S_D01_0681.JPG</t>
  </si>
  <si>
    <t>SR202204_LDM-S_D01_0682.JPG</t>
  </si>
  <si>
    <t>SR202204_LDM-S_D01_0683.JPG</t>
  </si>
  <si>
    <t>SR202204_LDM-S_D01_0684.JPG</t>
  </si>
  <si>
    <t>SR202204_LDM-S_D01_0685.JPG</t>
  </si>
  <si>
    <t>SR202204_LDM-S_D01_0686.JPG</t>
  </si>
  <si>
    <t>SR202204_LDM-S_D01_0687.JPG</t>
  </si>
  <si>
    <t>SR202204_LDM-S_D01_0688.JPG</t>
  </si>
  <si>
    <t>SR202204_LDM-S_D01_0689.JPG</t>
  </si>
  <si>
    <t>SR202204_LDM-S_D01_0690.JPG</t>
  </si>
  <si>
    <t>SR202204_LDM-S_D01_0691.JPG</t>
  </si>
  <si>
    <t>SR202204_LDM-S_D01_0692.JPG</t>
  </si>
  <si>
    <t>SR202204_LDM-S_D01_0693.JPG</t>
  </si>
  <si>
    <t>SR202204_LDM-S_D01_0694.JPG</t>
  </si>
  <si>
    <t>SR202204_LDM-S_D01_0695.JPG</t>
  </si>
  <si>
    <t>SR202204_LDM-S_D01_0696.JPG</t>
  </si>
  <si>
    <t>SR202204_LDM-S_D01_0697.JPG</t>
  </si>
  <si>
    <t>SR202204_LDM-S_D01_0698.JPG</t>
  </si>
  <si>
    <t>SR202204_LDM-S_D01_0699.JPG</t>
  </si>
  <si>
    <t>SR202204_LDM-S_D01_0700.JPG</t>
  </si>
  <si>
    <t>SR202204_LDM-S_D01_0701.JPG</t>
  </si>
  <si>
    <t>SR202204_LDM-S_D01_0702.JPG</t>
  </si>
  <si>
    <t>SR202204_LDM-S_D01_0703.JPG</t>
  </si>
  <si>
    <t>SR202204_LDM-S_D01_0704.JPG</t>
  </si>
  <si>
    <t>SR202204_LDM-S_D01_0705.JPG</t>
  </si>
  <si>
    <t>SR202204_LDM-S_D01_0706.JPG</t>
  </si>
  <si>
    <t>SR202204_LDM-S_D01_0707.JPG</t>
  </si>
  <si>
    <t>SR202204_LDM-S_D01_0708.JPG</t>
  </si>
  <si>
    <t>SR202204_LDM-S_D01_0709.JPG</t>
  </si>
  <si>
    <t>SR202204_LDM-S_D01_0710.JPG</t>
  </si>
  <si>
    <t>SR202204_LDM-S_D01_0711.JPG</t>
  </si>
  <si>
    <t>SR202204_LDM-S_D01_0712.JPG</t>
  </si>
  <si>
    <t>SR202204_LDM-S_D01_0713.JPG</t>
  </si>
  <si>
    <t>SR202204_LDM-S_D01_0714.JPG</t>
  </si>
  <si>
    <t>SR202204_LDM-S_D01_0715.JPG</t>
  </si>
  <si>
    <t>SR202204_LDM-S_D01_0716.JPG</t>
  </si>
  <si>
    <t>SR202204_LDM-S_D01_0717.JPG</t>
  </si>
  <si>
    <t>SR202204_LDM-S_D01_0718.JPG</t>
  </si>
  <si>
    <t>SR202204_LDM-S_D01_0719.JPG</t>
  </si>
  <si>
    <t>SR202204_LDM-S_D01_0720.JPG</t>
  </si>
  <si>
    <t>SR202204_LDM-S_D01_0721.JPG</t>
  </si>
  <si>
    <t>SR202204_LDM-S_D01_0722.JPG</t>
  </si>
  <si>
    <t>SR202204_LDM-S_D01_0723.JPG</t>
  </si>
  <si>
    <t>SR202204_LDM-S_D01_0724.JPG</t>
  </si>
  <si>
    <t>SR202204_LDM-S_D01_0725.JPG</t>
  </si>
  <si>
    <t>SR202204_LDM-S_D01_0726.JPG</t>
  </si>
  <si>
    <t>SR202204_LDM-S_D01_0727.JPG</t>
  </si>
  <si>
    <t>SR202204_LDM-S_D01_0728.JPG</t>
  </si>
  <si>
    <t>SR202204_LDM-S_D01_0729.JPG</t>
  </si>
  <si>
    <t>SR202204_LDM-S_D01_0730.JPG</t>
  </si>
  <si>
    <t>SR202204_LDM-S_D01_0731.JPG</t>
  </si>
  <si>
    <t>SR202204_LDM-S_D01_0732.JPG</t>
  </si>
  <si>
    <t>SR202204_LDM-S_D01_0733.JPG</t>
  </si>
  <si>
    <t>SR202204_LDM-S_D01_0734.JPG</t>
  </si>
  <si>
    <t>SR202204_LDM-S_D01_0735.JPG</t>
  </si>
  <si>
    <t>SR202204_LDM-S_D01_0736.JPG</t>
  </si>
  <si>
    <t>SR202204_LDM-S_D01_0737.JPG</t>
  </si>
  <si>
    <t>SR202204_LDM-S_D01_0738.JPG</t>
  </si>
  <si>
    <t>SR202204_LDM-S_D01_0739.JPG</t>
  </si>
  <si>
    <t>SR202204_LDM-S_D01_0740.JPG</t>
  </si>
  <si>
    <t>SR202204_LDM-S_D01_0741.JPG</t>
  </si>
  <si>
    <t>SR202204_LDM-S_D01_0742.JPG</t>
  </si>
  <si>
    <t>SR202204_LDM-S_D01_0743.JPG</t>
  </si>
  <si>
    <t>SR202204_LDM-S_D01_0744.JPG</t>
  </si>
  <si>
    <t>SR202204_LDM-S_D01_0745.JPG</t>
  </si>
  <si>
    <t>SR202204_LDM-S_D01_0746.JPG</t>
  </si>
  <si>
    <t>SR202204_LDM-S_D01_0747.JPG</t>
  </si>
  <si>
    <t>SR202204_LDM-S_D01_0748.JPG</t>
  </si>
  <si>
    <t>SR202204_LDM-S_D01_0749.JPG</t>
  </si>
  <si>
    <t>SR202204_LDM-S_D01_0750.JPG</t>
  </si>
  <si>
    <t>SR202204_LDM-S_D01_0751.JPG</t>
  </si>
  <si>
    <t>SR202204_LDM-S_D01_0752.JPG</t>
  </si>
  <si>
    <t>SR202204_LDM-S_D01_0753.JPG</t>
  </si>
  <si>
    <t>SR202204_LDM-S_D01_0754.JPG</t>
  </si>
  <si>
    <t>SR202204_LDM-S_D01_0755.JPG</t>
  </si>
  <si>
    <t>SR202204_LDM-S_D01_0756.JPG</t>
  </si>
  <si>
    <t>SR202204_LDM-S_D01_0757.JPG</t>
  </si>
  <si>
    <t>SR202204_LDM-S_D01_0758.JPG</t>
  </si>
  <si>
    <t>SR202204_LDM-S_D01_0759.JPG</t>
  </si>
  <si>
    <t>SR202204_LDM-S_D01_0760.JPG</t>
  </si>
  <si>
    <t>SR202204_LDM-S_D01_0761.JPG</t>
  </si>
  <si>
    <t>SR202204_LDM-S_D01_0762.JPG</t>
  </si>
  <si>
    <t>SR202204_LDM-S_D01_0763.JPG</t>
  </si>
  <si>
    <t>SR202204_LDM-S_D01_0764.JPG</t>
  </si>
  <si>
    <t>SR202204_LDM-S_D01_0765.JPG</t>
  </si>
  <si>
    <t>SR202204_LDM-S_D01_0766.JPG</t>
  </si>
  <si>
    <t>SR202204_LDM-S_D01_0767.JPG</t>
  </si>
  <si>
    <t>SR202204_LDM-S_D01_0768.JPG</t>
  </si>
  <si>
    <t>SR202204_LDM-S_D01_0769.JPG</t>
  </si>
  <si>
    <t>SR202204_LDM-S_D01_0770.JPG</t>
  </si>
  <si>
    <t>SR202204_LDM-S_D01_0771.JPG</t>
  </si>
  <si>
    <t>SR202204_LDM-S_D01_0772.JPG</t>
  </si>
  <si>
    <t>SR202204_LDM-S_D01_0773.JPG</t>
  </si>
  <si>
    <t>SR202204_LDM-S_D01_0774.JPG</t>
  </si>
  <si>
    <t>SR202204_LDM-S_D01_0775.JPG</t>
  </si>
  <si>
    <t>SR202204_LDM-S_D01_0776.JPG</t>
  </si>
  <si>
    <t>SR202204_LDM-S_D01_0777.JPG</t>
  </si>
  <si>
    <t>SR202204_LDM-S_D01_0778.JPG</t>
  </si>
  <si>
    <t>SR202204_LDM-S_D01_0779.JPG</t>
  </si>
  <si>
    <t>SR202204_LDM-S_D01_0780.JPG</t>
  </si>
  <si>
    <t>SR202204_LDM-S_D01_0781.JPG</t>
  </si>
  <si>
    <t>SR202204_LDM-S_D01_0782.JPG</t>
  </si>
  <si>
    <t>SR202204_LDM-S_D01_0783.JPG</t>
  </si>
  <si>
    <t>SR202204_LDM-S_D01_0784.JPG</t>
  </si>
  <si>
    <t>SR202204_LDM-S_D01_0785.JPG</t>
  </si>
  <si>
    <t>SR202204_LDM-S_D01_0786.JPG</t>
  </si>
  <si>
    <t>SR202204_LDM-S_D01_0787.JPG</t>
  </si>
  <si>
    <t>SR202204_LDM-S_D01_0788.JPG</t>
  </si>
  <si>
    <t>SR202204_LDM-S_D01_0789.JPG</t>
  </si>
  <si>
    <t>SR202204_LDM-S_D01_0790.JPG</t>
  </si>
  <si>
    <t>SR202204_LDM-S_D01_0791.JPG</t>
  </si>
  <si>
    <t>SR202204_LDM-S_D01_0792.JPG</t>
  </si>
  <si>
    <t>SR202204_LDM-S_D01_0793.JPG</t>
  </si>
  <si>
    <t>SR202204_LDM-S_D01_0794.JPG</t>
  </si>
  <si>
    <t>SR202204_LDM-S_D01_0795.JPG</t>
  </si>
  <si>
    <t>SR202204_LDM-S_D01_0796.JPG</t>
  </si>
  <si>
    <t>SR202204_LDM-S_D01_0797.JPG</t>
  </si>
  <si>
    <t>SR202204_LDM-S_D01_0798.JPG</t>
  </si>
  <si>
    <t>SR202204_LDM-S_D01_0799.JPG</t>
  </si>
  <si>
    <t>SR202204_LDM-S_D01_0800.JPG</t>
  </si>
  <si>
    <t>SR202204_LDM-S_D01_0801.JPG</t>
  </si>
  <si>
    <t>SR202204_LDM-S_D01_0802.JPG</t>
  </si>
  <si>
    <t>SR202204_LDM-S_D01_0803.JPG</t>
  </si>
  <si>
    <t>SR202204_LDM-S_D01_0804.JPG</t>
  </si>
  <si>
    <t>SR202204_LDM-S_D01_0805.JPG</t>
  </si>
  <si>
    <t>SR202204_LDM-S_D01_0806.JPG</t>
  </si>
  <si>
    <t>SR202204_LDM-S_D01_0807.JPG</t>
  </si>
  <si>
    <t>SR202204_LDM-S_D01_0808.JPG</t>
  </si>
  <si>
    <t>SR202204_LDM-S_D01_0809.JPG</t>
  </si>
  <si>
    <t>SR202204_LDM-S_D01_0810.JPG</t>
  </si>
  <si>
    <t>SR202204_LDM-S_D01_0811.JPG</t>
  </si>
  <si>
    <t>SR202204_LDM-S_D01_0812.JPG</t>
  </si>
  <si>
    <t>SR202204_LDM-S_D01_0813.JPG</t>
  </si>
  <si>
    <t>SR202204_LDM-S_D01_0814.JPG</t>
  </si>
  <si>
    <t>SR202204_LDM-S_D01_0815.JPG</t>
  </si>
  <si>
    <t>SR202204_LDM-S_D01_0816.JPG</t>
  </si>
  <si>
    <t>SR202204_LDM-S_D01_0817.JPG</t>
  </si>
  <si>
    <t>SR202204_LDM-S_D01_0818.JPG</t>
  </si>
  <si>
    <t>SR202204_LDM-S_D01_0819.JPG</t>
  </si>
  <si>
    <t>SR202204_LDM-S_D01_0820.JPG</t>
  </si>
  <si>
    <t>SR202204_LDM-S_D01_0821.JPG</t>
  </si>
  <si>
    <t>SR202204_LDM-S_D01_0822.JPG</t>
  </si>
  <si>
    <t>SR202204_LDM-S_D01_0823.JPG</t>
  </si>
  <si>
    <t>SR202204_LDM-S_D01_0824.JPG</t>
  </si>
  <si>
    <t>SR202204_LDM-S_D01_0825.JPG</t>
  </si>
  <si>
    <t>SR202204_LDM-S_D01_0826.JPG</t>
  </si>
  <si>
    <t>SR202204_LDM-S_D01_0827.JPG</t>
  </si>
  <si>
    <t>SR202204_LDM-S_D01_0828.JPG</t>
  </si>
  <si>
    <t>SR202204_LDM-S_D01_0829.JPG</t>
  </si>
  <si>
    <t>SR202204_LDM-S_D01_0830.JPG</t>
  </si>
  <si>
    <t>SR202204_LDM-S_D01_0831.JPG</t>
  </si>
  <si>
    <t>SR202204_LDM-S_D01_0832.JPG</t>
  </si>
  <si>
    <t>SR202204_LDM-S_D01_0833.JPG</t>
  </si>
  <si>
    <t>SR202204_LDM-S_D01_0834.JPG</t>
  </si>
  <si>
    <t>SR202204_LDM-S_D01_0835.JPG</t>
  </si>
  <si>
    <t>SR202204_LDM-S_D01_0836.JPG</t>
  </si>
  <si>
    <t>SR202204_LDM-S_D01_0837.JPG</t>
  </si>
  <si>
    <t>SR202204_LDM-S_D01_0838.JPG</t>
  </si>
  <si>
    <t>SR202204_LDM-S_D01_0839.JPG</t>
  </si>
  <si>
    <t>SR202204_LDM-S_D01_0840.JPG</t>
  </si>
  <si>
    <t>SR202204_LDM-S_D01_0841.JPG</t>
  </si>
  <si>
    <t>SR202204_LDM-S_D01_0842.JPG</t>
  </si>
  <si>
    <t>SR202204_LDM-S_D01_0843.JPG</t>
  </si>
  <si>
    <t>SR202204_LDM-S_D01_0844.JPG</t>
  </si>
  <si>
    <t>SR202204_LDM-S_D01_0845.JPG</t>
  </si>
  <si>
    <t>SR202204_LDM-S_D01_0846.JPG</t>
  </si>
  <si>
    <t>SR202204_LDM-S_D01_0847.JPG</t>
  </si>
  <si>
    <t>SR202204_LDM-S_D01_0848.JPG</t>
  </si>
  <si>
    <t>SR202204_LDM-S_D01_0849.JPG</t>
  </si>
  <si>
    <t>SR202204_LDM-S_D01_0850.JPG</t>
  </si>
  <si>
    <t>SR202204_LDM-S_D01_0851.JPG</t>
  </si>
  <si>
    <t>SR202204_LDM-S_D01_0852.JPG</t>
  </si>
  <si>
    <t>SR202204_LDM-S_D01_0853.JPG</t>
  </si>
  <si>
    <t>SR202204_LDM-S_D01_0854.JPG</t>
  </si>
  <si>
    <t>SR202204_LDM-S_D01_0855.JPG</t>
  </si>
  <si>
    <t>SR202204_LDM-S_D01_0856.JPG</t>
  </si>
  <si>
    <t>SR202204_LDM-S_D01_0857.JPG</t>
  </si>
  <si>
    <t>SR202204_LDM-S_D01_0858.JPG</t>
  </si>
  <si>
    <t>SR202204_LDM-S_D01_0859.JPG</t>
  </si>
  <si>
    <t>SR202204_LDM-S_D01_0860.JPG</t>
  </si>
  <si>
    <t>SR202204_LDM-S_D01_0861.JPG</t>
  </si>
  <si>
    <t>SR202204_LDM-S_D01_0862.JPG</t>
  </si>
  <si>
    <t>SR202204_LDM-S_D01_0863.JPG</t>
  </si>
  <si>
    <t>SR202204_LDM-S_D01_0864.JPG</t>
  </si>
  <si>
    <t>SR202204_LDM-S_D01_0865.JPG</t>
  </si>
  <si>
    <t>SR202204_LDM-S_D01_0866.JPG</t>
  </si>
  <si>
    <t>SR202204_LDM-S_D01_0867.JPG</t>
  </si>
  <si>
    <t>SR202204_LDM-S_D01_0868.JPG</t>
  </si>
  <si>
    <t>SR202204_LDM-S_D01_0869.JPG</t>
  </si>
  <si>
    <t>SR202204_LDM-S_D01_0870.JPG</t>
  </si>
  <si>
    <t>SR202204_LDM-S_D01_0871.JPG</t>
  </si>
  <si>
    <t>SR202204_LDM-S_D01_0872.JPG</t>
  </si>
  <si>
    <t>SR202204_LDM-S_D01_0873.JPG</t>
  </si>
  <si>
    <t>SR202204_LDM-S_D01_0874.JPG</t>
  </si>
  <si>
    <t>SR202204_LDM-S_D01_0875.JPG</t>
  </si>
  <si>
    <t>SR202204_LDM-S_D01_0876.JPG</t>
  </si>
  <si>
    <t>SR202204_LDM-S_D01_0877.JPG</t>
  </si>
  <si>
    <t>SR202204_LDM-S_D01_0878.JPG</t>
  </si>
  <si>
    <t>SR202204_LDM-S_D01_0879.JPG</t>
  </si>
  <si>
    <t>SR202204_LDM-S_D01_0880.JPG</t>
  </si>
  <si>
    <t>SR202204_LDM-S_D01_0881.JPG</t>
  </si>
  <si>
    <t>SR202204_LDM-S_D01_0882.JPG</t>
  </si>
  <si>
    <t>SR202204_LDM-S_D01_0883.JPG</t>
  </si>
  <si>
    <t>SR202204_LDM-S_D01_0884.JPG</t>
  </si>
  <si>
    <t>SR202204_LDM-S_D01_0885.JPG</t>
  </si>
  <si>
    <t>SR202204_LDM-S_D01_0886.JPG</t>
  </si>
  <si>
    <t>SR202204_LDM-S_D01_0887.JPG</t>
  </si>
  <si>
    <t>SR202204_LDM-S_D01_0888.JPG</t>
  </si>
  <si>
    <t>SR202204_LDM-S_D01_0889.JPG</t>
  </si>
  <si>
    <t>SR202204_LDM-S_D01_0890.JPG</t>
  </si>
  <si>
    <t>SR202204_LDM-S_D01_0891.JPG</t>
  </si>
  <si>
    <t>SR202204_LDM-S_D01_0892.JPG</t>
  </si>
  <si>
    <t>SR202204_LDM-S_D01_0893.JPG</t>
  </si>
  <si>
    <t>SR202204_LDM-S_D01_0894.JPG</t>
  </si>
  <si>
    <t>SR202204_LDM-S_D01_0895.JPG</t>
  </si>
  <si>
    <t>SR202204_LDM-S_D01_0896.JPG</t>
  </si>
  <si>
    <t>SR202204_LDM-S_D01_0897.JPG</t>
  </si>
  <si>
    <t>SR202204_LDM-S_D01_0898.JPG</t>
  </si>
  <si>
    <t>SR202204_LDM-S_D01_0899.JPG</t>
  </si>
  <si>
    <t>SR202204_LDM-S_D01_0900.JPG</t>
  </si>
  <si>
    <t>SR202204_LDM-S_D01_0901.JPG</t>
  </si>
  <si>
    <t>SR202204_LDM-S_D01_0902.JPG</t>
  </si>
  <si>
    <t>SR202204_LDM-S_D01_0903.JPG</t>
  </si>
  <si>
    <t>SR202204_LDM-S_D01_0904.JPG</t>
  </si>
  <si>
    <t>SR202204_LDM-S_D01_0905.JPG</t>
  </si>
  <si>
    <t>SR202204_LDM-S_D01_0906.JPG</t>
  </si>
  <si>
    <t>SR202204_LDM-S_D01_0907.JPG</t>
  </si>
  <si>
    <t>SR202204_LDM-S_D01_0908.JPG</t>
  </si>
  <si>
    <t>SR202204_LDM-S_D01_0909.JPG</t>
  </si>
  <si>
    <t>SR202204_LDM-S_D01_0910.JPG</t>
  </si>
  <si>
    <t>SR202204_LDM-S_D01_0911.JPG</t>
  </si>
  <si>
    <t>SR202204_LDM-S_D01_0912.JPG</t>
  </si>
  <si>
    <t>SR202204_LDM-S_D01_0913.JPG</t>
  </si>
  <si>
    <t>SR202204_LDM-S_D01_0914.JPG</t>
  </si>
  <si>
    <t>SR202204_LDM-S_D01_0915.JPG</t>
  </si>
  <si>
    <t>SR202204_LDM-S_D01_0916.JPG</t>
  </si>
  <si>
    <t>SR202204_LDM-S_D01_0917.JPG</t>
  </si>
  <si>
    <t>SR202204_LDM-S_D01_0918.JPG</t>
  </si>
  <si>
    <t>SR202204_LDM-S_D01_0919.JPG</t>
  </si>
  <si>
    <t>SR202204_LDM-S_D01_0920.JPG</t>
  </si>
  <si>
    <t>SR202204_LDM-S_D01_0921.JPG</t>
  </si>
  <si>
    <t>SR202204_LDM-S_D01_0922.JPG</t>
  </si>
  <si>
    <t>SR202204_LDM-S_D01_0923.JPG</t>
  </si>
  <si>
    <t>SR202204_LDM-S_D01_0924.JPG</t>
  </si>
  <si>
    <t>SR202204_LDM-S_D01_0925.JPG</t>
  </si>
  <si>
    <t>SR202204_LDM-S_D01_0926.JPG</t>
  </si>
  <si>
    <t>SR202204_LDM-S_D01_0927.JPG</t>
  </si>
  <si>
    <t>SR202204_LDM-S_D01_0928.JPG</t>
  </si>
  <si>
    <t>SR202204_LDM-S_D01_0929.JPG</t>
  </si>
  <si>
    <t>SR202204_LDM-S_D01_0930.JPG</t>
  </si>
  <si>
    <t>SR202204_LDM-S_D01_0931.JPG</t>
  </si>
  <si>
    <t>SR202204_LDM-S_D01_0932.JPG</t>
  </si>
  <si>
    <t>SR202204_LDM-S_D01_0933.JPG</t>
  </si>
  <si>
    <t>SR202204_LDM-S_D01_0934.JPG</t>
  </si>
  <si>
    <t>SR202204_LDM-S_D01_0935.JPG</t>
  </si>
  <si>
    <t>SR202204_LDM-S_D01_0936.JPG</t>
  </si>
  <si>
    <t>SR202204_LDM-S_D01_0937.JPG</t>
  </si>
  <si>
    <t>SR202204_LDM-S_D01_0938.JPG</t>
  </si>
  <si>
    <t>SR202204_LDM-S_D01_0939.JPG</t>
  </si>
  <si>
    <t>SR202204_LDM-S_D01_0940.JPG</t>
  </si>
  <si>
    <t>SR202204_LDM-S_D01_0941.JPG</t>
  </si>
  <si>
    <t>SR202204_LDM-S_D01_0942.JPG</t>
  </si>
  <si>
    <t>SR202204_LDM-S_D01_0943.JPG</t>
  </si>
  <si>
    <t>SR202204_LDM-S_D01_0944.JPG</t>
  </si>
  <si>
    <t>SR202204_LDM-S_D01_0945.JPG</t>
  </si>
  <si>
    <t>SR202204_LDM-S_D01_0946.JPG</t>
  </si>
  <si>
    <t>SR202204_LDM-S_D01_0947.JPG</t>
  </si>
  <si>
    <t>SR202204_LDM-S_D01_0948.JPG</t>
  </si>
  <si>
    <t>SR202204_LDM-S_D01_0949.JPG</t>
  </si>
  <si>
    <t>SR202204_LDM-S_D01_0950.JPG</t>
  </si>
  <si>
    <t>SR202204_LDM-S_D01_0951.JPG</t>
  </si>
  <si>
    <t>SR202204_LDM-S_D01_0952.JPG</t>
  </si>
  <si>
    <t>SR202204_LDM-S_D01_0953.JPG</t>
  </si>
  <si>
    <t>SR202204_LDM-S_D01_0954.JPG</t>
  </si>
  <si>
    <t>SR202204_LDM-S_D01_0955.JPG</t>
  </si>
  <si>
    <t>SR202204_LDM-S_D01_0956.JPG</t>
  </si>
  <si>
    <t>SR202204_LDM-S_D01_0957.JPG</t>
  </si>
  <si>
    <t>SR202204_LDM-S_D01_0958.JPG</t>
  </si>
  <si>
    <t>SR202204_LDM-S_D01_0959.JPG</t>
  </si>
  <si>
    <t>SR202204_LDM-S_D01_0960.JPG</t>
  </si>
  <si>
    <t>SR202204_LDM-S_D01_0961.JPG</t>
  </si>
  <si>
    <t>SR202204_LDM-S_D01_0962.JPG</t>
  </si>
  <si>
    <t>SR202204_LDM-S_D01_0963.JPG</t>
  </si>
  <si>
    <t>SR202204_LDM-S_D01_0964.JPG</t>
  </si>
  <si>
    <t>SR202204_LDM-S_D01_0965.JPG</t>
  </si>
  <si>
    <t>SR202204_LDM-S_D01_0966.JPG</t>
  </si>
  <si>
    <t>SR202204_LDM-S_D01_0967.JPG</t>
  </si>
  <si>
    <t>SR202204_LDM-S_D01_0968.JPG</t>
  </si>
  <si>
    <t>SR202204_LDM-S_D01_0969.JPG</t>
  </si>
  <si>
    <t>SR202204_LDM-S_D01_0970.JPG</t>
  </si>
  <si>
    <t>SR202204_LDM-S_D01_0971.JPG</t>
  </si>
  <si>
    <t>SR202204_LDM-S_D01_0972.JPG</t>
  </si>
  <si>
    <t>SR202204_LDM-S_D01_0973.JPG</t>
  </si>
  <si>
    <t>SR202204_LDM-S_D01_0974.JPG</t>
  </si>
  <si>
    <t>SR202204_LDM-S_D01_0975.JPG</t>
  </si>
  <si>
    <t>SR202204_LDM-S_D01_0976.JPG</t>
  </si>
  <si>
    <t>SR202204_LDM-S_D01_0977.JPG</t>
  </si>
  <si>
    <t>SR202204_LDM-S_D01_0978.JPG</t>
  </si>
  <si>
    <t>SR202204_LDM-S_D01_0979.JPG</t>
  </si>
  <si>
    <t>SR202204_LDM-S_D01_0980.JPG</t>
  </si>
  <si>
    <t>SR202204_LDM-S_D01_0981.JPG</t>
  </si>
  <si>
    <t>SR202204_LDM-S_D01_0982.JPG</t>
  </si>
  <si>
    <t>SR202204_LDM-S_D01_0983.JPG</t>
  </si>
  <si>
    <t>SR202204_LDM-S_D01_0984.JPG</t>
  </si>
  <si>
    <t>SR202204_LDM-S_D01_0985.JPG</t>
  </si>
  <si>
    <t>SR202204_LDM-S_D01_0986.JPG</t>
  </si>
  <si>
    <t>SR202204_LDM-S_D01_0987.JPG</t>
  </si>
  <si>
    <t>SR202204_LDM-S_D01_0988.JPG</t>
  </si>
  <si>
    <t>SR202204_LDM-S_D01_0989.JPG</t>
  </si>
  <si>
    <t>SR202204_LDM-S_D01_0990.JPG</t>
  </si>
  <si>
    <t>SR202204_LDM-S_D01_0991.JPG</t>
  </si>
  <si>
    <t>SR202204_LDM-S_D01_0992.JPG</t>
  </si>
  <si>
    <t>SR202204_LDM-S_D01_0993.JPG</t>
  </si>
  <si>
    <t>SR202204_LDM-S_D01_0994.JPG</t>
  </si>
  <si>
    <t>SR202204_LDM-S_D01_0995.JPG</t>
  </si>
  <si>
    <t>SR202204_LDM-S_D01_0996.JPG</t>
  </si>
  <si>
    <t>SR202204_LDM-S_D01_0997.JPG</t>
  </si>
  <si>
    <t>SR202204_LDM-S_D01_0998.JPG</t>
  </si>
  <si>
    <t>SR202204_LDM-S_D01_0999.JPG</t>
  </si>
  <si>
    <t>SR202204_LDM-S_D01_1000.JPG</t>
  </si>
  <si>
    <t>SR202204_LDM-S_D01_1001.JPG</t>
  </si>
  <si>
    <t>SR202204_LDM-S_D01_1002.JPG</t>
  </si>
  <si>
    <t>SR202204_LDM-S_D01_1003.JPG</t>
  </si>
  <si>
    <t>SR202204_LDM-S_D01_1004.JPG</t>
  </si>
  <si>
    <t>SR202204_LDM-S_D01_1005.JPG</t>
  </si>
  <si>
    <t>SR202204_LDM-S_D01_1006.JPG</t>
  </si>
  <si>
    <t>SR202204_LDM-S_D01_1007.JPG</t>
  </si>
  <si>
    <t>SR202204_LDM-S_D01_1008.JPG</t>
  </si>
  <si>
    <t>SR202204_LDM-S_D01_1009.JPG</t>
  </si>
  <si>
    <t>SR202204_LDM-S_D01_1010.JPG</t>
  </si>
  <si>
    <t>SR202204_LDM-S_D01_1011.JPG</t>
  </si>
  <si>
    <t>SR202204_LDM-S_D01_1012.JPG</t>
  </si>
  <si>
    <t>SR202204_LDM-S_D01_1013.JPG</t>
  </si>
  <si>
    <t>SR202204_LDM-S_D01_1014.JPG</t>
  </si>
  <si>
    <t>SR202204_LDM-S_D01_1015.JPG</t>
  </si>
  <si>
    <t>SR202204_LDM-S_D01_1016.JPG</t>
  </si>
  <si>
    <t>SR202204_LDM-S_D01_1017.JPG</t>
  </si>
  <si>
    <t>SR202204_LDM-S_D01_1018.JPG</t>
  </si>
  <si>
    <t>SR202204_LDM-S_D01_1019.JPG</t>
  </si>
  <si>
    <t>SR202204_LDM-S_D01_1020.JPG</t>
  </si>
  <si>
    <t>SR202204_LDM-S_D01_1021.JPG</t>
  </si>
  <si>
    <t>SR202204_LDM-S_D01_1022.JPG</t>
  </si>
  <si>
    <t>SR202204_LDM-S_D01_1023.JPG</t>
  </si>
  <si>
    <t>SR202204_LDM-S_D01_1024.JPG</t>
  </si>
  <si>
    <t>SR202204_LDM-S_D01_1025.JPG</t>
  </si>
  <si>
    <t>SR202204_LDM-S_D01_1026.JPG</t>
  </si>
  <si>
    <t>SR202204_LDM-S_D01_1027.JPG</t>
  </si>
  <si>
    <t>SR202204_LDM-S_D01_1028.JPG</t>
  </si>
  <si>
    <t>SR202204_LDM-S_D01_1029.JPG</t>
  </si>
  <si>
    <t>SR202204_LDM-S_D01_1030.JPG</t>
  </si>
  <si>
    <t>SR202204_LDM-S_D01_1031.JPG</t>
  </si>
  <si>
    <t>SR202204_LDM-S_D01_1032.JPG</t>
  </si>
  <si>
    <t>SR202204_LDM-S_D01_1033.JPG</t>
  </si>
  <si>
    <t>SR202204_LDM-S_D01_1034.JPG</t>
  </si>
  <si>
    <t>SR202204_LDM-S_D01_1035.JPG</t>
  </si>
  <si>
    <t>SR202204_LDM-S_D01_1036.JPG</t>
  </si>
  <si>
    <t>SR202204_LDM-S_D01_1037.JPG</t>
  </si>
  <si>
    <t>SR202204_LDM-S_D01_1038.JPG</t>
  </si>
  <si>
    <t>SR202204_LDM-S_D01_1039.JPG</t>
  </si>
  <si>
    <t>SR202204_LDM-S_D01_1040.JPG</t>
  </si>
  <si>
    <t>SR202204_LDM-S_D01_1041.JPG</t>
  </si>
  <si>
    <t>SR202204_LDM-S_D01_1042.JPG</t>
  </si>
  <si>
    <t>SR202204_LDM-S_D01_1043.JPG</t>
  </si>
  <si>
    <t>SR202204_LDM-S_D01_1044.JPG</t>
  </si>
  <si>
    <t>SR202204_LDM-S_D01_1045.JPG</t>
  </si>
  <si>
    <t>SR202204_LDM-S_D01_1046.JPG</t>
  </si>
  <si>
    <t>SR202204_LDM-S_D01_1047.JPG</t>
  </si>
  <si>
    <t>SR202204_LDM-S_D01_1048.JPG</t>
  </si>
  <si>
    <t>SR202204_LDM-S_D01_1049.JPG</t>
  </si>
  <si>
    <t>SR202204_LDM-S_D01_1050.JPG</t>
  </si>
  <si>
    <t>SR202204_LDM-S_D01_1051.JPG</t>
  </si>
  <si>
    <t>SR202204_LDM-S_D01_1052.JPG</t>
  </si>
  <si>
    <t>SR202204_LDM-S_D01_1053.JPG</t>
  </si>
  <si>
    <t>SR202204_LDM-S_D01_1054.JPG</t>
  </si>
  <si>
    <t>SR202204_LDM-S_D01_1055.JPG</t>
  </si>
  <si>
    <t>SR202204_LDM-S_D01_1056.JPG</t>
  </si>
  <si>
    <t>SR202204_LDM-S_D01_1057.JPG</t>
  </si>
  <si>
    <t>SR202204_LDM-S_D01_1058.JPG</t>
  </si>
  <si>
    <t>SR202204_LDM-S_D01_1059.JPG</t>
  </si>
  <si>
    <t>SR202204_LDM-S_D01_1060.JPG</t>
  </si>
  <si>
    <t>SR202204_LDM-S_D01_1061.JPG</t>
  </si>
  <si>
    <t>SR202204_LDM-S_D01_1062.JPG</t>
  </si>
  <si>
    <t>SR202204_LDM-S_D01_1063.JPG</t>
  </si>
  <si>
    <t>SR202204_LDM-S_D01_1064.JPG</t>
  </si>
  <si>
    <t>SR202204_LDM-S_D01_1065.JPG</t>
  </si>
  <si>
    <t>SR202204_LDM-S_D01_1066.JPG</t>
  </si>
  <si>
    <t>SR202204_LDM-S_D01_1067.JPG</t>
  </si>
  <si>
    <t>SR202204_LDM-S_D01_1068.JPG</t>
  </si>
  <si>
    <t>SR202204_LDM-S_D01_1069.JPG</t>
  </si>
  <si>
    <t>SR202204_LDM-S_D01_1070.JPG</t>
  </si>
  <si>
    <t>SR202204_LDM-S_D01_1071.JPG</t>
  </si>
  <si>
    <t>SR202204_LDM-S_D01_1072.JPG</t>
  </si>
  <si>
    <t>SR202204_LDM-S_D01_1073.JPG</t>
  </si>
  <si>
    <t>SR202204_LDM-S_D01_1074.JPG</t>
  </si>
  <si>
    <t>SR202204_LDM-S_D01_1075.JPG</t>
  </si>
  <si>
    <t>SR202204_LDM-S_D01_1076.JPG</t>
  </si>
  <si>
    <t>SR202204_LDM-S_D01_1077.JPG</t>
  </si>
  <si>
    <t>SR202204_LDM-S_D01_1078.JPG</t>
  </si>
  <si>
    <t>SR202204_LDM-S_D01_1079.JPG</t>
  </si>
  <si>
    <t>SR202204_LDM-S_D01_1080.JPG</t>
  </si>
  <si>
    <t>SR202204_LDM-S_D01_1081.JPG</t>
  </si>
  <si>
    <t>SR202204_LDM-S_D01_1082.JPG</t>
  </si>
  <si>
    <t>SR202204_LDM-S_D01_1083.JPG</t>
  </si>
  <si>
    <t>SR202204_LDM-S_D01_1084.JPG</t>
  </si>
  <si>
    <t>SR202204_LDM-S_D01_1085.JPG</t>
  </si>
  <si>
    <t>SR202204_LDM-S_D01_1086.JPG</t>
  </si>
  <si>
    <t>SR202204_LDM-S_D01_1087.JPG</t>
  </si>
  <si>
    <t>SR202204_LDM-S_D01_1088.JPG</t>
  </si>
  <si>
    <t>SR202204_LDM-S_D01_1089.JPG</t>
  </si>
  <si>
    <t>SR202204_LDM-S_D01_1090.JPG</t>
  </si>
  <si>
    <t>SR202204_LDM-S_D01_1091.JPG</t>
  </si>
  <si>
    <t>SR202204_LDM-S_D01_1092.JPG</t>
  </si>
  <si>
    <t>SR202204_LDM-S_D01_1093.JPG</t>
  </si>
  <si>
    <t>SR202204_LDM-S_D01_1094.JPG</t>
  </si>
  <si>
    <t>SR202204_LDM-S_D01_1095.JPG</t>
  </si>
  <si>
    <t>SR202204_LDM-S_D01_1096.JPG</t>
  </si>
  <si>
    <t>SR202204_LDM-S_D01_1097.JPG</t>
  </si>
  <si>
    <t>SR202204_LDM-S_D01_1098.JPG</t>
  </si>
  <si>
    <t>SR202204_LDM-S_D01_1099.JPG</t>
  </si>
  <si>
    <t>SR202204_LDM-S_D01_1100.JPG</t>
  </si>
  <si>
    <t>SR202204_LDM-S_D01_1101.JPG</t>
  </si>
  <si>
    <t>SR202204_LDM-S_D01_1102.JPG</t>
  </si>
  <si>
    <t>SR202204_LDM-S_D01_1103.JPG</t>
  </si>
  <si>
    <t>SR202204_LDM-S_D01_1104.JPG</t>
  </si>
  <si>
    <t>SR202204_LDM-S_D01_1105.JPG</t>
  </si>
  <si>
    <t>SR202204_LDM-S_D01_1106.JPG</t>
  </si>
  <si>
    <t>SR202204_LDM-S_D01_1107.JPG</t>
  </si>
  <si>
    <t>SR202204_LDM-S_D01_1108.JPG</t>
  </si>
  <si>
    <t>SR202204_LDM-S_D01_1109.JPG</t>
  </si>
  <si>
    <t>SR202204_LDM-S_D01_1110.JPG</t>
  </si>
  <si>
    <t>SR202204_LDM-S_D01_1111.JPG</t>
  </si>
  <si>
    <t>SR202204_LDM-S_D01_1112.JPG</t>
  </si>
  <si>
    <t>SR202204_LDM-S_D01_1113.JPG</t>
  </si>
  <si>
    <t>SR202204_LDM-S_D01_1114.JPG</t>
  </si>
  <si>
    <t>SR202204_LDM-S_D01_1115.JPG</t>
  </si>
  <si>
    <t>SR202204_LDM-S_D01_1116.JPG</t>
  </si>
  <si>
    <t>SR202204_LDM-S_D01_1117.JPG</t>
  </si>
  <si>
    <t>SR202204_LDM-S_D01_1118.JPG</t>
  </si>
  <si>
    <t>SR202204_LDM-S_D01_1119.JPG</t>
  </si>
  <si>
    <t>SR202204_LDM-S_D01_1120.JPG</t>
  </si>
  <si>
    <t>SR202204_LDM-S_D01_1121.JPG</t>
  </si>
  <si>
    <t>SR202204_LDM-S_D01_1122.JPG</t>
  </si>
  <si>
    <t>SR202204_LDM-S_D01_1123.JPG</t>
  </si>
  <si>
    <t>SR202204_LDM-S_D01_1124.JPG</t>
  </si>
  <si>
    <t>SR202204_LDM-S_D01_1125.JPG</t>
  </si>
  <si>
    <t>SR202204_LDM-S_D01_1126.JPG</t>
  </si>
  <si>
    <t>SR202204_LDM-S_D01_1127.JPG</t>
  </si>
  <si>
    <t>SR202204_LDM-S_D01_1128.JPG</t>
  </si>
  <si>
    <t>SR202204_LDM-S_D01_1129.JPG</t>
  </si>
  <si>
    <t>SR202204_LDM-S_D01_1130.JPG</t>
  </si>
  <si>
    <t>SR202204_LDM-S_D01_1131.JPG</t>
  </si>
  <si>
    <t>SR202204_LDM-S_D01_1132.JPG</t>
  </si>
  <si>
    <t>SR202204_LDM-S_D01_1133.JPG</t>
  </si>
  <si>
    <t>SR202204_LDM-S_D01_1134.JPG</t>
  </si>
  <si>
    <t>SR202204_LDM-S_D01_1135.JPG</t>
  </si>
  <si>
    <t>SR202204_LDM-S_D01_1136.JPG</t>
  </si>
  <si>
    <t>SR202204_LDM-S_D01_1137.JPG</t>
  </si>
  <si>
    <t>SR202204_LDM-S_D01_1138.JPG</t>
  </si>
  <si>
    <t>SR202204_LDM-S_D01_1139.JPG</t>
  </si>
  <si>
    <t>SR202204_LDM-S_D01_1140.JPG</t>
  </si>
  <si>
    <t>SR202204_LDM-S_D01_1141.JPG</t>
  </si>
  <si>
    <t>SR202204_LDM-S_D01_1142.JPG</t>
  </si>
  <si>
    <t>SR202204_LDM-S_D01_1143.JPG</t>
  </si>
  <si>
    <t>SR202204_LDM-S_D01_1144.JPG</t>
  </si>
  <si>
    <t>SR202204_LDM-S_D01_1145.JPG</t>
  </si>
  <si>
    <t>SR202204_LDM-S_D01_1146.JPG</t>
  </si>
  <si>
    <t>SR202204_LDM-S_D01_1147.JPG</t>
  </si>
  <si>
    <t>SR202204_LDM-S_D01_1148.JPG</t>
  </si>
  <si>
    <t>SR202204_LDM-S_D01_1149.JPG</t>
  </si>
  <si>
    <t>SR202204_LDM-S_D01_1150.JPG</t>
  </si>
  <si>
    <t>SR202204_LDM-S_D01_1151.JPG</t>
  </si>
  <si>
    <t>SR202204_LDM-S_D01_1152.JPG</t>
  </si>
  <si>
    <t>SR202204_LDM-S_D01_1153.JPG</t>
  </si>
  <si>
    <t>SR202204_LDM-S_D01_1154.JPG</t>
  </si>
  <si>
    <t>SR202204_LDM-S_D01_1155.JPG</t>
  </si>
  <si>
    <t>SR202204_LDM-S_D01_1156.JPG</t>
  </si>
  <si>
    <t>SR202204_LDM-S_D01_1157.JPG</t>
  </si>
  <si>
    <t>SR202204_LDM-S_D01_1158.JPG</t>
  </si>
  <si>
    <t>SR202204_LDM-S_D01_1159.JPG</t>
  </si>
  <si>
    <t>SR202204_LDM-S_D01_1160.JPG</t>
  </si>
  <si>
    <t>SR202204_LDM-S_D01_1161.JPG</t>
  </si>
  <si>
    <t>SR202204_LDM-S_D01_1162.JPG</t>
  </si>
  <si>
    <t>SR202204_LDM-S_D01_1163.JPG</t>
  </si>
  <si>
    <t>SR202204_LDM-S_D01_1164.JPG</t>
  </si>
  <si>
    <t>SR202204_LDM-S_D01_1165.JPG</t>
  </si>
  <si>
    <t>SR202204_LDM-S_D01_1166.JPG</t>
  </si>
  <si>
    <t>SR202204_LDM-S_D01_1167.JPG</t>
  </si>
  <si>
    <t>SR202204_LDM-S_D01_1168.JPG</t>
  </si>
  <si>
    <t>SR202204_LDM-S_D01_1169.JPG</t>
  </si>
  <si>
    <t>SR202204_LDM-S_D01_1170.JPG</t>
  </si>
  <si>
    <t>SR202204_LDM-S_D01_1171.JPG</t>
  </si>
  <si>
    <t>SR202204_LDM-S_D01_1172.JPG</t>
  </si>
  <si>
    <t>SR202204_LDM-S_D01_1173.JPG</t>
  </si>
  <si>
    <t>SR202204_LDM-S_D01_1174.JPG</t>
  </si>
  <si>
    <t>SR202204_LDM-S_D01_1175.JPG</t>
  </si>
  <si>
    <t>SR202204_LDM-S_D01_1176.JPG</t>
  </si>
  <si>
    <t>SR202204_LDM-S_D01_1177.JPG</t>
  </si>
  <si>
    <t>SR202204_LDM-S_D01_1178.JPG</t>
  </si>
  <si>
    <t>SR202204_LDM-S_D01_1179.JPG</t>
  </si>
  <si>
    <t>SR202204_LDM-S_D01_1180.JPG</t>
  </si>
  <si>
    <t>SR202204_LDM-S_D01_1181.JPG</t>
  </si>
  <si>
    <t>SR202204_LDM-S_D01_1182.JPG</t>
  </si>
  <si>
    <t>SR202204_LDM-S_D01_1183.JPG</t>
  </si>
  <si>
    <t>SR202204_LDM-S_D01_1184.JPG</t>
  </si>
  <si>
    <t>SR202204_LDM-S_D01_1185.JPG</t>
  </si>
  <si>
    <t>SR202204_LDM-S_D01_1186.JPG</t>
  </si>
  <si>
    <t>SR202204_LDM-S_D01_1187.JPG</t>
  </si>
  <si>
    <t>SR202204_LDM-S_D01_1188.JPG</t>
  </si>
  <si>
    <t>SR202204_LDM-S_D01_1189.JPG</t>
  </si>
  <si>
    <t>SR202204_LDM-S_D01_1190.JPG</t>
  </si>
  <si>
    <t>SR202204_LDM-S_D01_1191.JPG</t>
  </si>
  <si>
    <t>SR202204_LDM-S_D01_1192.JPG</t>
  </si>
  <si>
    <t>SR202204_LDM-S_D01_1193.JPG</t>
  </si>
  <si>
    <t>SR202204_LDM-S_D01_1194.JPG</t>
  </si>
  <si>
    <t>SR202204_LDM-S_D01_1195.JPG</t>
  </si>
  <si>
    <t>SR202204_LDM-S_D01_1196.JPG</t>
  </si>
  <si>
    <t>SR202204_LDM-S_D01_1197.JPG</t>
  </si>
  <si>
    <t>SR202204_LDM-S_D01_1198.JPG</t>
  </si>
  <si>
    <t>SR202204_LDM-S_D01_1199.JPG</t>
  </si>
  <si>
    <t>SR202204_LDM-S_D01_1200.JPG</t>
  </si>
  <si>
    <t>SR202204_LDM-S_D01_1201.JPG</t>
  </si>
  <si>
    <t>SR202204_LDM-S_D01_1202.JPG</t>
  </si>
  <si>
    <t>SR202204_LDM-S_D01_1203.JPG</t>
  </si>
  <si>
    <t>SR202204_LDM-S_D01_1204.JPG</t>
  </si>
  <si>
    <t>SR202204_LDM-S_D01_1205.JPG</t>
  </si>
  <si>
    <t>SR202204_LDM-S_D01_1206.JPG</t>
  </si>
  <si>
    <t>SR202204_LDM-S_D01_1207.JPG</t>
  </si>
  <si>
    <t>SR202204_LDM-S_D01_1208.JPG</t>
  </si>
  <si>
    <t>SR202204_LDM-S_D01_1209.JPG</t>
  </si>
  <si>
    <t>SR202204_LDM-S_D01_1210.JPG</t>
  </si>
  <si>
    <t>SR202204_LDM-S_D01_1211.JPG</t>
  </si>
  <si>
    <t>SR202204_LDM-S_D01_1212.JPG</t>
  </si>
  <si>
    <t>SR202204_LDM-S_D01_1213.JPG</t>
  </si>
  <si>
    <t>SR202204_LDM-S_D01_1214.JPG</t>
  </si>
  <si>
    <t>SR202204_LDM-S_D01_1215.JPG</t>
  </si>
  <si>
    <t>SR202204_LDM-S_D01_1216.JPG</t>
  </si>
  <si>
    <t>SR202204_LDM-S_D01_1217.JPG</t>
  </si>
  <si>
    <t>SR202204_LDM-S_D01_1218.JPG</t>
  </si>
  <si>
    <t>SR202204_LDM-S_D01_1219.JPG</t>
  </si>
  <si>
    <t>SR202204_LDM-S_D01_1220.JPG</t>
  </si>
  <si>
    <t>SR202204_LDM-S_D01_1221.JPG</t>
  </si>
  <si>
    <t>SR202204_LDM-S_D01_1222.JPG</t>
  </si>
  <si>
    <t>SR202204_LDM-S_D01_1223.JPG</t>
  </si>
  <si>
    <t>SR202204_LDM-S_D01_1224.JPG</t>
  </si>
  <si>
    <t>SR202204_LDM-S_D01_1225.JPG</t>
  </si>
  <si>
    <t>SR202204_LDM-S_D01_1226.JPG</t>
  </si>
  <si>
    <t>SR202204_LDM-S_D01_1227.JPG</t>
  </si>
  <si>
    <t>SR202204_LDM-S_D01_1228.JPG</t>
  </si>
  <si>
    <t>SR202204_LDM-S_D01_1229.JPG</t>
  </si>
  <si>
    <t>SR202204_LDM-S_D01_1230.JPG</t>
  </si>
  <si>
    <t>SR202204_LDM-S_D01_1231.JPG</t>
  </si>
  <si>
    <t>SR202204_LDM-S_D01_1232.JPG</t>
  </si>
  <si>
    <t>SR202204_LDM-S_D01_1233.JPG</t>
  </si>
  <si>
    <t>SR202204_LDM-S_D01_1234.JPG</t>
  </si>
  <si>
    <t>SR202204_LDM-S_D01_1235.JPG</t>
  </si>
  <si>
    <t>SR202204_LDM-S_D01_1236.JPG</t>
  </si>
  <si>
    <t>SR202204_LDM-S_D01_1237.JPG</t>
  </si>
  <si>
    <t>SR202204_LDM-S_D01_1238.JPG</t>
  </si>
  <si>
    <t>SR202204_LDM-S_D01_1239.JPG</t>
  </si>
  <si>
    <t>SR202204_LDM-S_D01_1240.JPG</t>
  </si>
  <si>
    <t>SR202204_LDM-S_D01_1241.JPG</t>
  </si>
  <si>
    <t>SR202204_LDM-S_D01_1242.JPG</t>
  </si>
  <si>
    <t>SR202204_LDM-S_D01_1243.JPG</t>
  </si>
  <si>
    <t>The Nice Cape East Cove</t>
  </si>
  <si>
    <t>Alpes Maritimes</t>
  </si>
  <si>
    <t>Nice</t>
  </si>
  <si>
    <t>Cap de Nice, These</t>
  </si>
  <si>
    <t>NI202409_CAP-EC_D01</t>
  </si>
  <si>
    <t>6 M :</t>
  </si>
  <si>
    <t>M1</t>
  </si>
  <si>
    <t>M2</t>
  </si>
  <si>
    <t>M9</t>
  </si>
  <si>
    <t>M10</t>
  </si>
  <si>
    <t>M13</t>
  </si>
  <si>
    <t>M15</t>
  </si>
  <si>
    <t>M1 occ:</t>
  </si>
  <si>
    <t>M2 occ:</t>
  </si>
  <si>
    <t>M9 occ:</t>
  </si>
  <si>
    <t>M10 occ:</t>
  </si>
  <si>
    <t>M13 occ:</t>
  </si>
  <si>
    <t>M15 occ:</t>
  </si>
  <si>
    <t>G0044570.JPG</t>
  </si>
  <si>
    <t>G0044571.JPG</t>
  </si>
  <si>
    <t>G0044572.JPG</t>
  </si>
  <si>
    <t>G0044573.JPG</t>
  </si>
  <si>
    <t>G0044574.JPG</t>
  </si>
  <si>
    <t>G0044575.JPG</t>
  </si>
  <si>
    <t>G0044576.JPG</t>
  </si>
  <si>
    <t>G0044577.JPG</t>
  </si>
  <si>
    <t>G0044578.JPG</t>
  </si>
  <si>
    <t>G0044579.JPG</t>
  </si>
  <si>
    <t>G0044580.JPG</t>
  </si>
  <si>
    <t>G0044581.JPG</t>
  </si>
  <si>
    <t>G0044582.JPG</t>
  </si>
  <si>
    <t>G0044583.JPG</t>
  </si>
  <si>
    <t>G0044584.JPG</t>
  </si>
  <si>
    <t>G0044585.JPG</t>
  </si>
  <si>
    <t>G0044586.JPG</t>
  </si>
  <si>
    <t>G0044587.JPG</t>
  </si>
  <si>
    <t>G0044588.JPG</t>
  </si>
  <si>
    <t>G0044589.JPG</t>
  </si>
  <si>
    <t>G0044590.JPG</t>
  </si>
  <si>
    <t>G0044591.JPG</t>
  </si>
  <si>
    <t>G0044592.JPG</t>
  </si>
  <si>
    <t>G0044593.JPG</t>
  </si>
  <si>
    <t>G0044594.JPG</t>
  </si>
  <si>
    <t>G0044595.JPG</t>
  </si>
  <si>
    <t>G0044596.JPG</t>
  </si>
  <si>
    <t>G0044597.JPG</t>
  </si>
  <si>
    <t>G0044598.JPG</t>
  </si>
  <si>
    <t>G0044599.JPG</t>
  </si>
  <si>
    <t>G0044600.JPG</t>
  </si>
  <si>
    <t>G0044601.JPG</t>
  </si>
  <si>
    <t>G0044602.JPG</t>
  </si>
  <si>
    <t>G0044603.JPG</t>
  </si>
  <si>
    <t>G0044604.JPG</t>
  </si>
  <si>
    <t>G0044605.JPG</t>
  </si>
  <si>
    <t>G0044606.JPG</t>
  </si>
  <si>
    <t>G0044607.JPG</t>
  </si>
  <si>
    <t>G0044608.JPG</t>
  </si>
  <si>
    <t>G0044609.JPG</t>
  </si>
  <si>
    <t>G0044610.JPG</t>
  </si>
  <si>
    <t>G0044611.JPG</t>
  </si>
  <si>
    <t>G0044612.JPG</t>
  </si>
  <si>
    <t>G0044613.JPG</t>
  </si>
  <si>
    <t>G0044614.JPG</t>
  </si>
  <si>
    <t>G0044615.JPG</t>
  </si>
  <si>
    <t>G0044616.JPG</t>
  </si>
  <si>
    <t>G0044617.JPG</t>
  </si>
  <si>
    <t>G0044618.JPG</t>
  </si>
  <si>
    <t>G0044619.JPG</t>
  </si>
  <si>
    <t>G0044620.JPG</t>
  </si>
  <si>
    <t>G0044621.JPG</t>
  </si>
  <si>
    <t>G0044622.JPG</t>
  </si>
  <si>
    <t>G0044623.JPG</t>
  </si>
  <si>
    <t>G0044624.JPG</t>
  </si>
  <si>
    <t>G0044625.JPG</t>
  </si>
  <si>
    <t>G0044626.JPG</t>
  </si>
  <si>
    <t>G0044627.JPG</t>
  </si>
  <si>
    <t>G0044628.JPG</t>
  </si>
  <si>
    <t>G0044629.JPG</t>
  </si>
  <si>
    <t>G0044630.JPG</t>
  </si>
  <si>
    <t>G0044631.JPG</t>
  </si>
  <si>
    <t>G0044632.JPG</t>
  </si>
  <si>
    <t>G0044633.JPG</t>
  </si>
  <si>
    <t>G0044634.JPG</t>
  </si>
  <si>
    <t>G0044635.JPG</t>
  </si>
  <si>
    <t>G0044636.JPG</t>
  </si>
  <si>
    <t>G0044637.JPG</t>
  </si>
  <si>
    <t>G0044638.JPG</t>
  </si>
  <si>
    <t>G0044639.JPG</t>
  </si>
  <si>
    <t>G0044640.JPG</t>
  </si>
  <si>
    <t>G0044641.JPG</t>
  </si>
  <si>
    <t>G0044642.JPG</t>
  </si>
  <si>
    <t>G0044643.JPG</t>
  </si>
  <si>
    <t>G0044644.JPG</t>
  </si>
  <si>
    <t>G0044645.JPG</t>
  </si>
  <si>
    <t>G0044646.JPG</t>
  </si>
  <si>
    <t>G0044647.JPG</t>
  </si>
  <si>
    <t>G0044648.JPG</t>
  </si>
  <si>
    <t>G0044649.JPG</t>
  </si>
  <si>
    <t>G0044650.JPG</t>
  </si>
  <si>
    <t>G0044651.JPG</t>
  </si>
  <si>
    <t>G0044652.JPG</t>
  </si>
  <si>
    <t>G0044653.JPG</t>
  </si>
  <si>
    <t>G0044654.JPG</t>
  </si>
  <si>
    <t>G0044655.JPG</t>
  </si>
  <si>
    <t>G0044656.JPG</t>
  </si>
  <si>
    <t>G0044657.JPG</t>
  </si>
  <si>
    <t>G0044658.JPG</t>
  </si>
  <si>
    <t>G0044659.JPG</t>
  </si>
  <si>
    <t>G0044660.JPG</t>
  </si>
  <si>
    <t>G0044661.JPG</t>
  </si>
  <si>
    <t>G0044662.JPG</t>
  </si>
  <si>
    <t>G0044663.JPG</t>
  </si>
  <si>
    <t>G0044664.JPG</t>
  </si>
  <si>
    <t>G0044665.JPG</t>
  </si>
  <si>
    <t>G0044666.JPG</t>
  </si>
  <si>
    <t>G0044667.JPG</t>
  </si>
  <si>
    <t>G0044668.JPG</t>
  </si>
  <si>
    <t>G0044669.JPG</t>
  </si>
  <si>
    <t>G0044670.JPG</t>
  </si>
  <si>
    <t>G0044671.JPG</t>
  </si>
  <si>
    <t>G0044672.JPG</t>
  </si>
  <si>
    <t>G0044673.JPG</t>
  </si>
  <si>
    <t>G0044674.JPG</t>
  </si>
  <si>
    <t>G0044675.JPG</t>
  </si>
  <si>
    <t>G0044676.JPG</t>
  </si>
  <si>
    <t>G0044677.JPG</t>
  </si>
  <si>
    <t>G0044678.JPG</t>
  </si>
  <si>
    <t>G0044679.JPG</t>
  </si>
  <si>
    <t>G0044680.JPG</t>
  </si>
  <si>
    <t>G0044681.JPG</t>
  </si>
  <si>
    <t>G0044682.JPG</t>
  </si>
  <si>
    <t>G0044683.JPG</t>
  </si>
  <si>
    <t>G0044684.JPG</t>
  </si>
  <si>
    <t>G0044685.JPG</t>
  </si>
  <si>
    <t>G0044686.JPG</t>
  </si>
  <si>
    <t>G0044687.JPG</t>
  </si>
  <si>
    <t>G0044688.JPG</t>
  </si>
  <si>
    <t>G0044689.JPG</t>
  </si>
  <si>
    <t>G0044690.JPG</t>
  </si>
  <si>
    <t>G0044691.JPG</t>
  </si>
  <si>
    <t>G0044692.JPG</t>
  </si>
  <si>
    <t>G0044693.JPG</t>
  </si>
  <si>
    <t>G0044694.JPG</t>
  </si>
  <si>
    <t>G0044695.JPG</t>
  </si>
  <si>
    <t>G0044696.JPG</t>
  </si>
  <si>
    <t>G0044697.JPG</t>
  </si>
  <si>
    <t>G0044698.JPG</t>
  </si>
  <si>
    <t>G0044699.JPG</t>
  </si>
  <si>
    <t>G0044700.JPG</t>
  </si>
  <si>
    <t>G0044701.JPG</t>
  </si>
  <si>
    <t>G0044702.JPG</t>
  </si>
  <si>
    <t>G0044703.JPG</t>
  </si>
  <si>
    <t>G0044704.JPG</t>
  </si>
  <si>
    <t>G0044705.JPG</t>
  </si>
  <si>
    <t>G0044706.JPG</t>
  </si>
  <si>
    <t>G0044707.JPG</t>
  </si>
  <si>
    <t>G0044708.JPG</t>
  </si>
  <si>
    <t>G0044709.JPG</t>
  </si>
  <si>
    <t>G0044710.JPG</t>
  </si>
  <si>
    <t>G0044711.JPG</t>
  </si>
  <si>
    <t>G0044712.JPG</t>
  </si>
  <si>
    <t>G0044713.JPG</t>
  </si>
  <si>
    <t>G0044714.JPG</t>
  </si>
  <si>
    <t>G0044715.JPG</t>
  </si>
  <si>
    <t>G0044716.JPG</t>
  </si>
  <si>
    <t>G0044717.JPG</t>
  </si>
  <si>
    <t>G0044718.JPG</t>
  </si>
  <si>
    <t>G0044719.JPG</t>
  </si>
  <si>
    <t>G0044720.JPG</t>
  </si>
  <si>
    <t>G0044721.JPG</t>
  </si>
  <si>
    <t>G0044722.JPG</t>
  </si>
  <si>
    <t>G0044723.JPG</t>
  </si>
  <si>
    <t>G0044724.JPG</t>
  </si>
  <si>
    <t>G0044725.JPG</t>
  </si>
  <si>
    <t>G0044726.JPG</t>
  </si>
  <si>
    <t>G0044727.JPG</t>
  </si>
  <si>
    <t>G0044728.JPG</t>
  </si>
  <si>
    <t>G0044729.JPG</t>
  </si>
  <si>
    <t>G0044730.JPG</t>
  </si>
  <si>
    <t>G0044731.JPG</t>
  </si>
  <si>
    <t>G0044732.JPG</t>
  </si>
  <si>
    <t>G0044733.JPG</t>
  </si>
  <si>
    <t>G0044734.JPG</t>
  </si>
  <si>
    <t>G0044735.JPG</t>
  </si>
  <si>
    <t>G0044736.JPG</t>
  </si>
  <si>
    <t>G0044737.JPG</t>
  </si>
  <si>
    <t>G0044738.JPG</t>
  </si>
  <si>
    <t>G0044739.JPG</t>
  </si>
  <si>
    <t>G0044740.JPG</t>
  </si>
  <si>
    <t>G0044741.JPG</t>
  </si>
  <si>
    <t>G0044742.JPG</t>
  </si>
  <si>
    <t>G0044743.JPG</t>
  </si>
  <si>
    <t>G0044744.JPG</t>
  </si>
  <si>
    <t>G0044745.JPG</t>
  </si>
  <si>
    <t>G0044746.JPG</t>
  </si>
  <si>
    <t>G0044747.JPG</t>
  </si>
  <si>
    <t>G0044748.JPG</t>
  </si>
  <si>
    <t>G0044749.JPG</t>
  </si>
  <si>
    <t>G0044750.JPG</t>
  </si>
  <si>
    <t>G0044751.JPG</t>
  </si>
  <si>
    <t>G0044752.JPG</t>
  </si>
  <si>
    <t>G0044753.JPG</t>
  </si>
  <si>
    <t>G0044754.JPG</t>
  </si>
  <si>
    <t>G0044755.JPG</t>
  </si>
  <si>
    <t>G0044756.JPG</t>
  </si>
  <si>
    <t>G0044757.JPG</t>
  </si>
  <si>
    <t>G0044758.JPG</t>
  </si>
  <si>
    <t>G0044759.JPG</t>
  </si>
  <si>
    <t>G0044760.JPG</t>
  </si>
  <si>
    <t>G0044761.JPG</t>
  </si>
  <si>
    <t>G0044762.JPG</t>
  </si>
  <si>
    <t>G0044763.JPG</t>
  </si>
  <si>
    <t>G0044764.JPG</t>
  </si>
  <si>
    <t>G0044765.JPG</t>
  </si>
  <si>
    <t>G0044766.JPG</t>
  </si>
  <si>
    <t>G0044767.JPG</t>
  </si>
  <si>
    <t>G0044768.JPG</t>
  </si>
  <si>
    <t>G0044769.JPG</t>
  </si>
  <si>
    <t>G0044770.JPG</t>
  </si>
  <si>
    <t>G0044771.JPG</t>
  </si>
  <si>
    <t>G0044772.JPG</t>
  </si>
  <si>
    <t>G0044773.JPG</t>
  </si>
  <si>
    <t>G0044774.JPG</t>
  </si>
  <si>
    <t>G0044775.JPG</t>
  </si>
  <si>
    <t>G0044776.JPG</t>
  </si>
  <si>
    <t>G0044777.JPG</t>
  </si>
  <si>
    <t>G0044778.JPG</t>
  </si>
  <si>
    <t>G0044779.JPG</t>
  </si>
  <si>
    <t>G0044780.JPG</t>
  </si>
  <si>
    <t>G0044781.JPG</t>
  </si>
  <si>
    <t>G0044782.JPG</t>
  </si>
  <si>
    <t>G0044783.JPG</t>
  </si>
  <si>
    <t>G0044784.JPG</t>
  </si>
  <si>
    <t>G0044785.JPG</t>
  </si>
  <si>
    <t>G0044786.JPG</t>
  </si>
  <si>
    <t>G0044787.JPG</t>
  </si>
  <si>
    <t>G0044788.JPG</t>
  </si>
  <si>
    <t>G0044789.JPG</t>
  </si>
  <si>
    <t>G0044790.JPG</t>
  </si>
  <si>
    <t>G0044791.JPG</t>
  </si>
  <si>
    <t>G0044792.JPG</t>
  </si>
  <si>
    <t>G0044793.JPG</t>
  </si>
  <si>
    <t>G0044794.JPG</t>
  </si>
  <si>
    <t>G0044795.JPG</t>
  </si>
  <si>
    <t>G0044796.JPG</t>
  </si>
  <si>
    <t>G0044797.JPG</t>
  </si>
  <si>
    <t>G0044798.JPG</t>
  </si>
  <si>
    <t>G0044799.JPG</t>
  </si>
  <si>
    <t>G0044800.JPG</t>
  </si>
  <si>
    <t>G0044801.JPG</t>
  </si>
  <si>
    <t>G0044802.JPG</t>
  </si>
  <si>
    <t>G0044803.JPG</t>
  </si>
  <si>
    <t>G0044804.JPG</t>
  </si>
  <si>
    <t>G0044805.JPG</t>
  </si>
  <si>
    <t>G0044806.JPG</t>
  </si>
  <si>
    <t>G0044807.JPG</t>
  </si>
  <si>
    <t>G0044808.JPG</t>
  </si>
  <si>
    <t>G0044809.JPG</t>
  </si>
  <si>
    <t>G0044810.JPG</t>
  </si>
  <si>
    <t>G0044811.JPG</t>
  </si>
  <si>
    <t>G0044812.JPG</t>
  </si>
  <si>
    <t>G0044813.JPG</t>
  </si>
  <si>
    <t>G0044814.JPG</t>
  </si>
  <si>
    <t>G0044815.JPG</t>
  </si>
  <si>
    <t>G0044816.JPG</t>
  </si>
  <si>
    <t>G0044817.JPG</t>
  </si>
  <si>
    <t>G0044818.JPG</t>
  </si>
  <si>
    <t>G0044819.JPG</t>
  </si>
  <si>
    <t>G0044820.JPG</t>
  </si>
  <si>
    <t>G0044821.JPG</t>
  </si>
  <si>
    <t>G0044822.JPG</t>
  </si>
  <si>
    <t>G0044823.JPG</t>
  </si>
  <si>
    <t>G0044824.JPG</t>
  </si>
  <si>
    <t>G0044825.JPG</t>
  </si>
  <si>
    <t>G0044826.JPG</t>
  </si>
  <si>
    <t>G0044827.JPG</t>
  </si>
  <si>
    <t>G0044828.JPG</t>
  </si>
  <si>
    <t>G0044829.JPG</t>
  </si>
  <si>
    <t>G0044830.JPG</t>
  </si>
  <si>
    <t>G0044831.JPG</t>
  </si>
  <si>
    <t>G0044832.JPG</t>
  </si>
  <si>
    <t>G0044833.JPG</t>
  </si>
  <si>
    <t>G0044834.JPG</t>
  </si>
  <si>
    <t>G0044835.JPG</t>
  </si>
  <si>
    <t>G0044836.JPG</t>
  </si>
  <si>
    <t>G0044837.JPG</t>
  </si>
  <si>
    <t>G0044838.JPG</t>
  </si>
  <si>
    <t>G0044839.JPG</t>
  </si>
  <si>
    <t>G0044840.JPG</t>
  </si>
  <si>
    <t>G0044841.JPG</t>
  </si>
  <si>
    <t>G0044842.JPG</t>
  </si>
  <si>
    <t>G0044843.JPG</t>
  </si>
  <si>
    <t>G0044844.JPG</t>
  </si>
  <si>
    <t>G0044845.JPG</t>
  </si>
  <si>
    <t>G0044846.JPG</t>
  </si>
  <si>
    <t>G0044847.JPG</t>
  </si>
  <si>
    <t>G0044848.JPG</t>
  </si>
  <si>
    <t>G0044849.JPG</t>
  </si>
  <si>
    <t>G0044850.JPG</t>
  </si>
  <si>
    <t>G0044851.JPG</t>
  </si>
  <si>
    <t>G0044852.JPG</t>
  </si>
  <si>
    <t>G0044853.JPG</t>
  </si>
  <si>
    <t>G0044854.JPG</t>
  </si>
  <si>
    <t>G0044855.JPG</t>
  </si>
  <si>
    <t>G0044856.JPG</t>
  </si>
  <si>
    <t>G0044857.JPG</t>
  </si>
  <si>
    <t>G0044858.JPG</t>
  </si>
  <si>
    <t>G0044859.JPG</t>
  </si>
  <si>
    <t>G0044860.JPG</t>
  </si>
  <si>
    <t>G0044861.JPG</t>
  </si>
  <si>
    <t>G0044862.JPG</t>
  </si>
  <si>
    <t>G0044863.JPG</t>
  </si>
  <si>
    <t>G0044864.JPG</t>
  </si>
  <si>
    <t>G0044865.JPG</t>
  </si>
  <si>
    <t>G0044866.JPG</t>
  </si>
  <si>
    <t>G0044867.JPG</t>
  </si>
  <si>
    <t>G0044868.JPG</t>
  </si>
  <si>
    <t>G0044869.JPG</t>
  </si>
  <si>
    <t>G0044870.JPG</t>
  </si>
  <si>
    <t>G0044871.JPG</t>
  </si>
  <si>
    <t>G0044872.JPG</t>
  </si>
  <si>
    <t>G0044873.JPG</t>
  </si>
  <si>
    <t>G0044874.JPG</t>
  </si>
  <si>
    <t>G0044875.JPG</t>
  </si>
  <si>
    <t>G0044876.JPG</t>
  </si>
  <si>
    <t>G0044877.JPG</t>
  </si>
  <si>
    <t>G0044878.JPG</t>
  </si>
  <si>
    <t>G0044879.JPG</t>
  </si>
  <si>
    <t>G0044880.JPG</t>
  </si>
  <si>
    <t>G0044881.JPG</t>
  </si>
  <si>
    <t>G0044882.JPG</t>
  </si>
  <si>
    <t>G0044883.JPG</t>
  </si>
  <si>
    <t>G0044884.JPG</t>
  </si>
  <si>
    <t>G0044885.JPG</t>
  </si>
  <si>
    <t>G0044886.JPG</t>
  </si>
  <si>
    <t>G0044887.JPG</t>
  </si>
  <si>
    <t>G0044888.JPG</t>
  </si>
  <si>
    <t>G0044889.JPG</t>
  </si>
  <si>
    <t>G0044890.JPG</t>
  </si>
  <si>
    <t>G0044891.JPG</t>
  </si>
  <si>
    <t>G0044892.JPG</t>
  </si>
  <si>
    <t>G0044893.JPG</t>
  </si>
  <si>
    <t>G0044894.JPG</t>
  </si>
  <si>
    <t>G0044895.JPG</t>
  </si>
  <si>
    <t>G0044896.JPG</t>
  </si>
  <si>
    <t>G0044897.JPG</t>
  </si>
  <si>
    <t>G0044898.JPG</t>
  </si>
  <si>
    <t>G0044899.JPG</t>
  </si>
  <si>
    <t>G0044900.JPG</t>
  </si>
  <si>
    <t>G0044901.JPG</t>
  </si>
  <si>
    <t>G0044902.JPG</t>
  </si>
  <si>
    <t>G0044903.JPG</t>
  </si>
  <si>
    <t>G0044904.JPG</t>
  </si>
  <si>
    <t>G0044905.JPG</t>
  </si>
  <si>
    <t>G0044906.JPG</t>
  </si>
  <si>
    <t>G0044907.JPG</t>
  </si>
  <si>
    <t>G0044908.JPG</t>
  </si>
  <si>
    <t>G0044909.JPG</t>
  </si>
  <si>
    <t>G0044910.JPG</t>
  </si>
  <si>
    <t>G0044911.JPG</t>
  </si>
  <si>
    <t>G0044912.JPG</t>
  </si>
  <si>
    <t>G0044913.JPG</t>
  </si>
  <si>
    <t>G0044914.JPG</t>
  </si>
  <si>
    <t>G0044915.JPG</t>
  </si>
  <si>
    <t>G0044916.JPG</t>
  </si>
  <si>
    <t>G0044917.JPG</t>
  </si>
  <si>
    <t>G0044918.JPG</t>
  </si>
  <si>
    <t>G0044919.JPG</t>
  </si>
  <si>
    <t>G0044920.JPG</t>
  </si>
  <si>
    <t>G0044921.JPG</t>
  </si>
  <si>
    <t>G0044922.JPG</t>
  </si>
  <si>
    <t>G0044923.JPG</t>
  </si>
  <si>
    <t>G0044924.JPG</t>
  </si>
  <si>
    <t>G0044925.JPG</t>
  </si>
  <si>
    <t>G0044926.JPG</t>
  </si>
  <si>
    <t>G0044927.JPG</t>
  </si>
  <si>
    <t>G0044928.JPG</t>
  </si>
  <si>
    <t>G0044929.JPG</t>
  </si>
  <si>
    <t>G0044930.JPG</t>
  </si>
  <si>
    <t>G0044931.JPG</t>
  </si>
  <si>
    <t>G0044932.JPG</t>
  </si>
  <si>
    <t>G0044933.JPG</t>
  </si>
  <si>
    <t>G0044934.JPG</t>
  </si>
  <si>
    <t>G0044935.JPG</t>
  </si>
  <si>
    <t>G0044936.JPG</t>
  </si>
  <si>
    <t>G0044937.JPG</t>
  </si>
  <si>
    <t>G0044938.JPG</t>
  </si>
  <si>
    <t>G0044939.JPG</t>
  </si>
  <si>
    <t>G0044940.JPG</t>
  </si>
  <si>
    <t>G0044941.JPG</t>
  </si>
  <si>
    <t>G0044942.JPG</t>
  </si>
  <si>
    <t>G0044943.JPG</t>
  </si>
  <si>
    <t>G0044944.JPG</t>
  </si>
  <si>
    <t>G0044945.JPG</t>
  </si>
  <si>
    <t>G0044946.JPG</t>
  </si>
  <si>
    <t>G0044947.JPG</t>
  </si>
  <si>
    <t>G0044948.JPG</t>
  </si>
  <si>
    <t>G0044949.JPG</t>
  </si>
  <si>
    <t>G0044950.JPG</t>
  </si>
  <si>
    <t>G0044951.JPG</t>
  </si>
  <si>
    <t>G0044952.JPG</t>
  </si>
  <si>
    <t>G0044953.JPG</t>
  </si>
  <si>
    <t>G0044954.JPG</t>
  </si>
  <si>
    <t>G0044955.JPG</t>
  </si>
  <si>
    <t>G0044956.JPG</t>
  </si>
  <si>
    <t>G0044957.JPG</t>
  </si>
  <si>
    <t>G0044958.JPG</t>
  </si>
  <si>
    <t>G0044959.JPG</t>
  </si>
  <si>
    <t>G0044960.JPG</t>
  </si>
  <si>
    <t>G0044961.JPG</t>
  </si>
  <si>
    <t>G0044962.JPG</t>
  </si>
  <si>
    <t>G0044963.JPG</t>
  </si>
  <si>
    <t>G0044964.JPG</t>
  </si>
  <si>
    <t>G0044965.JPG</t>
  </si>
  <si>
    <t>G0044966.JPG</t>
  </si>
  <si>
    <t>G0044967.JPG</t>
  </si>
  <si>
    <t>G0044968.JPG</t>
  </si>
  <si>
    <t>G0044969.JPG</t>
  </si>
  <si>
    <t>G0044970.JPG</t>
  </si>
  <si>
    <t>G0044971.JPG</t>
  </si>
  <si>
    <t>G0044972.JPG</t>
  </si>
  <si>
    <t>G0044973.JPG</t>
  </si>
  <si>
    <t>G0044974.JPG</t>
  </si>
  <si>
    <t>G0044975.JPG</t>
  </si>
  <si>
    <t>G0044976.JPG</t>
  </si>
  <si>
    <t>G0044977.JPG</t>
  </si>
  <si>
    <t>G0044978.JPG</t>
  </si>
  <si>
    <t>G0044979.JPG</t>
  </si>
  <si>
    <t>G0044980.JPG</t>
  </si>
  <si>
    <t>G0044981.JPG</t>
  </si>
  <si>
    <t>G0044982.JPG</t>
  </si>
  <si>
    <t>G0044983.JPG</t>
  </si>
  <si>
    <t>G0044984.JPG</t>
  </si>
  <si>
    <t>G0044985.JPG</t>
  </si>
  <si>
    <t>G0044986.JPG</t>
  </si>
  <si>
    <t>G0044987.JPG</t>
  </si>
  <si>
    <t>G0044988.JPG</t>
  </si>
  <si>
    <t>G0044989.JPG</t>
  </si>
  <si>
    <t>G0044990.JPG</t>
  </si>
  <si>
    <t>G0044991.JPG</t>
  </si>
  <si>
    <t>G0044992.JPG</t>
  </si>
  <si>
    <t>G0044993.JPG</t>
  </si>
  <si>
    <t>G0044994.JPG</t>
  </si>
  <si>
    <t>G0044995.JPG</t>
  </si>
  <si>
    <t>G0044996.JPG</t>
  </si>
  <si>
    <t>G0044997.JPG</t>
  </si>
  <si>
    <t>G0044998.JPG</t>
  </si>
  <si>
    <t>G0044999.JPG</t>
  </si>
  <si>
    <t>G0045000.JPG</t>
  </si>
  <si>
    <t>G0045001.JPG</t>
  </si>
  <si>
    <t>G0045002.JPG</t>
  </si>
  <si>
    <t>G0045003.JPG</t>
  </si>
  <si>
    <t>G0045004.JPG</t>
  </si>
  <si>
    <t>G0045005.JPG</t>
  </si>
  <si>
    <t>G0045006.JPG</t>
  </si>
  <si>
    <t>G0045007.JPG</t>
  </si>
  <si>
    <t>G0045008.JPG</t>
  </si>
  <si>
    <t>G0045009.JPG</t>
  </si>
  <si>
    <t>G0045010.JPG</t>
  </si>
  <si>
    <t>G0045011.JPG</t>
  </si>
  <si>
    <t>G0045012.JPG</t>
  </si>
  <si>
    <t>G0045013.JPG</t>
  </si>
  <si>
    <t>G0045014.JPG</t>
  </si>
  <si>
    <t>G0045015.JPG</t>
  </si>
  <si>
    <t>G0045016.JPG</t>
  </si>
  <si>
    <t>G0045017.JPG</t>
  </si>
  <si>
    <t>G0045018.JPG</t>
  </si>
  <si>
    <t>G0045019.JPG</t>
  </si>
  <si>
    <t>COLORCHECKER</t>
  </si>
  <si>
    <t>G0045020.JPG</t>
  </si>
  <si>
    <t>G0045021.JPG</t>
  </si>
  <si>
    <t>G0045022.JPG</t>
  </si>
  <si>
    <t>G0045023.JPG</t>
  </si>
  <si>
    <t>G0045024.JPG</t>
  </si>
  <si>
    <t>G0045025.JPG</t>
  </si>
  <si>
    <t>G0045026.JPG</t>
  </si>
  <si>
    <t>G0045027.JPG</t>
  </si>
  <si>
    <t>G0045028.JPG</t>
  </si>
  <si>
    <t>G0045029.JPG</t>
  </si>
  <si>
    <t>G0045030.JPG</t>
  </si>
  <si>
    <t>G0045031.JPG</t>
  </si>
  <si>
    <t>G0045032.JPG</t>
  </si>
  <si>
    <t>G0045033.JPG</t>
  </si>
  <si>
    <t>G0045034.JPG</t>
  </si>
  <si>
    <t>G0045035.JPG</t>
  </si>
  <si>
    <t>G0045036.JPG</t>
  </si>
  <si>
    <t>G0045037.JPG</t>
  </si>
  <si>
    <t>G0045038.JPG</t>
  </si>
  <si>
    <t>G0045039.JPG</t>
  </si>
  <si>
    <t>G0045040.JPG</t>
  </si>
  <si>
    <t>G0045041.JPG</t>
  </si>
  <si>
    <t>G0045042.JPG</t>
  </si>
  <si>
    <t>G0045043.JPG</t>
  </si>
  <si>
    <t>G0045044.JPG</t>
  </si>
  <si>
    <t>G0045045.JPG</t>
  </si>
  <si>
    <t>G0045046.JPG</t>
  </si>
  <si>
    <t>G0045047.JPG</t>
  </si>
  <si>
    <t>G0045048.JPG</t>
  </si>
  <si>
    <t>G0045049.JPG</t>
  </si>
  <si>
    <t>G0045050.JPG</t>
  </si>
  <si>
    <t>G0045051.JPG</t>
  </si>
  <si>
    <t>G0045052.JPG</t>
  </si>
  <si>
    <t>G0045053.JPG</t>
  </si>
  <si>
    <t>G0045054.JPG</t>
  </si>
  <si>
    <t>G0045055.JPG</t>
  </si>
  <si>
    <t>G0045056.JPG</t>
  </si>
  <si>
    <t>G0045057.JPG</t>
  </si>
  <si>
    <t>G0045058.JPG</t>
  </si>
  <si>
    <t>G0045059.JPG</t>
  </si>
  <si>
    <t>G0045060.JPG</t>
  </si>
  <si>
    <t>G0045061.JPG</t>
  </si>
  <si>
    <t>G0045062.JPG</t>
  </si>
  <si>
    <t>G0045063.JPG</t>
  </si>
  <si>
    <t>G0045064.JPG</t>
  </si>
  <si>
    <t>G0045065.JPG</t>
  </si>
  <si>
    <t>G0045066.JPG</t>
  </si>
  <si>
    <t>G0045067.JPG</t>
  </si>
  <si>
    <t>G0045068.JPG</t>
  </si>
  <si>
    <t>G0045069.JPG</t>
  </si>
  <si>
    <t>G0045070.JPG</t>
  </si>
  <si>
    <t>G0045071.JPG</t>
  </si>
  <si>
    <t>G0045072.JPG</t>
  </si>
  <si>
    <t>G0045073.JPG</t>
  </si>
  <si>
    <t>G0045074.JPG</t>
  </si>
  <si>
    <t>G0045075.JPG</t>
  </si>
  <si>
    <t>G0045076.JPG</t>
  </si>
  <si>
    <t>G0045077.JPG</t>
  </si>
  <si>
    <t>G0045078.JPG</t>
  </si>
  <si>
    <t>G0045079.JPG</t>
  </si>
  <si>
    <t>G0045080.JPG</t>
  </si>
  <si>
    <t>G0045081.JPG</t>
  </si>
  <si>
    <t>G0045082.JPG</t>
  </si>
  <si>
    <t>G0045083.JPG</t>
  </si>
  <si>
    <t>G0045084.JPG</t>
  </si>
  <si>
    <t>G0045085.JPG</t>
  </si>
  <si>
    <t>G0045086.JPG</t>
  </si>
  <si>
    <t>G0045087.JPG</t>
  </si>
  <si>
    <t>G0045088.JPG</t>
  </si>
  <si>
    <t>G0045089.JPG</t>
  </si>
  <si>
    <t>G0045090.JPG</t>
  </si>
  <si>
    <t>G0045091.JPG</t>
  </si>
  <si>
    <t>G0045092.JPG</t>
  </si>
  <si>
    <t>G0045093.JPG</t>
  </si>
  <si>
    <t>G0045094.JPG</t>
  </si>
  <si>
    <t>G0045095.JPG</t>
  </si>
  <si>
    <t>G0045096.JPG</t>
  </si>
  <si>
    <t>G0045097.JPG</t>
  </si>
  <si>
    <t>G0045098.JPG</t>
  </si>
  <si>
    <t>G0045099.JPG</t>
  </si>
  <si>
    <t>G0045100.JPG</t>
  </si>
  <si>
    <t>G0045101.JPG</t>
  </si>
  <si>
    <t>G0045102.JPG</t>
  </si>
  <si>
    <t>G0045103.JPG</t>
  </si>
  <si>
    <t>G0045104.JPG</t>
  </si>
  <si>
    <t>G0045105.JPG</t>
  </si>
  <si>
    <t>G0045106.JPG</t>
  </si>
  <si>
    <t>G0045107.JPG</t>
  </si>
  <si>
    <t>G0045108.JPG</t>
  </si>
  <si>
    <t>G0045109.JPG</t>
  </si>
  <si>
    <t>G0045110.JPG</t>
  </si>
  <si>
    <t>G0045111.JPG</t>
  </si>
  <si>
    <t>G0045112.JPG</t>
  </si>
  <si>
    <t>G0045113.JPG</t>
  </si>
  <si>
    <t>G0045114.JPG</t>
  </si>
  <si>
    <t>G0045115.JPG</t>
  </si>
  <si>
    <t>G0045116.JPG</t>
  </si>
  <si>
    <t>G0045117.JPG</t>
  </si>
  <si>
    <t>G0045118.JPG</t>
  </si>
  <si>
    <t>G0045119.JPG</t>
  </si>
  <si>
    <t>G0045120.JPG</t>
  </si>
  <si>
    <t>G0045121.JPG</t>
  </si>
  <si>
    <t>G0045122.JPG</t>
  </si>
  <si>
    <t>G0045123.JPG</t>
  </si>
  <si>
    <t>G0045124.JPG</t>
  </si>
  <si>
    <t>G0045125.JPG</t>
  </si>
  <si>
    <t>G0045126.JPG</t>
  </si>
  <si>
    <t>G0045127.JPG</t>
  </si>
  <si>
    <t>G0045128.JPG</t>
  </si>
  <si>
    <t>G0045129.JPG</t>
  </si>
  <si>
    <t>G0045130.JPG</t>
  </si>
  <si>
    <t>G0045131.JPG</t>
  </si>
  <si>
    <t>G0045132.JPG</t>
  </si>
  <si>
    <t>G0045133.JPG</t>
  </si>
  <si>
    <t>G0045134.JPG</t>
  </si>
  <si>
    <t>G0045135.JPG</t>
  </si>
  <si>
    <t>G0045136.JPG</t>
  </si>
  <si>
    <t>G0045137.JPG</t>
  </si>
  <si>
    <t>G0045138.JPG</t>
  </si>
  <si>
    <t>G0045139.JPG</t>
  </si>
  <si>
    <t>G0045140.JPG</t>
  </si>
  <si>
    <t>G0045141.JPG</t>
  </si>
  <si>
    <t>G0045142.JPG</t>
  </si>
  <si>
    <t>G0045143.JPG</t>
  </si>
  <si>
    <t>G0045144.JPG</t>
  </si>
  <si>
    <t>G0045145.JPG</t>
  </si>
  <si>
    <t>G0045146.JPG</t>
  </si>
  <si>
    <t>G0045147.JPG</t>
  </si>
  <si>
    <t>G0045148.JPG</t>
  </si>
  <si>
    <t>G0045149.JPG</t>
  </si>
  <si>
    <t>G0045150.JPG</t>
  </si>
  <si>
    <t>G0045151.JPG</t>
  </si>
  <si>
    <t>G0045152.JPG</t>
  </si>
  <si>
    <t>G0045153.JPG</t>
  </si>
  <si>
    <t>G0045154.JPG</t>
  </si>
  <si>
    <t>G0045155.JPG</t>
  </si>
  <si>
    <t>G0045156.JPG</t>
  </si>
  <si>
    <t>G0045157.JPG</t>
  </si>
  <si>
    <t>G0045158.JPG</t>
  </si>
  <si>
    <t>G0045159.JPG</t>
  </si>
  <si>
    <t>G0045160.JPG</t>
  </si>
  <si>
    <t>G0045161.JPG</t>
  </si>
  <si>
    <t>G0045162.JPG</t>
  </si>
  <si>
    <t>G0045163.JPG</t>
  </si>
  <si>
    <t>G0045164.JPG</t>
  </si>
  <si>
    <t>G0045165.JPG</t>
  </si>
  <si>
    <t>G0045166.JPG</t>
  </si>
  <si>
    <t>G0045167.JPG</t>
  </si>
  <si>
    <t>G0045168.JPG</t>
  </si>
  <si>
    <t>G0045169.JPG</t>
  </si>
  <si>
    <t>G0045170.JPG</t>
  </si>
  <si>
    <t>G0045171.JPG</t>
  </si>
  <si>
    <t>G0045172.JPG</t>
  </si>
  <si>
    <t>G0045173.JPG</t>
  </si>
  <si>
    <t>G0045174.JPG</t>
  </si>
  <si>
    <t>G0045175.JPG</t>
  </si>
  <si>
    <t>G0045176.JPG</t>
  </si>
  <si>
    <t>G0045177.JPG</t>
  </si>
  <si>
    <t>G0045178.JPG</t>
  </si>
  <si>
    <t>G0045179.JPG</t>
  </si>
  <si>
    <t>G0045180.JPG</t>
  </si>
  <si>
    <t>G0045181.JPG</t>
  </si>
  <si>
    <t>G0045182.JPG</t>
  </si>
  <si>
    <t>G0045183.JPG</t>
  </si>
  <si>
    <t>G0045184.JPG</t>
  </si>
  <si>
    <t>G0045185.JPG</t>
  </si>
  <si>
    <t>G0045186.JPG</t>
  </si>
  <si>
    <t>G0045187.JPG</t>
  </si>
  <si>
    <t>G0045188.JPG</t>
  </si>
  <si>
    <t>G0045189.JPG</t>
  </si>
  <si>
    <t>G0045190.JPG</t>
  </si>
  <si>
    <t>G0045191.JPG</t>
  </si>
  <si>
    <t>G0045192.JPG</t>
  </si>
  <si>
    <t>G0045193.JPG</t>
  </si>
  <si>
    <t>G0045194.JPG</t>
  </si>
  <si>
    <t>G0045195.JPG</t>
  </si>
  <si>
    <t>G0045196.JPG</t>
  </si>
  <si>
    <t>G0045197.JPG</t>
  </si>
  <si>
    <t>G0045198.JPG</t>
  </si>
  <si>
    <t>G0045199.JPG</t>
  </si>
  <si>
    <t>G0045200.JPG</t>
  </si>
  <si>
    <t>G0045201.JPG</t>
  </si>
  <si>
    <t>G0045202.JPG</t>
  </si>
  <si>
    <t>G0045203.JPG</t>
  </si>
  <si>
    <t>G0045204.JPG</t>
  </si>
  <si>
    <t>G0045205.JPG</t>
  </si>
  <si>
    <t>G0045206.JPG</t>
  </si>
  <si>
    <t>G0045207.JPG</t>
  </si>
  <si>
    <t>G0045208.JPG</t>
  </si>
  <si>
    <t>G0045209.JPG</t>
  </si>
  <si>
    <t>G0045210.JPG</t>
  </si>
  <si>
    <t>G0045211.JPG</t>
  </si>
  <si>
    <t>G0045212.JPG</t>
  </si>
  <si>
    <t>G0045213.JPG</t>
  </si>
  <si>
    <t>G0045214.JPG</t>
  </si>
  <si>
    <t>G0045215.JPG</t>
  </si>
  <si>
    <t>G0045216.JPG</t>
  </si>
  <si>
    <t>G0045217.JPG</t>
  </si>
  <si>
    <t>G0045218.JPG</t>
  </si>
  <si>
    <t>G0045219.JPG</t>
  </si>
  <si>
    <t>G0045220.JPG</t>
  </si>
  <si>
    <t>G0045221.JPG</t>
  </si>
  <si>
    <t>G0045222.JPG</t>
  </si>
  <si>
    <t>G0045223.JPG</t>
  </si>
  <si>
    <t>G0045224.JPG</t>
  </si>
  <si>
    <t>G0045225.JPG</t>
  </si>
  <si>
    <t>G0045226.JPG</t>
  </si>
  <si>
    <t>G0045227.JPG</t>
  </si>
  <si>
    <t>G0045228.JPG</t>
  </si>
  <si>
    <t>G0045229.JPG</t>
  </si>
  <si>
    <t>G0045230.JPG</t>
  </si>
  <si>
    <t>G0045231.JPG</t>
  </si>
  <si>
    <t>G0045232.JPG</t>
  </si>
  <si>
    <t>G0045233.JPG</t>
  </si>
  <si>
    <t>G0045234.JPG</t>
  </si>
  <si>
    <t>G0045235.JPG</t>
  </si>
  <si>
    <t>G0045236.JPG</t>
  </si>
  <si>
    <t>G0045237.JPG</t>
  </si>
  <si>
    <t>G0045238.JPG</t>
  </si>
  <si>
    <t>G0045239.JPG</t>
  </si>
  <si>
    <t>G0045240.JPG</t>
  </si>
  <si>
    <t>G0045241.JPG</t>
  </si>
  <si>
    <t>G0045242.JPG</t>
  </si>
  <si>
    <t>G0045243.JPG</t>
  </si>
  <si>
    <t>G0045244.JPG</t>
  </si>
  <si>
    <t>G0045245.JPG</t>
  </si>
  <si>
    <t>G0045246.JPG</t>
  </si>
  <si>
    <t>G0045247.JPG</t>
  </si>
  <si>
    <t>G0045248.JPG</t>
  </si>
  <si>
    <t>G0045249.JPG</t>
  </si>
  <si>
    <t>G0045250.JPG</t>
  </si>
  <si>
    <t>G0045251.JPG</t>
  </si>
  <si>
    <t>G0045252.JPG</t>
  </si>
  <si>
    <t>G0045253.JPG</t>
  </si>
  <si>
    <t>G0045254.JPG</t>
  </si>
  <si>
    <t>G0045255.JPG</t>
  </si>
  <si>
    <t>G0045256.JPG</t>
  </si>
  <si>
    <t>G0045257.JPG</t>
  </si>
  <si>
    <t>G0045258.JPG</t>
  </si>
  <si>
    <t>G0045259.JPG</t>
  </si>
  <si>
    <t>G0045260.JPG</t>
  </si>
  <si>
    <t>G0045261.JPG</t>
  </si>
  <si>
    <t>G0045262.JPG</t>
  </si>
  <si>
    <t>G0045263.JPG</t>
  </si>
  <si>
    <t>G0045264.JPG</t>
  </si>
  <si>
    <t>G0045265.JPG</t>
  </si>
  <si>
    <t>G0045266.JPG</t>
  </si>
  <si>
    <t>G0045267.JPG</t>
  </si>
  <si>
    <t>G0045268.JPG</t>
  </si>
  <si>
    <t>G0045269.JPG</t>
  </si>
  <si>
    <t>G0045270.JPG</t>
  </si>
  <si>
    <t>G0045271.JPG</t>
  </si>
  <si>
    <t>G0045272.JPG</t>
  </si>
  <si>
    <t>G0045273.JPG</t>
  </si>
  <si>
    <t>G0045274.JPG</t>
  </si>
  <si>
    <t>G0045275.JPG</t>
  </si>
  <si>
    <t>G0045276.JPG</t>
  </si>
  <si>
    <t>G0045277.JPG</t>
  </si>
  <si>
    <t>G0045278.JPG</t>
  </si>
  <si>
    <t>G0045279.JPG</t>
  </si>
  <si>
    <t>G0045280.JPG</t>
  </si>
  <si>
    <t>G0045281.JPG</t>
  </si>
  <si>
    <t>G0045282.JPG</t>
  </si>
  <si>
    <t>G0045283.JPG</t>
  </si>
  <si>
    <t>G0045284.JPG</t>
  </si>
  <si>
    <t>G0045285.JPG</t>
  </si>
  <si>
    <t>G0045286.JPG</t>
  </si>
  <si>
    <t>G0045287.JPG</t>
  </si>
  <si>
    <t>G0045288.JPG</t>
  </si>
  <si>
    <t>G0045289.JPG</t>
  </si>
  <si>
    <t>G0045290.JPG</t>
  </si>
  <si>
    <t>G0045291.JPG</t>
  </si>
  <si>
    <t>G0045292.JPG</t>
  </si>
  <si>
    <t>G0045293.JPG</t>
  </si>
  <si>
    <t>G0045294.JPG</t>
  </si>
  <si>
    <t>G0045295.JPG</t>
  </si>
  <si>
    <t>G0045296.JPG</t>
  </si>
  <si>
    <t>G0045297.JPG</t>
  </si>
  <si>
    <t>G0045298.JPG</t>
  </si>
  <si>
    <t>G0045299.JPG</t>
  </si>
  <si>
    <t>G0045300.JPG</t>
  </si>
  <si>
    <t>G0045301.JPG</t>
  </si>
  <si>
    <t>G0045302.JPG</t>
  </si>
  <si>
    <t>G0045303.JPG</t>
  </si>
  <si>
    <t>G0045304.JPG</t>
  </si>
  <si>
    <t>G0045305.JPG</t>
  </si>
  <si>
    <t>G0045306.JPG</t>
  </si>
  <si>
    <t>G0045307.JPG</t>
  </si>
  <si>
    <t>G0045308.JPG</t>
  </si>
  <si>
    <t>G0045309.JPG</t>
  </si>
  <si>
    <t>G0045310.JPG</t>
  </si>
  <si>
    <t>G0045311.JPG</t>
  </si>
  <si>
    <t>G0045312.JPG</t>
  </si>
  <si>
    <t>G0045313.JPG</t>
  </si>
  <si>
    <t>G0045314.JPG</t>
  </si>
  <si>
    <t>G0045315.JPG</t>
  </si>
  <si>
    <t>G0045316.JPG</t>
  </si>
  <si>
    <t>G0045317.JPG</t>
  </si>
  <si>
    <t>G0045318.JPG</t>
  </si>
  <si>
    <t>G0045319.JPG</t>
  </si>
  <si>
    <t>G0045320.JPG</t>
  </si>
  <si>
    <t>G0045321.JPG</t>
  </si>
  <si>
    <t>G0045322.JPG</t>
  </si>
  <si>
    <t>G0045323.JPG</t>
  </si>
  <si>
    <t>G0045324.JPG</t>
  </si>
  <si>
    <t>G0045325.JPG</t>
  </si>
  <si>
    <t>G0045326.JPG</t>
  </si>
  <si>
    <t>G0045327.JPG</t>
  </si>
  <si>
    <t>G0045328.JPG</t>
  </si>
  <si>
    <t>G0045329.JPG</t>
  </si>
  <si>
    <t>G0045330.JPG</t>
  </si>
  <si>
    <t>G0045331.JPG</t>
  </si>
  <si>
    <t>G0045332.JPG</t>
  </si>
  <si>
    <t>G0045333.JPG</t>
  </si>
  <si>
    <t>G0045334.JPG</t>
  </si>
  <si>
    <t>G0045335.JPG</t>
  </si>
  <si>
    <t>G0045336.JPG</t>
  </si>
  <si>
    <t>G0045337.JPG</t>
  </si>
  <si>
    <t>G0045338.JPG</t>
  </si>
  <si>
    <t>G0045339.JPG</t>
  </si>
  <si>
    <t>G0045340.JPG</t>
  </si>
  <si>
    <t>G0045341.JPG</t>
  </si>
  <si>
    <t>G0045342.JPG</t>
  </si>
  <si>
    <t>G0045343.JPG</t>
  </si>
  <si>
    <t>G0045344.JPG</t>
  </si>
  <si>
    <t>G0045345.JPG</t>
  </si>
  <si>
    <t>G0045346.JPG</t>
  </si>
  <si>
    <t>G0045347.JPG</t>
  </si>
  <si>
    <t>G0045348.JPG</t>
  </si>
  <si>
    <t>G0045349.JPG</t>
  </si>
  <si>
    <t>G0045350.JPG</t>
  </si>
  <si>
    <t>G0045351.JPG</t>
  </si>
  <si>
    <t>G0045352.JPG</t>
  </si>
  <si>
    <t>G0045353.JPG</t>
  </si>
  <si>
    <t>G0045354.JPG</t>
  </si>
  <si>
    <t>G0045355.JPG</t>
  </si>
  <si>
    <t>G0045356.JPG</t>
  </si>
  <si>
    <t>G0045357.JPG</t>
  </si>
  <si>
    <t>G0045358.JPG</t>
  </si>
  <si>
    <t>G0045359.JPG</t>
  </si>
  <si>
    <t>G0045360.JPG</t>
  </si>
  <si>
    <t>G0045361.JPG</t>
  </si>
  <si>
    <t>G0045362.JPG</t>
  </si>
  <si>
    <t>G0045363.JPG</t>
  </si>
  <si>
    <t>G0045364.JPG</t>
  </si>
  <si>
    <t>G0045365.JPG</t>
  </si>
  <si>
    <t>G0045366.JPG</t>
  </si>
  <si>
    <t>G0045367.JPG</t>
  </si>
  <si>
    <t>G0045368.JPG</t>
  </si>
  <si>
    <t>G0045369.JPG</t>
  </si>
  <si>
    <t>G0045370.JPG</t>
  </si>
  <si>
    <t>G0045371.JPG</t>
  </si>
  <si>
    <t>G0045372.JPG</t>
  </si>
  <si>
    <t>G0045373.JPG</t>
  </si>
  <si>
    <t>G0045374.JPG</t>
  </si>
  <si>
    <t>G0045375.JPG</t>
  </si>
  <si>
    <t>G0045376.JPG</t>
  </si>
  <si>
    <t>G0045377.JPG</t>
  </si>
  <si>
    <t>G0045378.JPG</t>
  </si>
  <si>
    <t>G0045379.JPG</t>
  </si>
  <si>
    <t>G0045380.JPG</t>
  </si>
  <si>
    <t>G0045381.JPG</t>
  </si>
  <si>
    <t>G0045382.JPG</t>
  </si>
  <si>
    <t>G0045383.JPG</t>
  </si>
  <si>
    <t>G0045384.JPG</t>
  </si>
  <si>
    <t>G0045385.JPG</t>
  </si>
  <si>
    <t>G0045386.JPG</t>
  </si>
  <si>
    <t>G0045387.JPG</t>
  </si>
  <si>
    <t>G0045388.JPG</t>
  </si>
  <si>
    <t>G0045389.JPG</t>
  </si>
  <si>
    <t>G0045390.JPG</t>
  </si>
  <si>
    <t>G0045391.JPG</t>
  </si>
  <si>
    <t>G0045392.JPG</t>
  </si>
  <si>
    <t>G0045393.JPG</t>
  </si>
  <si>
    <t>G0045394.JPG</t>
  </si>
  <si>
    <t>G0045395.JPG</t>
  </si>
  <si>
    <t>G0045396.JPG</t>
  </si>
  <si>
    <t>G0045397.JPG</t>
  </si>
  <si>
    <t>G0045398.JPG</t>
  </si>
  <si>
    <t>G0045399.JPG</t>
  </si>
  <si>
    <t>G0045400.JPG</t>
  </si>
  <si>
    <t>G0045401.JPG</t>
  </si>
  <si>
    <t>G0045402.JPG</t>
  </si>
  <si>
    <t>G0045403.JPG</t>
  </si>
  <si>
    <t>G0045404.JPG</t>
  </si>
  <si>
    <t>G0045405.JPG</t>
  </si>
  <si>
    <t>G0045406.JPG</t>
  </si>
  <si>
    <t>G0045407.JPG</t>
  </si>
  <si>
    <t>G0045408.JPG</t>
  </si>
  <si>
    <t>G0045409.JPG</t>
  </si>
  <si>
    <t>G0045410.JPG</t>
  </si>
  <si>
    <t>G0045411.JPG</t>
  </si>
  <si>
    <t>G0045412.JPG</t>
  </si>
  <si>
    <t>G0045413.JPG</t>
  </si>
  <si>
    <t>G0045414.JPG</t>
  </si>
  <si>
    <t>G0045415.JPG</t>
  </si>
  <si>
    <t>G0045416.JPG</t>
  </si>
  <si>
    <t>G0045417.JPG</t>
  </si>
  <si>
    <t>G0045418.JPG</t>
  </si>
  <si>
    <t>G0045419.JPG</t>
  </si>
  <si>
    <t>G0045420.JPG</t>
  </si>
  <si>
    <t>G0045421.JPG</t>
  </si>
  <si>
    <t>G0045422.JPG</t>
  </si>
  <si>
    <t>G0045423.JPG</t>
  </si>
  <si>
    <t>G0045424.JPG</t>
  </si>
  <si>
    <t>G0045425.JPG</t>
  </si>
  <si>
    <t>G0045426.JPG</t>
  </si>
  <si>
    <t>G0045427.JPG</t>
  </si>
  <si>
    <t>G0045428.JPG</t>
  </si>
  <si>
    <t>G0045429.JPG</t>
  </si>
  <si>
    <t>G0045430.JPG</t>
  </si>
  <si>
    <t>G0045431.JPG</t>
  </si>
  <si>
    <t>G0045432.JPG</t>
  </si>
  <si>
    <t>G0045433.JPG</t>
  </si>
  <si>
    <t>G0045434.JPG</t>
  </si>
  <si>
    <t>G0045435.JPG</t>
  </si>
  <si>
    <t>G0045436.JPG</t>
  </si>
  <si>
    <t>G0045437.JPG</t>
  </si>
  <si>
    <t>G0045438.JPG</t>
  </si>
  <si>
    <t>G0045439.JPG</t>
  </si>
  <si>
    <t>G0045440.JPG</t>
  </si>
  <si>
    <t>G0045441.JPG</t>
  </si>
  <si>
    <t>G0045442.JPG</t>
  </si>
  <si>
    <t>G0045443.JPG</t>
  </si>
  <si>
    <t>G0045444.JPG</t>
  </si>
  <si>
    <t>G0045445.JPG</t>
  </si>
  <si>
    <t>G0045446.JPG</t>
  </si>
  <si>
    <t>G0045447.JPG</t>
  </si>
  <si>
    <t>G0045448.JPG</t>
  </si>
  <si>
    <t>G0045449.JPG</t>
  </si>
  <si>
    <t>G0045450.JPG</t>
  </si>
  <si>
    <t>G0045451.JPG</t>
  </si>
  <si>
    <t>G0045452.JPG</t>
  </si>
  <si>
    <t>G0045453.JPG</t>
  </si>
  <si>
    <t>G0045454.JPG</t>
  </si>
  <si>
    <t>G0045455.JPG</t>
  </si>
  <si>
    <t>G0045456.JPG</t>
  </si>
  <si>
    <t>G0045457.JPG</t>
  </si>
  <si>
    <t>G0045458.JPG</t>
  </si>
  <si>
    <t>G0045459.JPG</t>
  </si>
  <si>
    <t>G0045460.JPG</t>
  </si>
  <si>
    <t>G0045461.JPG</t>
  </si>
  <si>
    <t>G0045462.JPG</t>
  </si>
  <si>
    <t>G0045463.JPG</t>
  </si>
  <si>
    <t>G0045464.JPG</t>
  </si>
  <si>
    <t>G0045465.JPG</t>
  </si>
  <si>
    <t>G0045466.JPG</t>
  </si>
  <si>
    <t>G0045467.JPG</t>
  </si>
  <si>
    <t>G0045468.JPG</t>
  </si>
  <si>
    <t>G0045469.JPG</t>
  </si>
  <si>
    <t>G0045470.JPG</t>
  </si>
  <si>
    <t>G0045471.JPG</t>
  </si>
  <si>
    <t>G0045472.JPG</t>
  </si>
  <si>
    <t>G0045473.JPG</t>
  </si>
  <si>
    <t>G0045474.JPG</t>
  </si>
  <si>
    <t>G0045475.JPG</t>
  </si>
  <si>
    <t>G0045476.JPG</t>
  </si>
  <si>
    <t>G0045477.JPG</t>
  </si>
  <si>
    <t>G0045478.JPG</t>
  </si>
  <si>
    <t>G0045479.JPG</t>
  </si>
  <si>
    <t>G0045480.JPG</t>
  </si>
  <si>
    <t>G0045481.JPG</t>
  </si>
  <si>
    <t>G0045482.JPG</t>
  </si>
  <si>
    <t>G0045483.JPG</t>
  </si>
  <si>
    <t>G0045484.JPG</t>
  </si>
  <si>
    <t>G0045485.JPG</t>
  </si>
  <si>
    <t>G0045486.JPG</t>
  </si>
  <si>
    <t>G0045487.JPG</t>
  </si>
  <si>
    <t>G0045488.JPG</t>
  </si>
  <si>
    <t>G0045489.JPG</t>
  </si>
  <si>
    <t>G0045490.JPG</t>
  </si>
  <si>
    <t>G0045491.JPG</t>
  </si>
  <si>
    <t>G0045492.JPG</t>
  </si>
  <si>
    <t>G0045493.JPG</t>
  </si>
  <si>
    <t>G0045494.JPG</t>
  </si>
  <si>
    <t>G0045495.JPG</t>
  </si>
  <si>
    <t>G0045496.JPG</t>
  </si>
  <si>
    <t>G0045497.JPG</t>
  </si>
  <si>
    <t>G0045498.JPG</t>
  </si>
  <si>
    <t>G0045499.JPG</t>
  </si>
  <si>
    <t>G0045500.JPG</t>
  </si>
  <si>
    <t>G0045501.JPG</t>
  </si>
  <si>
    <t>G0045502.JPG</t>
  </si>
  <si>
    <t>G0045503.JPG</t>
  </si>
  <si>
    <t>G0045504.JPG</t>
  </si>
  <si>
    <t>G0045505.JPG</t>
  </si>
  <si>
    <t>G0045506.JPG</t>
  </si>
  <si>
    <t>G0045507.JPG</t>
  </si>
  <si>
    <t>G0045508.JPG</t>
  </si>
  <si>
    <t>G0045509.JPG</t>
  </si>
  <si>
    <t>G0045510.JPG</t>
  </si>
  <si>
    <t>G0045511.JPG</t>
  </si>
  <si>
    <t>G0045512.JPG</t>
  </si>
  <si>
    <t>G0045513.JPG</t>
  </si>
  <si>
    <t>G0045514.JPG</t>
  </si>
  <si>
    <t>G0045515.JPG</t>
  </si>
  <si>
    <t>G0045516.JPG</t>
  </si>
  <si>
    <t>G0045517.JPG</t>
  </si>
  <si>
    <t>G0045518.JPG</t>
  </si>
  <si>
    <t>G0045519.JPG</t>
  </si>
  <si>
    <t>G0045520.JPG</t>
  </si>
  <si>
    <t>G0045521.JPG</t>
  </si>
  <si>
    <t>G0045522.JPG</t>
  </si>
  <si>
    <t>G0045523.JPG</t>
  </si>
  <si>
    <t>G0045524.JPG</t>
  </si>
  <si>
    <t>G0045525.JPG</t>
  </si>
  <si>
    <t>G0045526.JPG</t>
  </si>
  <si>
    <t>G0045527.JPG</t>
  </si>
  <si>
    <t>G0045528.JPG</t>
  </si>
  <si>
    <t>G0045529.JPG</t>
  </si>
  <si>
    <t>G0045530.JPG</t>
  </si>
  <si>
    <t>G0045531.JPG</t>
  </si>
  <si>
    <t>G0045532.JPG</t>
  </si>
  <si>
    <t>G0045533.JPG</t>
  </si>
  <si>
    <t>G0045534.JPG</t>
  </si>
  <si>
    <t>G0045535.JPG</t>
  </si>
  <si>
    <t>G0045536.JPG</t>
  </si>
  <si>
    <t>G0045537.JPG</t>
  </si>
  <si>
    <t>G0045538.JPG</t>
  </si>
  <si>
    <t>G0045539.JPG</t>
  </si>
  <si>
    <t>G0045540.JPG</t>
  </si>
  <si>
    <t>G0045541.JPG</t>
  </si>
  <si>
    <t>G0045542.JPG</t>
  </si>
  <si>
    <t>G0045543.JPG</t>
  </si>
  <si>
    <t>G0045544.JPG</t>
  </si>
  <si>
    <t>G0045545.JPG</t>
  </si>
  <si>
    <t>G0045546.JPG</t>
  </si>
  <si>
    <t>G0045547.JPG</t>
  </si>
  <si>
    <t>G0045548.JPG</t>
  </si>
  <si>
    <t>G0045549.JPG</t>
  </si>
  <si>
    <t>G0045550.JPG</t>
  </si>
  <si>
    <t>G0045551.JPG</t>
  </si>
  <si>
    <t>G0045552.JPG</t>
  </si>
  <si>
    <t>G0045553.JPG</t>
  </si>
  <si>
    <t>G0045554.JPG</t>
  </si>
  <si>
    <t>G0045555.JPG</t>
  </si>
  <si>
    <t>G0045556.JPG</t>
  </si>
  <si>
    <t>G0045557.JPG</t>
  </si>
  <si>
    <t>G0045558.JPG</t>
  </si>
  <si>
    <t>G0045559.JPG</t>
  </si>
  <si>
    <t>G0045560.JPG</t>
  </si>
  <si>
    <t>G0045561.JPG</t>
  </si>
  <si>
    <t>G0045562.JPG</t>
  </si>
  <si>
    <t>G0045563.JPG</t>
  </si>
  <si>
    <t>G0045564.JPG</t>
  </si>
  <si>
    <t>G0045565.JPG</t>
  </si>
  <si>
    <t>G0045566.JPG</t>
  </si>
  <si>
    <t>G0045567.JPG</t>
  </si>
  <si>
    <t>G0045568.JPG</t>
  </si>
  <si>
    <t>G0045569.JPG</t>
  </si>
  <si>
    <t>G0045570.JPG</t>
  </si>
  <si>
    <t>G0045571.JPG</t>
  </si>
  <si>
    <t>G0045572.JPG</t>
  </si>
  <si>
    <t>G0045573.JPG</t>
  </si>
  <si>
    <t>G0045574.JPG</t>
  </si>
  <si>
    <t>G0045575.JPG</t>
  </si>
  <si>
    <t>G0045576.JPG</t>
  </si>
  <si>
    <t>G0045577.JPG</t>
  </si>
  <si>
    <t>G0045578.JPG</t>
  </si>
  <si>
    <t>G0045579.JPG</t>
  </si>
  <si>
    <t>G0045580.JPG</t>
  </si>
  <si>
    <t>G0045581.JPG</t>
  </si>
  <si>
    <t>G0045582.JPG</t>
  </si>
  <si>
    <t>G0045583.JPG</t>
  </si>
  <si>
    <t>G0045584.JPG</t>
  </si>
  <si>
    <t>G0045585.JPG</t>
  </si>
  <si>
    <t>G0045586.JPG</t>
  </si>
  <si>
    <t>G0045587.JPG</t>
  </si>
  <si>
    <t>G0045588.JPG</t>
  </si>
  <si>
    <t>G0045589.JPG</t>
  </si>
  <si>
    <t>G0045590.JPG</t>
  </si>
  <si>
    <t>G0045591.JPG</t>
  </si>
  <si>
    <t>G0045592.JPG</t>
  </si>
  <si>
    <t>G0045593.JPG</t>
  </si>
  <si>
    <t>G0045594.JPG</t>
  </si>
  <si>
    <t>G0045595.JPG</t>
  </si>
  <si>
    <t>G0045596.JPG</t>
  </si>
  <si>
    <t>G0045597.JPG</t>
  </si>
  <si>
    <t>G0045598.JPG</t>
  </si>
  <si>
    <t>G0045599.JPG</t>
  </si>
  <si>
    <t>G0045600.JPG</t>
  </si>
  <si>
    <t>G0045601.JPG</t>
  </si>
  <si>
    <t>G0045602.JPG</t>
  </si>
  <si>
    <t>G0045603.JPG</t>
  </si>
  <si>
    <t>G0045604.JPG</t>
  </si>
  <si>
    <t>G0045605.JPG</t>
  </si>
  <si>
    <t>G0045606.JPG</t>
  </si>
  <si>
    <t>G0045607.JPG</t>
  </si>
  <si>
    <t>G0045608.JPG</t>
  </si>
  <si>
    <t>G0045609.JPG</t>
  </si>
  <si>
    <t>G0045610.JPG</t>
  </si>
  <si>
    <t>G0045611.JPG</t>
  </si>
  <si>
    <t>G0045612.JPG</t>
  </si>
  <si>
    <t>G0045613.JPG</t>
  </si>
  <si>
    <t>G0045614.JPG</t>
  </si>
  <si>
    <t>G0045615.JPG</t>
  </si>
  <si>
    <t>G0045616.JPG</t>
  </si>
  <si>
    <t>G0045617.JPG</t>
  </si>
  <si>
    <t>G0045618.JPG</t>
  </si>
  <si>
    <t>G0045619.JPG</t>
  </si>
  <si>
    <t>G0045620.JPG</t>
  </si>
  <si>
    <t>G0045621.JPG</t>
  </si>
  <si>
    <t>G0045622.JPG</t>
  </si>
  <si>
    <t>G0055623.JPG</t>
  </si>
  <si>
    <t>G0055624.JPG</t>
  </si>
  <si>
    <t>G0055625.JPG</t>
  </si>
  <si>
    <t>G0055626.JPG</t>
  </si>
  <si>
    <t>G0055627.JPG</t>
  </si>
  <si>
    <t>G0055628.JPG</t>
  </si>
  <si>
    <t>G0055629.JPG</t>
  </si>
  <si>
    <t>G0055630.JPG</t>
  </si>
  <si>
    <t>G0055631.JPG</t>
  </si>
  <si>
    <t>G0055632.JPG</t>
  </si>
  <si>
    <t>G0055633.JPG</t>
  </si>
  <si>
    <t>G0055634.JPG</t>
  </si>
  <si>
    <t>G0055635.JPG</t>
  </si>
  <si>
    <t>G0055636.JPG</t>
  </si>
  <si>
    <t>G0055637.JPG</t>
  </si>
  <si>
    <t>G0055638.JPG</t>
  </si>
  <si>
    <t>G0055639.JPG</t>
  </si>
  <si>
    <t>G0055640.JPG</t>
  </si>
  <si>
    <t>G0055641.JPG</t>
  </si>
  <si>
    <t>G0055642.JPG</t>
  </si>
  <si>
    <t>G0055643.JPG</t>
  </si>
  <si>
    <t>G0055644.JPG</t>
  </si>
  <si>
    <t>G0055645.JPG</t>
  </si>
  <si>
    <t>G0055646.JPG</t>
  </si>
  <si>
    <t>G0055647.JPG</t>
  </si>
  <si>
    <t>G0055648.JPG</t>
  </si>
  <si>
    <t>G0055649.JPG</t>
  </si>
  <si>
    <t>G0055650.JPG</t>
  </si>
  <si>
    <t>G0055651.JPG</t>
  </si>
  <si>
    <t>G0055652.JPG</t>
  </si>
  <si>
    <t>G0055653.JPG</t>
  </si>
  <si>
    <t>G0055654.JPG</t>
  </si>
  <si>
    <t>G0055655.JPG</t>
  </si>
  <si>
    <t>G0055656.JPG</t>
  </si>
  <si>
    <t>G0055657.JPG</t>
  </si>
  <si>
    <t>G0055658.JPG</t>
  </si>
  <si>
    <t>G0055659.JPG</t>
  </si>
  <si>
    <t>G0055660.JPG</t>
  </si>
  <si>
    <t>G0055661.JPG</t>
  </si>
  <si>
    <t>G0055662.JPG</t>
  </si>
  <si>
    <t>G0055663.JPG</t>
  </si>
  <si>
    <t>G0055664.JPG</t>
  </si>
  <si>
    <t>G0055665.JPG</t>
  </si>
  <si>
    <t>G0055666.JPG</t>
  </si>
  <si>
    <t>G0055667.JPG</t>
  </si>
  <si>
    <t>G0055668.JPG</t>
  </si>
  <si>
    <t>G0055669.JPG</t>
  </si>
  <si>
    <t>G0055670.JPG</t>
  </si>
  <si>
    <t>G0055671.JPG</t>
  </si>
  <si>
    <t>G0055672.JPG</t>
  </si>
  <si>
    <t>G0055673.JPG</t>
  </si>
  <si>
    <t>G0055674.JPG</t>
  </si>
  <si>
    <t>G0055675.JPG</t>
  </si>
  <si>
    <t>G0055676.JPG</t>
  </si>
  <si>
    <t>G0055677.JPG</t>
  </si>
  <si>
    <t>G0055678.JPG</t>
  </si>
  <si>
    <t>G0055679.JPG</t>
  </si>
  <si>
    <t>G0055680.JPG</t>
  </si>
  <si>
    <t>G0055681.JPG</t>
  </si>
  <si>
    <t>G0055682.JPG</t>
  </si>
  <si>
    <t>G0055683.JPG</t>
  </si>
  <si>
    <t>G0055684.JPG</t>
  </si>
  <si>
    <t>G0055685.JPG</t>
  </si>
  <si>
    <t>G0055686.JPG</t>
  </si>
  <si>
    <t>G0055687.JPG</t>
  </si>
  <si>
    <t>G0055688.JPG</t>
  </si>
  <si>
    <t>G0055689.JPG</t>
  </si>
  <si>
    <t>G0055690.JPG</t>
  </si>
  <si>
    <t>G0055691.JPG</t>
  </si>
  <si>
    <t>G0055692.JPG</t>
  </si>
  <si>
    <t>G0055693.JPG</t>
  </si>
  <si>
    <t>G0055694.JPG</t>
  </si>
  <si>
    <t>G0055695.JPG</t>
  </si>
  <si>
    <t>G0055696.JPG</t>
  </si>
  <si>
    <t>G0055697.JPG</t>
  </si>
  <si>
    <t>G0055698.JPG</t>
  </si>
  <si>
    <t>G0055699.JPG</t>
  </si>
  <si>
    <t>G0055700.JPG</t>
  </si>
  <si>
    <t>G0055701.JPG</t>
  </si>
  <si>
    <t>G0055702.JPG</t>
  </si>
  <si>
    <t>G0055703.JPG</t>
  </si>
  <si>
    <t>G0055704.JPG</t>
  </si>
  <si>
    <t>G0055705.JPG</t>
  </si>
  <si>
    <t>G0055706.JPG</t>
  </si>
  <si>
    <t>G0055707.JPG</t>
  </si>
  <si>
    <t>G0055708.JPG</t>
  </si>
  <si>
    <t>G0055709.JPG</t>
  </si>
  <si>
    <t>G0055710.JPG</t>
  </si>
  <si>
    <t>G0055711.JPG</t>
  </si>
  <si>
    <t>G0055712.JPG</t>
  </si>
  <si>
    <t>G0055713.JPG</t>
  </si>
  <si>
    <t>G0055714.JPG</t>
  </si>
  <si>
    <t>G0055715.JPG</t>
  </si>
  <si>
    <t>G0055716.JPG</t>
  </si>
  <si>
    <t>G0055717.JPG</t>
  </si>
  <si>
    <t>G0055718.JPG</t>
  </si>
  <si>
    <t>G0055719.JPG</t>
  </si>
  <si>
    <t>G0055720.JPG</t>
  </si>
  <si>
    <t>G0055721.JPG</t>
  </si>
  <si>
    <t>G0055722.JPG</t>
  </si>
  <si>
    <t>G0055723.JPG</t>
  </si>
  <si>
    <t>G0055724.JPG</t>
  </si>
  <si>
    <t>G0055725.JPG</t>
  </si>
  <si>
    <t>G0055726.JPG</t>
  </si>
  <si>
    <t>G0055727.JPG</t>
  </si>
  <si>
    <t>G0055728.JPG</t>
  </si>
  <si>
    <t>G0055729.JPG</t>
  </si>
  <si>
    <t>G0055730.JPG</t>
  </si>
  <si>
    <t>G0055731.JPG</t>
  </si>
  <si>
    <t>G0055732.JPG</t>
  </si>
  <si>
    <t>G0055733.JPG</t>
  </si>
  <si>
    <t>G0055734.JPG</t>
  </si>
  <si>
    <t>G0055735.JPG</t>
  </si>
  <si>
    <t>G0055736.JPG</t>
  </si>
  <si>
    <t>G0055737.JPG</t>
  </si>
  <si>
    <t>G0055738.JPG</t>
  </si>
  <si>
    <t>G0055739.JPG</t>
  </si>
  <si>
    <t>G0055740.JPG</t>
  </si>
  <si>
    <t>G0055741.JPG</t>
  </si>
  <si>
    <t>G0055742.JPG</t>
  </si>
  <si>
    <t>G0055743.JPG</t>
  </si>
  <si>
    <t>G0055744.JPG</t>
  </si>
  <si>
    <t>G0055745.JPG</t>
  </si>
  <si>
    <t>G0055746.JPG</t>
  </si>
  <si>
    <t>G0055747.JPG</t>
  </si>
  <si>
    <t>G0055748.JPG</t>
  </si>
  <si>
    <t>G0055749.JPG</t>
  </si>
  <si>
    <t>G0055750.JPG</t>
  </si>
  <si>
    <t>G0055751.JPG</t>
  </si>
  <si>
    <t>G0055752.JPG</t>
  </si>
  <si>
    <t>G0055753.JPG</t>
  </si>
  <si>
    <t>G0055754.JPG</t>
  </si>
  <si>
    <t>G0055755.JPG</t>
  </si>
  <si>
    <t>G0055756.JPG</t>
  </si>
  <si>
    <t>G0055757.JPG</t>
  </si>
  <si>
    <t>G0055758.JPG</t>
  </si>
  <si>
    <t>G0055759.JPG</t>
  </si>
  <si>
    <t>G0055760.JPG</t>
  </si>
  <si>
    <t>G0055761.JPG</t>
  </si>
  <si>
    <t>G0055762.JPG</t>
  </si>
  <si>
    <t>G0055763.JPG</t>
  </si>
  <si>
    <t>G0055764.JPG</t>
  </si>
  <si>
    <t>G0055765.JPG</t>
  </si>
  <si>
    <t>G0055766.JPG</t>
  </si>
  <si>
    <t>G0055767.JPG</t>
  </si>
  <si>
    <t>G0055768.JPG</t>
  </si>
  <si>
    <t>G0055769.JPG</t>
  </si>
  <si>
    <t>G0055770.JPG</t>
  </si>
  <si>
    <t>G0055771.JPG</t>
  </si>
  <si>
    <t>G0055772.JPG</t>
  </si>
  <si>
    <t>G0055773.JPG</t>
  </si>
  <si>
    <t>G0055774.JPG</t>
  </si>
  <si>
    <t>G0055775.JPG</t>
  </si>
  <si>
    <t>G0055776.JPG</t>
  </si>
  <si>
    <t>G0055777.JPG</t>
  </si>
  <si>
    <t>G0055778.JPG</t>
  </si>
  <si>
    <t>G0055779.JPG</t>
  </si>
  <si>
    <t>G0055780.JPG</t>
  </si>
  <si>
    <t>G0055781.JPG</t>
  </si>
  <si>
    <t>G0055782.JPG</t>
  </si>
  <si>
    <t>G0055783.JPG</t>
  </si>
  <si>
    <t>G0055784.JPG</t>
  </si>
  <si>
    <t>G0055785.JPG</t>
  </si>
  <si>
    <t>G0055786.JPG</t>
  </si>
  <si>
    <t>G0055787.JPG</t>
  </si>
  <si>
    <t>G0055788.JPG</t>
  </si>
  <si>
    <t>G0055789.JPG</t>
  </si>
  <si>
    <t>G0055790.JPG</t>
  </si>
  <si>
    <t>G0055791.JPG</t>
  </si>
  <si>
    <t>G0055792.JPG</t>
  </si>
  <si>
    <t>G0055793.JPG</t>
  </si>
  <si>
    <t>G0055794.JPG</t>
  </si>
  <si>
    <t>G0055795.JPG</t>
  </si>
  <si>
    <t>G0055796.JPG</t>
  </si>
  <si>
    <t>G0055797.JPG</t>
  </si>
  <si>
    <t>G0055798.JPG</t>
  </si>
  <si>
    <t>G0055799.JPG</t>
  </si>
  <si>
    <t>G0055800.JPG</t>
  </si>
  <si>
    <t>G0055801.JPG</t>
  </si>
  <si>
    <t>G0055802.JPG</t>
  </si>
  <si>
    <t>G0055803.JPG</t>
  </si>
  <si>
    <t>G0055804.JPG</t>
  </si>
  <si>
    <t>G0055805.JPG</t>
  </si>
  <si>
    <t>G0055806.JPG</t>
  </si>
  <si>
    <t>G0055807.JPG</t>
  </si>
  <si>
    <t>G0055808.JPG</t>
  </si>
  <si>
    <t>G0055809.JPG</t>
  </si>
  <si>
    <t>G0055810.JPG</t>
  </si>
  <si>
    <t>G0055811.JPG</t>
  </si>
  <si>
    <t>G0055812.JPG</t>
  </si>
  <si>
    <t>G0055813.JPG</t>
  </si>
  <si>
    <t>G0055814.JPG</t>
  </si>
  <si>
    <t>G0055815.JPG</t>
  </si>
  <si>
    <t>G0055816.JPG</t>
  </si>
  <si>
    <t>G0055817.JPG</t>
  </si>
  <si>
    <t>G0055818.JPG</t>
  </si>
  <si>
    <t>G0055819.JPG</t>
  </si>
  <si>
    <t>G0055820.JPG</t>
  </si>
  <si>
    <t>G0055821.JPG</t>
  </si>
  <si>
    <t>G0055822.JPG</t>
  </si>
  <si>
    <t>G0055823.JPG</t>
  </si>
  <si>
    <t>G0055824.JPG</t>
  </si>
  <si>
    <t>G0055825.JPG</t>
  </si>
  <si>
    <t>G0055826.JPG</t>
  </si>
  <si>
    <t>G0055827.JPG</t>
  </si>
  <si>
    <t>G0055828.JPG</t>
  </si>
  <si>
    <t>G0055829.JPG</t>
  </si>
  <si>
    <t>G0055830.JPG</t>
  </si>
  <si>
    <t>G0055831.JPG</t>
  </si>
  <si>
    <t>G0055832.JPG</t>
  </si>
  <si>
    <t>G0055833.JPG</t>
  </si>
  <si>
    <t>G0055834.JPG</t>
  </si>
  <si>
    <t>G0055835.JPG</t>
  </si>
  <si>
    <t>G0055836.JPG</t>
  </si>
  <si>
    <t>G0055837.JPG</t>
  </si>
  <si>
    <t>G0055838.JPG</t>
  </si>
  <si>
    <t>G0055839.JPG</t>
  </si>
  <si>
    <t>G0055840.JPG</t>
  </si>
  <si>
    <t>G0055841.JPG</t>
  </si>
  <si>
    <t>G0055842.JPG</t>
  </si>
  <si>
    <t>G0055843.JPG</t>
  </si>
  <si>
    <t>G0055844.JPG</t>
  </si>
  <si>
    <t>G0055845.JPG</t>
  </si>
  <si>
    <t>G0055846.JPG</t>
  </si>
  <si>
    <t>G0055847.JPG</t>
  </si>
  <si>
    <t>G0055848.JPG</t>
  </si>
  <si>
    <t>G0055849.JPG</t>
  </si>
  <si>
    <t>G0055850.JPG</t>
  </si>
  <si>
    <t>G0055851.JPG</t>
  </si>
  <si>
    <t>G0055852.JPG</t>
  </si>
  <si>
    <t>G0055853.JPG</t>
  </si>
  <si>
    <t>G0055854.JPG</t>
  </si>
  <si>
    <t>G0055855.JPG</t>
  </si>
  <si>
    <t>G0055856.JPG</t>
  </si>
  <si>
    <t>G0055857.JPG</t>
  </si>
  <si>
    <t>G0055858.JPG</t>
  </si>
  <si>
    <t>G0055859.JPG</t>
  </si>
  <si>
    <t>G0055860.JPG</t>
  </si>
  <si>
    <t>G0055861.JPG</t>
  </si>
  <si>
    <t>G0055862.JPG</t>
  </si>
  <si>
    <t>G0055863.JPG</t>
  </si>
  <si>
    <t>G0055864.JPG</t>
  </si>
  <si>
    <t>G0055865.JPG</t>
  </si>
  <si>
    <t>G0055866.JPG</t>
  </si>
  <si>
    <t>G0055867.JPG</t>
  </si>
  <si>
    <t>G0055868.JPG</t>
  </si>
  <si>
    <t>G0055869.JPG</t>
  </si>
  <si>
    <t>G0055870.JPG</t>
  </si>
  <si>
    <t>G0055871.JPG</t>
  </si>
  <si>
    <t>G0055872.JPG</t>
  </si>
  <si>
    <t>G0055873.JPG</t>
  </si>
  <si>
    <t>G0055874.JPG</t>
  </si>
  <si>
    <t>G0055875.JPG</t>
  </si>
  <si>
    <t>G0055876.JPG</t>
  </si>
  <si>
    <t>G0055877.JPG</t>
  </si>
  <si>
    <t>G0055878.JPG</t>
  </si>
  <si>
    <t>G0055879.JPG</t>
  </si>
  <si>
    <t>G0055880.JPG</t>
  </si>
  <si>
    <t>G0055881.JPG</t>
  </si>
  <si>
    <t>G0055882.JPG</t>
  </si>
  <si>
    <t>G0055883.JPG</t>
  </si>
  <si>
    <t>G0055884.JPG</t>
  </si>
  <si>
    <t>G0055885.JPG</t>
  </si>
  <si>
    <t>G0055886.JPG</t>
  </si>
  <si>
    <t>G0055887.JPG</t>
  </si>
  <si>
    <t>G0055888.JPG</t>
  </si>
  <si>
    <t>G0055889.JPG</t>
  </si>
  <si>
    <t>G0055890.JPG</t>
  </si>
  <si>
    <t>G0055891.JPG</t>
  </si>
  <si>
    <t>G0055892.JPG</t>
  </si>
  <si>
    <t>G0055893.JPG</t>
  </si>
  <si>
    <t>G0055894.JPG</t>
  </si>
  <si>
    <t>G0055895.JPG</t>
  </si>
  <si>
    <t>G0055896.JPG</t>
  </si>
  <si>
    <t>G0055897.JPG</t>
  </si>
  <si>
    <t>G0055898.JPG</t>
  </si>
  <si>
    <t>G0055899.JPG</t>
  </si>
  <si>
    <t>G0055900.JPG</t>
  </si>
  <si>
    <t>G0055901.JPG</t>
  </si>
  <si>
    <t>G0055902.JPG</t>
  </si>
  <si>
    <t>G0055903.JPG</t>
  </si>
  <si>
    <t>G0055904.JPG</t>
  </si>
  <si>
    <t>G0055905.JPG</t>
  </si>
  <si>
    <t>G0055906.JPG</t>
  </si>
  <si>
    <t>G0055907.JPG</t>
  </si>
  <si>
    <t>G0055908.JPG</t>
  </si>
  <si>
    <t>G0055909.JPG</t>
  </si>
  <si>
    <t>G0055910.JPG</t>
  </si>
  <si>
    <t>G0055911.JPG</t>
  </si>
  <si>
    <t>G0055912.JPG</t>
  </si>
  <si>
    <t>G0055913.JPG</t>
  </si>
  <si>
    <t>G0055914.JPG</t>
  </si>
  <si>
    <t>G0055915.JPG</t>
  </si>
  <si>
    <t>G0055916.JPG</t>
  </si>
  <si>
    <t>G0055917.JPG</t>
  </si>
  <si>
    <t>G0055918.JPG</t>
  </si>
  <si>
    <t>G0055919.JPG</t>
  </si>
  <si>
    <t>G0055920.JPG</t>
  </si>
  <si>
    <t>G0055921.JPG</t>
  </si>
  <si>
    <t>G0055922.JPG</t>
  </si>
  <si>
    <t>G0055923.JPG</t>
  </si>
  <si>
    <t>G0055924.JPG</t>
  </si>
  <si>
    <t>G0055925.JPG</t>
  </si>
  <si>
    <t>G0055926.JPG</t>
  </si>
  <si>
    <t>G0055927.JPG</t>
  </si>
  <si>
    <t>G0055928.JPG</t>
  </si>
  <si>
    <t>G0055929.JPG</t>
  </si>
  <si>
    <t>G0055930.JPG</t>
  </si>
  <si>
    <t>G0055931.JPG</t>
  </si>
  <si>
    <t>G0055932.JPG</t>
  </si>
  <si>
    <t>G0055933.JPG</t>
  </si>
  <si>
    <t>G0055934.JPG</t>
  </si>
  <si>
    <t>G0055935.JPG</t>
  </si>
  <si>
    <t>G0055936.JPG</t>
  </si>
  <si>
    <t>G0055937.JPG</t>
  </si>
  <si>
    <t>G0055938.JPG</t>
  </si>
  <si>
    <t>G0055939.JPG</t>
  </si>
  <si>
    <t>G0055940.JPG</t>
  </si>
  <si>
    <t>G0055941.JPG</t>
  </si>
  <si>
    <t>G0055942.JPG</t>
  </si>
  <si>
    <t>G0055943.JPG</t>
  </si>
  <si>
    <t>G0055944.JPG</t>
  </si>
  <si>
    <t>G0055945.JPG</t>
  </si>
  <si>
    <t>G0055946.JPG</t>
  </si>
  <si>
    <t>G0055947.JPG</t>
  </si>
  <si>
    <t>G0055948.JPG</t>
  </si>
  <si>
    <t>G0055949.JPG</t>
  </si>
  <si>
    <t>G0055950.JPG</t>
  </si>
  <si>
    <t>G0055951.JPG</t>
  </si>
  <si>
    <t>G0055952.JPG</t>
  </si>
  <si>
    <t>G0055953.JPG</t>
  </si>
  <si>
    <t>G0055954.JPG</t>
  </si>
  <si>
    <t>G0055955.JPG</t>
  </si>
  <si>
    <t>G0055956.JPG</t>
  </si>
  <si>
    <t>G0055957.JPG</t>
  </si>
  <si>
    <t>G0055958.JPG</t>
  </si>
  <si>
    <t>G0055959.JPG</t>
  </si>
  <si>
    <t>G0055960.JPG</t>
  </si>
  <si>
    <t>G0055961.JPG</t>
  </si>
  <si>
    <t>G0055962.JPG</t>
  </si>
  <si>
    <t>G0055963.JPG</t>
  </si>
  <si>
    <t>G0055964.JPG</t>
  </si>
  <si>
    <t>G0055965.JPG</t>
  </si>
  <si>
    <t>G0055966.JPG</t>
  </si>
  <si>
    <t>G0055967.JPG</t>
  </si>
  <si>
    <t>G0055968.JPG</t>
  </si>
  <si>
    <t>G0055969.JPG</t>
  </si>
  <si>
    <t>G0055970.JPG</t>
  </si>
  <si>
    <t>G0055971.JPG</t>
  </si>
  <si>
    <t>G0055972.JPG</t>
  </si>
  <si>
    <t>G0055973.JPG</t>
  </si>
  <si>
    <t>G0055974.JPG</t>
  </si>
  <si>
    <t>G0055975.JPG</t>
  </si>
  <si>
    <t>G0055976.JPG</t>
  </si>
  <si>
    <t>G0055977.JPG</t>
  </si>
  <si>
    <t>G0055978.JPG</t>
  </si>
  <si>
    <t>G0055979.JPG</t>
  </si>
  <si>
    <t>G0055980.JPG</t>
  </si>
  <si>
    <t>G0055981.JPG</t>
  </si>
  <si>
    <t>G0055982.JPG</t>
  </si>
  <si>
    <t>G0055983.JPG</t>
  </si>
  <si>
    <t>G0055984.JPG</t>
  </si>
  <si>
    <t>G0055985.JPG</t>
  </si>
  <si>
    <t>G0055986.JPG</t>
  </si>
  <si>
    <t>G0055987.JPG</t>
  </si>
  <si>
    <t>G0055988.JPG</t>
  </si>
  <si>
    <t>G0055989.JPG</t>
  </si>
  <si>
    <t>G0055990.JPG</t>
  </si>
  <si>
    <t>G0055991.JPG</t>
  </si>
  <si>
    <t>G0055992.JPG</t>
  </si>
  <si>
    <t>G0055993.JPG</t>
  </si>
  <si>
    <t>G0055994.JPG</t>
  </si>
  <si>
    <t>G0055995.JPG</t>
  </si>
  <si>
    <t>G0055996.JPG</t>
  </si>
  <si>
    <t>G0055997.JPG</t>
  </si>
  <si>
    <t>G0055998.JPG</t>
  </si>
  <si>
    <t>G0055999.JPG</t>
  </si>
  <si>
    <t>G0056000.JPG</t>
  </si>
  <si>
    <t>G0056001.JPG</t>
  </si>
  <si>
    <t>G0056002.JPG</t>
  </si>
  <si>
    <t>G0056003.JPG</t>
  </si>
  <si>
    <t>G0056004.JPG</t>
  </si>
  <si>
    <t>G0056005.JPG</t>
  </si>
  <si>
    <t>G0056006.JPG</t>
  </si>
  <si>
    <t>G0056007.JPG</t>
  </si>
  <si>
    <t>G0056008.JPG</t>
  </si>
  <si>
    <t>G0056009.JPG</t>
  </si>
  <si>
    <t>G0056010.JPG</t>
  </si>
  <si>
    <t>G0056011.JPG</t>
  </si>
  <si>
    <t>G0056012.JPG</t>
  </si>
  <si>
    <t>G0056013.JPG</t>
  </si>
  <si>
    <t>G0056014.JPG</t>
  </si>
  <si>
    <t>G0056015.JPG</t>
  </si>
  <si>
    <t>G0056016.JPG</t>
  </si>
  <si>
    <t>G0056017.JPG</t>
  </si>
  <si>
    <t>G0056018.JPG</t>
  </si>
  <si>
    <t>G0056019.JPG</t>
  </si>
  <si>
    <t>G0056020.JPG</t>
  </si>
  <si>
    <t>G0056021.JPG</t>
  </si>
  <si>
    <t>G0056022.JPG</t>
  </si>
  <si>
    <t>G0056023.JPG</t>
  </si>
  <si>
    <t>G0056024.JPG</t>
  </si>
  <si>
    <t>G0056025.JPG</t>
  </si>
  <si>
    <t>G0056026.JPG</t>
  </si>
  <si>
    <t>G0056027.JPG</t>
  </si>
  <si>
    <t>G0056028.JPG</t>
  </si>
  <si>
    <t>G0056029.JPG</t>
  </si>
  <si>
    <t>G0056030.JPG</t>
  </si>
  <si>
    <t>G0056031.JPG</t>
  </si>
  <si>
    <t>G0056032.JPG</t>
  </si>
  <si>
    <t>G0056033.JPG</t>
  </si>
  <si>
    <t>G0056034.JPG</t>
  </si>
  <si>
    <t>G0056035.JPG</t>
  </si>
  <si>
    <t>G0056036.JPG</t>
  </si>
  <si>
    <t>G0056037.JPG</t>
  </si>
  <si>
    <t>G0056038.JPG</t>
  </si>
  <si>
    <t>G0056039.JPG</t>
  </si>
  <si>
    <t>G0056040.JPG</t>
  </si>
  <si>
    <t>G0056041.JPG</t>
  </si>
  <si>
    <t>G0056042.JPG</t>
  </si>
  <si>
    <t>G0056043.JPG</t>
  </si>
  <si>
    <t>G0056044.JPG</t>
  </si>
  <si>
    <t>G0056045.JPG</t>
  </si>
  <si>
    <t>G0056046.JPG</t>
  </si>
  <si>
    <t>G0056047.JPG</t>
  </si>
  <si>
    <t>G0056048.JPG</t>
  </si>
  <si>
    <t>G0056049.JPG</t>
  </si>
  <si>
    <t>G0056050.JPG</t>
  </si>
  <si>
    <t>G0056051.JPG</t>
  </si>
  <si>
    <t>G0056052.JPG</t>
  </si>
  <si>
    <t>G0056053.JPG</t>
  </si>
  <si>
    <t>G0056054.JPG</t>
  </si>
  <si>
    <t>G0056055.JPG</t>
  </si>
  <si>
    <t>G0056056.JPG</t>
  </si>
  <si>
    <t>G0056057.JPG</t>
  </si>
  <si>
    <t>G0056058.JPG</t>
  </si>
  <si>
    <t>G0056059.JPG</t>
  </si>
  <si>
    <t>G0056060.JPG</t>
  </si>
  <si>
    <t>G0056061.JPG</t>
  </si>
  <si>
    <t>G0056062.JPG</t>
  </si>
  <si>
    <t>G0056063.JPG</t>
  </si>
  <si>
    <t>G0056064.JPG</t>
  </si>
  <si>
    <t>G0056065.JPG</t>
  </si>
  <si>
    <t>G0056066.JPG</t>
  </si>
  <si>
    <t>G0056067.JPG</t>
  </si>
  <si>
    <t>G0056068.JPG</t>
  </si>
  <si>
    <t>G0056069.JPG</t>
  </si>
  <si>
    <t>G0056070.JPG</t>
  </si>
  <si>
    <t>G0056071.JPG</t>
  </si>
  <si>
    <t>G0056072.JPG</t>
  </si>
  <si>
    <t>G0056073.JPG</t>
  </si>
  <si>
    <t>G0056074.JPG</t>
  </si>
  <si>
    <t>G0056075.JPG</t>
  </si>
  <si>
    <t>G0056076.JPG</t>
  </si>
  <si>
    <t>G0056077.JPG</t>
  </si>
  <si>
    <t>G0056078.JPG</t>
  </si>
  <si>
    <t>G0056079.JPG</t>
  </si>
  <si>
    <t>G0056080.JPG</t>
  </si>
  <si>
    <t>G0056081.JPG</t>
  </si>
  <si>
    <t>G0056082.JPG</t>
  </si>
  <si>
    <t>G0056083.JPG</t>
  </si>
  <si>
    <t>G0056084.JPG</t>
  </si>
  <si>
    <t>G0056085.JPG</t>
  </si>
  <si>
    <t>G0056086.JPG</t>
  </si>
  <si>
    <t>G0056087.JPG</t>
  </si>
  <si>
    <t>G0056088.JPG</t>
  </si>
  <si>
    <t>G0056089.JPG</t>
  </si>
  <si>
    <t>G0056090.JPG</t>
  </si>
  <si>
    <t>G0056091.JPG</t>
  </si>
  <si>
    <t>G0056092.JPG</t>
  </si>
  <si>
    <t>G0056093.JPG</t>
  </si>
  <si>
    <t>G0056094.JPG</t>
  </si>
  <si>
    <t>G0056095.JPG</t>
  </si>
  <si>
    <t>G0056096.JPG</t>
  </si>
  <si>
    <t>G0056097.JPG</t>
  </si>
  <si>
    <t>G0056098.JPG</t>
  </si>
  <si>
    <t>G0056099.JPG</t>
  </si>
  <si>
    <t>G0056100.JPG</t>
  </si>
  <si>
    <t>G0056101.JPG</t>
  </si>
  <si>
    <t>G0056102.JPG</t>
  </si>
  <si>
    <t>G0056103.JPG</t>
  </si>
  <si>
    <t>G0056104.JPG</t>
  </si>
  <si>
    <t>G0056105.JPG</t>
  </si>
  <si>
    <t>G0056106.JPG</t>
  </si>
  <si>
    <t>G0056107.JPG</t>
  </si>
  <si>
    <t>G0056108.JPG</t>
  </si>
  <si>
    <t>G0056109.JPG</t>
  </si>
  <si>
    <t>G0056110.JPG</t>
  </si>
  <si>
    <t>G0056111.JPG</t>
  </si>
  <si>
    <t>G0056112.JPG</t>
  </si>
  <si>
    <t>G0056113.JPG</t>
  </si>
  <si>
    <t>G0056114.JPG</t>
  </si>
  <si>
    <t>G0056115.JPG</t>
  </si>
  <si>
    <t>G0056116.JPG</t>
  </si>
  <si>
    <t>G0056117.JPG</t>
  </si>
  <si>
    <t>G0056118.JPG</t>
  </si>
  <si>
    <t>G0056119.JPG</t>
  </si>
  <si>
    <t>G0056120.JPG</t>
  </si>
  <si>
    <t>G0056121.JPG</t>
  </si>
  <si>
    <t>G0056122.JPG</t>
  </si>
  <si>
    <t>G0056123.JPG</t>
  </si>
  <si>
    <t>G0056124.JPG</t>
  </si>
  <si>
    <t>G0056125.JPG</t>
  </si>
  <si>
    <t>G0056126.JPG</t>
  </si>
  <si>
    <t>G0056127.JPG</t>
  </si>
  <si>
    <t>G0056128.JPG</t>
  </si>
  <si>
    <t>G0056129.JPG</t>
  </si>
  <si>
    <t>G0056130.JPG</t>
  </si>
  <si>
    <t>G0056131.JPG</t>
  </si>
  <si>
    <t>G0056132.JPG</t>
  </si>
  <si>
    <t>G0056133.JPG</t>
  </si>
  <si>
    <t>G0056134.JPG</t>
  </si>
  <si>
    <t>G0056135.JPG</t>
  </si>
  <si>
    <t>G0056136.JPG</t>
  </si>
  <si>
    <t>G0056137.JPG</t>
  </si>
  <si>
    <t>G0056138.JPG</t>
  </si>
  <si>
    <t>G0056139.JPG</t>
  </si>
  <si>
    <t>G0056140.JPG</t>
  </si>
  <si>
    <t>G0056141.JPG</t>
  </si>
  <si>
    <t>G0056142.JPG</t>
  </si>
  <si>
    <t>G0056143.JPG</t>
  </si>
  <si>
    <t>G0056144.JPG</t>
  </si>
  <si>
    <t>G0056145.JPG</t>
  </si>
  <si>
    <t>G0056146.JPG</t>
  </si>
  <si>
    <t>G0056147.JPG</t>
  </si>
  <si>
    <t>G0056148.JPG</t>
  </si>
  <si>
    <t>G0056149.JPG</t>
  </si>
  <si>
    <t>G0056150.JPG</t>
  </si>
  <si>
    <t>G0056151.JPG</t>
  </si>
  <si>
    <t>G0056152.JPG</t>
  </si>
  <si>
    <t>G0056153.JPG</t>
  </si>
  <si>
    <t>G0056154.JPG</t>
  </si>
  <si>
    <t>G0056155.JPG</t>
  </si>
  <si>
    <t>G0056156.JPG</t>
  </si>
  <si>
    <t>G0056157.JPG</t>
  </si>
  <si>
    <t>G0056158.JPG</t>
  </si>
  <si>
    <t>G0056159.JPG</t>
  </si>
  <si>
    <t>G0056160.JPG</t>
  </si>
  <si>
    <t>G0056161.JPG</t>
  </si>
  <si>
    <t>G0056162.JPG</t>
  </si>
  <si>
    <t>G0056163.JPG</t>
  </si>
  <si>
    <t>G0056164.JPG</t>
  </si>
  <si>
    <t>G0056165.JPG</t>
  </si>
  <si>
    <t>G0056166.JPG</t>
  </si>
  <si>
    <t>G0056167.JPG</t>
  </si>
  <si>
    <t>G0056168.JPG</t>
  </si>
  <si>
    <t>G0056169.JPG</t>
  </si>
  <si>
    <t>G0056170.JPG</t>
  </si>
  <si>
    <t>G0056171.JPG</t>
  </si>
  <si>
    <t>G0056172.JPG</t>
  </si>
  <si>
    <t>G0056173.JPG</t>
  </si>
  <si>
    <t>G0056174.JPG</t>
  </si>
  <si>
    <t>G0056175.JPG</t>
  </si>
  <si>
    <t>G0056176.JPG</t>
  </si>
  <si>
    <t>G0056177.JPG</t>
  </si>
  <si>
    <t>G0056178.JPG</t>
  </si>
  <si>
    <t>G0056179.JPG</t>
  </si>
  <si>
    <t>G0056180.JPG</t>
  </si>
  <si>
    <t>G0056181.JPG</t>
  </si>
  <si>
    <t>G0056182.JPG</t>
  </si>
  <si>
    <t>G0056183.JPG</t>
  </si>
  <si>
    <t>G0056184.JPG</t>
  </si>
  <si>
    <t>G0056185.JPG</t>
  </si>
  <si>
    <t>G0056186.JPG</t>
  </si>
  <si>
    <t>G0056187.JPG</t>
  </si>
  <si>
    <t>G0056188.JPG</t>
  </si>
  <si>
    <t>G0056189.JPG</t>
  </si>
  <si>
    <t>G0056190.JPG</t>
  </si>
  <si>
    <t>G0056191.JPG</t>
  </si>
  <si>
    <t>G0056192.JPG</t>
  </si>
  <si>
    <t>G0056193.JPG</t>
  </si>
  <si>
    <t>G0056194.JPG</t>
  </si>
  <si>
    <t>G0056195.JPG</t>
  </si>
  <si>
    <t>G0056196.JPG</t>
  </si>
  <si>
    <t>G0056197.JPG</t>
  </si>
  <si>
    <t>G0056198.JPG</t>
  </si>
  <si>
    <t>G0056199.JPG</t>
  </si>
  <si>
    <t>G0056200.JPG</t>
  </si>
  <si>
    <t>G0056201.JPG</t>
  </si>
  <si>
    <t>G0056202.JPG</t>
  </si>
  <si>
    <t>G0056203.JPG</t>
  </si>
  <si>
    <t>G0056204.JPG</t>
  </si>
  <si>
    <t>G0056205.JPG</t>
  </si>
  <si>
    <t>G0056206.JPG</t>
  </si>
  <si>
    <t>G0056207.JPG</t>
  </si>
  <si>
    <t>G0056208.JPG</t>
  </si>
  <si>
    <t>G0056209.JPG</t>
  </si>
  <si>
    <t>G0056210.JPG</t>
  </si>
  <si>
    <t>G0056211.JPG</t>
  </si>
  <si>
    <t>G0056212.JPG</t>
  </si>
  <si>
    <t>G0056213.JPG</t>
  </si>
  <si>
    <t>G0056214.JPG</t>
  </si>
  <si>
    <t>G0056215.JPG</t>
  </si>
  <si>
    <t>G0056216.JPG</t>
  </si>
  <si>
    <t>G0056217.JPG</t>
  </si>
  <si>
    <t>G0056218.JPG</t>
  </si>
  <si>
    <t>G0056219.JPG</t>
  </si>
  <si>
    <t>G0056220.JPG</t>
  </si>
  <si>
    <t>G0056221.JPG</t>
  </si>
  <si>
    <t>G0056222.JPG</t>
  </si>
  <si>
    <t>G0056223.JPG</t>
  </si>
  <si>
    <t>G0056224.JPG</t>
  </si>
  <si>
    <t>G0056225.JPG</t>
  </si>
  <si>
    <t>G0056226.JPG</t>
  </si>
  <si>
    <t>G0056227.JPG</t>
  </si>
  <si>
    <t>G0056228.JPG</t>
  </si>
  <si>
    <t>G0056229.JPG</t>
  </si>
  <si>
    <t>G0056230.JPG</t>
  </si>
  <si>
    <t>G0056231.JPG</t>
  </si>
  <si>
    <t>G0056232.JPG</t>
  </si>
  <si>
    <t>G0056233.JPG</t>
  </si>
  <si>
    <t>G0056234.JPG</t>
  </si>
  <si>
    <t>G0056235.JPG</t>
  </si>
  <si>
    <t>G0056236.JPG</t>
  </si>
  <si>
    <t>G0056237.JPG</t>
  </si>
  <si>
    <t>G0056238.JPG</t>
  </si>
  <si>
    <t>G0056239.JPG</t>
  </si>
  <si>
    <t>G0056240.JPG</t>
  </si>
  <si>
    <t>G0056241.JPG</t>
  </si>
  <si>
    <t>G0056242.JPG</t>
  </si>
  <si>
    <t>G0056243.JPG</t>
  </si>
  <si>
    <t>G0056244.JPG</t>
  </si>
  <si>
    <t>G0056245.JPG</t>
  </si>
  <si>
    <t>G0056246.JPG</t>
  </si>
  <si>
    <t>G0056247.JPG</t>
  </si>
  <si>
    <t>G0056248.JPG</t>
  </si>
  <si>
    <t>G0056249.JPG</t>
  </si>
  <si>
    <t>G0056250.JPG</t>
  </si>
  <si>
    <t>G0056251.JPG</t>
  </si>
  <si>
    <t>G0056252.JPG</t>
  </si>
  <si>
    <t>G0056253.JPG</t>
  </si>
  <si>
    <t>G0056254.JPG</t>
  </si>
  <si>
    <t>G0056255.JPG</t>
  </si>
  <si>
    <t>G0056256.JPG</t>
  </si>
  <si>
    <t>G0056257.JPG</t>
  </si>
  <si>
    <t>G0056258.JPG</t>
  </si>
  <si>
    <t>G0056259.JPG</t>
  </si>
  <si>
    <t>G0056260.JPG</t>
  </si>
  <si>
    <t>G0056261.JPG</t>
  </si>
  <si>
    <t>G0056262.JPG</t>
  </si>
  <si>
    <t>G0056263.JPG</t>
  </si>
  <si>
    <t>G0056264.JPG</t>
  </si>
  <si>
    <t>G0056265.JPG</t>
  </si>
  <si>
    <t>G0056266.JPG</t>
  </si>
  <si>
    <t>G0056267.JPG</t>
  </si>
  <si>
    <t>G0056268.JPG</t>
  </si>
  <si>
    <t>G0056269.JPG</t>
  </si>
  <si>
    <t>G0056270.JPG</t>
  </si>
  <si>
    <t>G0056271.JPG</t>
  </si>
  <si>
    <t>G0056272.JPG</t>
  </si>
  <si>
    <t>G0056273.JPG</t>
  </si>
  <si>
    <t>G0056274.JPG</t>
  </si>
  <si>
    <t>G0056275.JPG</t>
  </si>
  <si>
    <t>G0056276.JPG</t>
  </si>
  <si>
    <t>G0056277.JPG</t>
  </si>
  <si>
    <t>G0056278.JPG</t>
  </si>
  <si>
    <t>G0056279.JPG</t>
  </si>
  <si>
    <t>G0056280.JPG</t>
  </si>
  <si>
    <t>G0056281.JPG</t>
  </si>
  <si>
    <t>G0056282.JPG</t>
  </si>
  <si>
    <t>G0056283.JPG</t>
  </si>
  <si>
    <t>G0056284.JPG</t>
  </si>
  <si>
    <t>G0056285.JPG</t>
  </si>
  <si>
    <t>G0056286.JPG</t>
  </si>
  <si>
    <t>G0056287.JPG</t>
  </si>
  <si>
    <t>G0056288.JPG</t>
  </si>
  <si>
    <t>G0056289.JPG</t>
  </si>
  <si>
    <t>G0056290.JPG</t>
  </si>
  <si>
    <t>G0056291.JPG</t>
  </si>
  <si>
    <t>G0056292.JPG</t>
  </si>
  <si>
    <t>G0056293.JPG</t>
  </si>
  <si>
    <t>G0056294.JPG</t>
  </si>
  <si>
    <t>G0056295.JPG</t>
  </si>
  <si>
    <t>G0056296.JPG</t>
  </si>
  <si>
    <t>G0056297.JPG</t>
  </si>
  <si>
    <t>G0056298.JPG</t>
  </si>
  <si>
    <t>G0056299.JPG</t>
  </si>
  <si>
    <t>G0056300.JPG</t>
  </si>
  <si>
    <t>G0056301.JPG</t>
  </si>
  <si>
    <t>G0056302.JPG</t>
  </si>
  <si>
    <t>G0056303.JPG</t>
  </si>
  <si>
    <t>G0056304.JPG</t>
  </si>
  <si>
    <t>G0056305.JPG</t>
  </si>
  <si>
    <t>G0056306.JPG</t>
  </si>
  <si>
    <t>G0056307.JPG</t>
  </si>
  <si>
    <t>G0056308.JPG</t>
  </si>
  <si>
    <t>G0056309.JPG</t>
  </si>
  <si>
    <t>G0056310.JPG</t>
  </si>
  <si>
    <t>G0056311.JPG</t>
  </si>
  <si>
    <t>G0056312.JPG</t>
  </si>
  <si>
    <t>G0056313.JPG</t>
  </si>
  <si>
    <t>G0056314.JPG</t>
  </si>
  <si>
    <t>G0056315.JPG</t>
  </si>
  <si>
    <t>G0056316.JPG</t>
  </si>
  <si>
    <t>G0056317.JPG</t>
  </si>
  <si>
    <t>G0056318.JPG</t>
  </si>
  <si>
    <t>G0056319.JPG</t>
  </si>
  <si>
    <t>G0056320.JPG</t>
  </si>
  <si>
    <t>G0056321.JPG</t>
  </si>
  <si>
    <t>G0056322.JPG</t>
  </si>
  <si>
    <t>G0056323.JPG</t>
  </si>
  <si>
    <t>G0056324.JPG</t>
  </si>
  <si>
    <t>G0056325.JPG</t>
  </si>
  <si>
    <t>G0056326.JPG</t>
  </si>
  <si>
    <t>G0056327.JPG</t>
  </si>
  <si>
    <t>G0056328.JPG</t>
  </si>
  <si>
    <t>G0056329.JPG</t>
  </si>
  <si>
    <t>G0056330.JPG</t>
  </si>
  <si>
    <t>G0056331.JPG</t>
  </si>
  <si>
    <t>G0056332.JPG</t>
  </si>
  <si>
    <t>G0056333.JPG</t>
  </si>
  <si>
    <t>G0056334.JPG</t>
  </si>
  <si>
    <t>G0056335.JPG</t>
  </si>
  <si>
    <t>G0056336.JPG</t>
  </si>
  <si>
    <t>G0056337.JPG</t>
  </si>
  <si>
    <t>G0056338.JPG</t>
  </si>
  <si>
    <t>G0056339.JPG</t>
  </si>
  <si>
    <t>G0056340.JPG</t>
  </si>
  <si>
    <t>G0056341.JPG</t>
  </si>
  <si>
    <t>G0056342.JPG</t>
  </si>
  <si>
    <t>G0056343.JPG</t>
  </si>
  <si>
    <t>G0056344.JPG</t>
  </si>
  <si>
    <t>G0056345.JPG</t>
  </si>
  <si>
    <t>G0056346.JPG</t>
  </si>
  <si>
    <t>G0056347.JPG</t>
  </si>
  <si>
    <t>G0056348.JPG</t>
  </si>
  <si>
    <t>G0056349.JPG</t>
  </si>
  <si>
    <t>G0056350.JPG</t>
  </si>
  <si>
    <t>G0056351.JPG</t>
  </si>
  <si>
    <t>G0056352.JPG</t>
  </si>
  <si>
    <t>G0056353.JPG</t>
  </si>
  <si>
    <t>G0056354.JPG</t>
  </si>
  <si>
    <t>G0056355.JPG</t>
  </si>
  <si>
    <t>G0056356.JPG</t>
  </si>
  <si>
    <t>G0056357.JPG</t>
  </si>
  <si>
    <t>G0056358.JPG</t>
  </si>
  <si>
    <t>G0056359.JPG</t>
  </si>
  <si>
    <t>G0056360.JPG</t>
  </si>
  <si>
    <t>G0056361.JPG</t>
  </si>
  <si>
    <t>G0056362.JPG</t>
  </si>
  <si>
    <t>G0056363.JPG</t>
  </si>
  <si>
    <t>G0056364.JPG</t>
  </si>
  <si>
    <t>G0056365.JPG</t>
  </si>
  <si>
    <t>G0056366.JPG</t>
  </si>
  <si>
    <t>G0056367.JPG</t>
  </si>
  <si>
    <t>G0056368.JPG</t>
  </si>
  <si>
    <t>G0056369.JPG</t>
  </si>
  <si>
    <t>G0056370.JPG</t>
  </si>
  <si>
    <t>G0056371.JPG</t>
  </si>
  <si>
    <t>G0056372.JPG</t>
  </si>
  <si>
    <t>G0056373.JPG</t>
  </si>
  <si>
    <t>G0056374.JPG</t>
  </si>
  <si>
    <t>G0056375.JPG</t>
  </si>
  <si>
    <t>G0056376.JPG</t>
  </si>
  <si>
    <t>G0056377.JPG</t>
  </si>
  <si>
    <t>G0056378.JPG</t>
  </si>
  <si>
    <t>G0056379.JPG</t>
  </si>
  <si>
    <t>G0056380.JPG</t>
  </si>
  <si>
    <t>G0056381.JPG</t>
  </si>
  <si>
    <t>G0056382.JPG</t>
  </si>
  <si>
    <t>G0056383.JPG</t>
  </si>
  <si>
    <t>G0056384.JPG</t>
  </si>
  <si>
    <t>G0056385.JPG</t>
  </si>
  <si>
    <t>G0056386.JPG</t>
  </si>
  <si>
    <t>G0056387.JPG</t>
  </si>
  <si>
    <t>G0056388.JPG</t>
  </si>
  <si>
    <t>G0056389.JPG</t>
  </si>
  <si>
    <t>G0056390.JPG</t>
  </si>
  <si>
    <t>G0056391.JPG</t>
  </si>
  <si>
    <t>G0056392.JPG</t>
  </si>
  <si>
    <t>G0056393.JPG</t>
  </si>
  <si>
    <t>G0056394.JPG</t>
  </si>
  <si>
    <t>G0056395.JPG</t>
  </si>
  <si>
    <t>G0056396.JPG</t>
  </si>
  <si>
    <t>G0056397.JPG</t>
  </si>
  <si>
    <t>G0056398.JPG</t>
  </si>
  <si>
    <t>G0056399.JPG</t>
  </si>
  <si>
    <t>G0056400.JPG</t>
  </si>
  <si>
    <t>G0056401.JPG</t>
  </si>
  <si>
    <t>G0056402.JPG</t>
  </si>
  <si>
    <t>G0056403.JPG</t>
  </si>
  <si>
    <t>G0056404.JPG</t>
  </si>
  <si>
    <t>G0056405.JPG</t>
  </si>
  <si>
    <t>G0056406.JPG</t>
  </si>
  <si>
    <t>G0056407.JPG</t>
  </si>
  <si>
    <t>G0056408.JPG</t>
  </si>
  <si>
    <t>G0056409.JPG</t>
  </si>
  <si>
    <t>G0056410.JPG</t>
  </si>
  <si>
    <t>G0056411.JPG</t>
  </si>
  <si>
    <t>G0056412.JPG</t>
  </si>
  <si>
    <t>G0056413.JPG</t>
  </si>
  <si>
    <t>G0056414.JPG</t>
  </si>
  <si>
    <t>G0056415.JPG</t>
  </si>
  <si>
    <t>G0056416.JPG</t>
  </si>
  <si>
    <t>G0056417.JPG</t>
  </si>
  <si>
    <t>G0056418.JPG</t>
  </si>
  <si>
    <t>G0056419.JPG</t>
  </si>
  <si>
    <t>G0056420.JPG</t>
  </si>
  <si>
    <t>G0056421.JPG</t>
  </si>
  <si>
    <t>G0056422.JPG</t>
  </si>
  <si>
    <t>G0056423.JPG</t>
  </si>
  <si>
    <t>G0056424.JPG</t>
  </si>
  <si>
    <t>G0056425.JPG</t>
  </si>
  <si>
    <t>G0056426.JPG</t>
  </si>
  <si>
    <t>G0056427.JPG</t>
  </si>
  <si>
    <t>G0056428.JPG</t>
  </si>
  <si>
    <t>G0056429.JPG</t>
  </si>
  <si>
    <t>G0056430.JPG</t>
  </si>
  <si>
    <t>G0056431.JPG</t>
  </si>
  <si>
    <t>G0056432.JPG</t>
  </si>
  <si>
    <t>G0056433.JPG</t>
  </si>
  <si>
    <t>G0056434.JPG</t>
  </si>
  <si>
    <t>G0056435.JPG</t>
  </si>
  <si>
    <t>G0056436.JPG</t>
  </si>
  <si>
    <t>G0056437.JPG</t>
  </si>
  <si>
    <t>G0056438.JPG</t>
  </si>
  <si>
    <t>G0056439.JPG</t>
  </si>
  <si>
    <t>G0056440.JPG</t>
  </si>
  <si>
    <t>G0056441.JPG</t>
  </si>
  <si>
    <t>G0056442.JPG</t>
  </si>
  <si>
    <t>G0056443.JPG</t>
  </si>
  <si>
    <t>G0056444.JPG</t>
  </si>
  <si>
    <t>G0056445.JPG</t>
  </si>
  <si>
    <t>G0056446.JPG</t>
  </si>
  <si>
    <t>G0056447.JPG</t>
  </si>
  <si>
    <t>G0056448.JPG</t>
  </si>
  <si>
    <t>G0056449.JPG</t>
  </si>
  <si>
    <t>G0056450.JPG</t>
  </si>
  <si>
    <t>G0056451.JPG</t>
  </si>
  <si>
    <t>G0056452.JPG</t>
  </si>
  <si>
    <t>G0056453.JPG</t>
  </si>
  <si>
    <t>G0056454.JPG</t>
  </si>
  <si>
    <t>G0056455.JPG</t>
  </si>
  <si>
    <t>G0056456.JPG</t>
  </si>
  <si>
    <t>G0056457.JPG</t>
  </si>
  <si>
    <t>G0056458.JPG</t>
  </si>
  <si>
    <t>G0056459.JPG</t>
  </si>
  <si>
    <t>G0056460.JPG</t>
  </si>
  <si>
    <t>G0056461.JPG</t>
  </si>
  <si>
    <t>G0056462.JPG</t>
  </si>
  <si>
    <t>G0056463.JPG</t>
  </si>
  <si>
    <t>G0056464.JPG</t>
  </si>
  <si>
    <t>G0056465.JPG</t>
  </si>
  <si>
    <t>G0056466.JPG</t>
  </si>
  <si>
    <t>G0056467.JPG</t>
  </si>
  <si>
    <t>G0056468.JPG</t>
  </si>
  <si>
    <t>G0056469.JPG</t>
  </si>
  <si>
    <t>G0056470.JPG</t>
  </si>
  <si>
    <t>G0056471.JPG</t>
  </si>
  <si>
    <t>G0056472.JPG</t>
  </si>
  <si>
    <t>G0056473.JPG</t>
  </si>
  <si>
    <t>G0056474.JPG</t>
  </si>
  <si>
    <t>G0056475.JPG</t>
  </si>
  <si>
    <t>G0056476.JPG</t>
  </si>
  <si>
    <t>G0056477.JPG</t>
  </si>
  <si>
    <t>G0056478.JPG</t>
  </si>
  <si>
    <t>G0056479.JPG</t>
  </si>
  <si>
    <t>G0056480.JPG</t>
  </si>
  <si>
    <t>G0056481.JPG</t>
  </si>
  <si>
    <t>G0056482.JPG</t>
  </si>
  <si>
    <t>G0056483.JPG</t>
  </si>
  <si>
    <t>G0056484.JPG</t>
  </si>
  <si>
    <t>G0056485.JPG</t>
  </si>
  <si>
    <t>G0056486.JPG</t>
  </si>
  <si>
    <t>G0056487.JPG</t>
  </si>
  <si>
    <t>G0056488.JPG</t>
  </si>
  <si>
    <t>G0056489.JPG</t>
  </si>
  <si>
    <t>G0056490.JPG</t>
  </si>
  <si>
    <t>G0056491.JPG</t>
  </si>
  <si>
    <t>G0056492.JPG</t>
  </si>
  <si>
    <t>G0056493.JPG</t>
  </si>
  <si>
    <t>G0056494.JPG</t>
  </si>
  <si>
    <t>G0056495.JPG</t>
  </si>
  <si>
    <t>G0056496.JPG</t>
  </si>
  <si>
    <t>G0056497.JPG</t>
  </si>
  <si>
    <t>G0056498.JPG</t>
  </si>
  <si>
    <t>G0056499.JPG</t>
  </si>
  <si>
    <t>G0056500.JPG</t>
  </si>
  <si>
    <t>G0056501.JPG</t>
  </si>
  <si>
    <t>G0056502.JPG</t>
  </si>
  <si>
    <t>G0056503.JPG</t>
  </si>
  <si>
    <t>G0056504.JPG</t>
  </si>
  <si>
    <t>G0056505.JPG</t>
  </si>
  <si>
    <t>G0056506.JPG</t>
  </si>
  <si>
    <t>G0056507.JPG</t>
  </si>
  <si>
    <t>G0056508.JPG</t>
  </si>
  <si>
    <t>G0056509.JPG</t>
  </si>
  <si>
    <t>G0056510.JPG</t>
  </si>
  <si>
    <t>G0056511.JPG</t>
  </si>
  <si>
    <t>G0056512.JPG</t>
  </si>
  <si>
    <t>G0056513.JPG</t>
  </si>
  <si>
    <t>G0056514.JPG</t>
  </si>
  <si>
    <t>G0056515.JPG</t>
  </si>
  <si>
    <t>G0056516.JPG</t>
  </si>
  <si>
    <t>G0056517.JPG</t>
  </si>
  <si>
    <t>G0056518.JPG</t>
  </si>
  <si>
    <t>G0056519.JPG</t>
  </si>
  <si>
    <t>G0056520.JPG</t>
  </si>
  <si>
    <t>G0056521.JPG</t>
  </si>
  <si>
    <t>G0056522.JPG</t>
  </si>
  <si>
    <t>G0056523.JPG</t>
  </si>
  <si>
    <t>G0056524.JPG</t>
  </si>
  <si>
    <t>G0056525.JPG</t>
  </si>
  <si>
    <t>G0056526.JPG</t>
  </si>
  <si>
    <t>G0056527.JPG</t>
  </si>
  <si>
    <t>G0056528.JPG</t>
  </si>
  <si>
    <t>G0056529.JPG</t>
  </si>
  <si>
    <t>G0056530.JPG</t>
  </si>
  <si>
    <t>G0056531.JPG</t>
  </si>
  <si>
    <t>G0056532.JPG</t>
  </si>
  <si>
    <t>G0056533.JPG</t>
  </si>
  <si>
    <t>G0056534.JPG</t>
  </si>
  <si>
    <t>G0056535.JPG</t>
  </si>
  <si>
    <t>G0056536.JPG</t>
  </si>
  <si>
    <t>G0056537.JPG</t>
  </si>
  <si>
    <t>G0056538.JPG</t>
  </si>
  <si>
    <t>G0056539.JPG</t>
  </si>
  <si>
    <t>G0056540.JPG</t>
  </si>
  <si>
    <t>G0056541.JPG</t>
  </si>
  <si>
    <t>G0056542.JPG</t>
  </si>
  <si>
    <t>G0056543.JPG</t>
  </si>
  <si>
    <t>G0056544.JPG</t>
  </si>
  <si>
    <t>G0056545.JPG</t>
  </si>
  <si>
    <t>G0056546.JPG</t>
  </si>
  <si>
    <t>G0056547.JPG</t>
  </si>
  <si>
    <t>G0056548.JPG</t>
  </si>
  <si>
    <t>G0056549.JPG</t>
  </si>
  <si>
    <t>G0056550.JPG</t>
  </si>
  <si>
    <t>G0056551.JPG</t>
  </si>
  <si>
    <t>G0056552.JPG</t>
  </si>
  <si>
    <t>G0056553.JPG</t>
  </si>
  <si>
    <t>G0056554.JPG</t>
  </si>
  <si>
    <t>G0056555.JPG</t>
  </si>
  <si>
    <t>G0056556.JPG</t>
  </si>
  <si>
    <t>G0056557.JPG</t>
  </si>
  <si>
    <t>G0056558.JPG</t>
  </si>
  <si>
    <t>G0056559.JPG</t>
  </si>
  <si>
    <t>G0056560.JPG</t>
  </si>
  <si>
    <t>G0056561.JPG</t>
  </si>
  <si>
    <t>G0056562.JPG</t>
  </si>
  <si>
    <t>G0056563.JPG</t>
  </si>
  <si>
    <t>G0056564.JPG</t>
  </si>
  <si>
    <t>G0056565.JPG</t>
  </si>
  <si>
    <t>G0056566.JPG</t>
  </si>
  <si>
    <t>G0056567.JPG</t>
  </si>
  <si>
    <t>G0056568.JPG</t>
  </si>
  <si>
    <t>G0056569.JPG</t>
  </si>
  <si>
    <t>G0056570.JPG</t>
  </si>
  <si>
    <t>G0056571.JPG</t>
  </si>
  <si>
    <t>G0056572.JPG</t>
  </si>
  <si>
    <t>G0056573.JPG</t>
  </si>
  <si>
    <t>G0056574.JPG</t>
  </si>
  <si>
    <t>G0056575.JPG</t>
  </si>
  <si>
    <t>G0056576.JPG</t>
  </si>
  <si>
    <t>G0056577.JPG</t>
  </si>
  <si>
    <t>G0056578.JPG</t>
  </si>
  <si>
    <t>G0056579.JPG</t>
  </si>
  <si>
    <t>G0056580.JPG</t>
  </si>
  <si>
    <t>G0056581.JPG</t>
  </si>
  <si>
    <t>G0056582.JPG</t>
  </si>
  <si>
    <t>G0056583.JPG</t>
  </si>
  <si>
    <t>G0056584.JPG</t>
  </si>
  <si>
    <t>G0056585.JPG</t>
  </si>
  <si>
    <t>G0056586.JPG</t>
  </si>
  <si>
    <t>G0056587.JPG</t>
  </si>
  <si>
    <t>G0056588.JPG</t>
  </si>
  <si>
    <t>G0056589.JPG</t>
  </si>
  <si>
    <t>G0056590.JPG</t>
  </si>
  <si>
    <t>G0056591.JPG</t>
  </si>
  <si>
    <t>G0056592.JPG</t>
  </si>
  <si>
    <t>G0056593.JPG</t>
  </si>
  <si>
    <t>G0056594.JPG</t>
  </si>
  <si>
    <t>G0056595.JPG</t>
  </si>
  <si>
    <t>G0056596.JPG</t>
  </si>
  <si>
    <t>G0056597.JPG</t>
  </si>
  <si>
    <t>G0056598.JPG</t>
  </si>
  <si>
    <t>G0056599.JPG</t>
  </si>
  <si>
    <t>G0056600.JPG</t>
  </si>
  <si>
    <t>G0056601.JPG</t>
  </si>
  <si>
    <t>G0056602.JPG</t>
  </si>
  <si>
    <t>G0056603.JPG</t>
  </si>
  <si>
    <t>G0056604.JPG</t>
  </si>
  <si>
    <t>G0056605.JPG</t>
  </si>
  <si>
    <t>G0056606.JPG</t>
  </si>
  <si>
    <t>G0056607.JPG</t>
  </si>
  <si>
    <t>G0056608.JPG</t>
  </si>
  <si>
    <t>G0056609.JPG</t>
  </si>
  <si>
    <t>G0056610.JPG</t>
  </si>
  <si>
    <t>G0056611.JPG</t>
  </si>
  <si>
    <t>G0056612.JPG</t>
  </si>
  <si>
    <t>G0056613.JPG</t>
  </si>
  <si>
    <t>G0056614.JPG</t>
  </si>
  <si>
    <t>G0056615.JPG</t>
  </si>
  <si>
    <t>G0056616.JPG</t>
  </si>
  <si>
    <t>G0056617.JPG</t>
  </si>
  <si>
    <t>G0056618.JPG</t>
  </si>
  <si>
    <t>G0056619.JPG</t>
  </si>
  <si>
    <t>G0056620.JPG</t>
  </si>
  <si>
    <t>G0056621.JPG</t>
  </si>
  <si>
    <t>G0056622.JPG</t>
  </si>
  <si>
    <t>G0056623.JPG</t>
  </si>
  <si>
    <t>G0056624.JPG</t>
  </si>
  <si>
    <t>G0056625.JPG</t>
  </si>
  <si>
    <t>G0056626.JPG</t>
  </si>
  <si>
    <t>G0056627.JPG</t>
  </si>
  <si>
    <t>G0056628.JPG</t>
  </si>
  <si>
    <t>G0056629.JPG</t>
  </si>
  <si>
    <t>G0056630.JPG</t>
  </si>
  <si>
    <t>G0056631.JPG</t>
  </si>
  <si>
    <t>G0056632.JPG</t>
  </si>
  <si>
    <t>G0056633.JPG</t>
  </si>
  <si>
    <t>G0056634.JPG</t>
  </si>
  <si>
    <t>G0056635.JPG</t>
  </si>
  <si>
    <t>G0056636.JPG</t>
  </si>
  <si>
    <t>G0056637.JPG</t>
  </si>
  <si>
    <t>G0056638.JPG</t>
  </si>
  <si>
    <t>G0056639.JPG</t>
  </si>
  <si>
    <t>G0056640.JPG</t>
  </si>
  <si>
    <t>G0056641.JPG</t>
  </si>
  <si>
    <t>G0056642.JPG</t>
  </si>
  <si>
    <t>G0056643.JPG</t>
  </si>
  <si>
    <t>G0056644.JPG</t>
  </si>
  <si>
    <t>G0056645.JPG</t>
  </si>
  <si>
    <t>G0056646.JPG</t>
  </si>
  <si>
    <t>G0056647.JPG</t>
  </si>
  <si>
    <t>G0056648.JPG</t>
  </si>
  <si>
    <t>G0056649.JPG</t>
  </si>
  <si>
    <t>G0056650.JPG</t>
  </si>
  <si>
    <t>G0056651.JPG</t>
  </si>
  <si>
    <t>G0056652.JPG</t>
  </si>
  <si>
    <t>G0056653.JPG</t>
  </si>
  <si>
    <t>G0056654.JPG</t>
  </si>
  <si>
    <t>G0056655.JPG</t>
  </si>
  <si>
    <t>G0056656.JPG</t>
  </si>
  <si>
    <t>G0056657.JPG</t>
  </si>
  <si>
    <t>G0056658.JPG</t>
  </si>
  <si>
    <t>G0056659.JPG</t>
  </si>
  <si>
    <t>G0056660.JPG</t>
  </si>
  <si>
    <t>G0056661.JPG</t>
  </si>
  <si>
    <t>G0056662.JPG</t>
  </si>
  <si>
    <t>G0056663.JPG</t>
  </si>
  <si>
    <t>G0056664.JPG</t>
  </si>
  <si>
    <t>G0056665.JPG</t>
  </si>
  <si>
    <t>G0056666.JPG</t>
  </si>
  <si>
    <t>G0056667.JPG</t>
  </si>
  <si>
    <t>G0056668.JPG</t>
  </si>
  <si>
    <t>G0056669.JPG</t>
  </si>
  <si>
    <t>G0056670.JPG</t>
  </si>
  <si>
    <t>G0056671.JPG</t>
  </si>
  <si>
    <t>G0056672.JPG</t>
  </si>
  <si>
    <t>G0056673.JPG</t>
  </si>
  <si>
    <t>G0056674.JPG</t>
  </si>
  <si>
    <t>G0056675.JPG</t>
  </si>
  <si>
    <t>G0056676.JPG</t>
  </si>
  <si>
    <t>G0056677.JPG</t>
  </si>
  <si>
    <t>G0056678.JPG</t>
  </si>
  <si>
    <t>G0056679.JPG</t>
  </si>
  <si>
    <t>G0056680.JPG</t>
  </si>
  <si>
    <t>G0056681.JPG</t>
  </si>
  <si>
    <t>G0056682.JPG</t>
  </si>
  <si>
    <t>G0056683.JPG</t>
  </si>
  <si>
    <t>G0056684.JPG</t>
  </si>
  <si>
    <t>G0056685.JPG</t>
  </si>
  <si>
    <t>G0056686.JPG</t>
  </si>
  <si>
    <t>G0056687.JPG</t>
  </si>
  <si>
    <t>G0056688.JPG</t>
  </si>
  <si>
    <t>G0056689.JPG</t>
  </si>
  <si>
    <t>G0056690.JPG</t>
  </si>
  <si>
    <t>G0056691.JPG</t>
  </si>
  <si>
    <t>G0056692.JPG</t>
  </si>
  <si>
    <t>G0056693.JPG</t>
  </si>
  <si>
    <t>G0056694.JPG</t>
  </si>
  <si>
    <t>G0056695.JPG</t>
  </si>
  <si>
    <t>G0056696.JPG</t>
  </si>
  <si>
    <t>G0056697.JPG</t>
  </si>
  <si>
    <t>G0056698.JPG</t>
  </si>
  <si>
    <t>G0056699.JPG</t>
  </si>
  <si>
    <t>G0056700.JPG</t>
  </si>
  <si>
    <t>G0056701.JPG</t>
  </si>
  <si>
    <t>G0056702.JPG</t>
  </si>
  <si>
    <t>G0056703.JPG</t>
  </si>
  <si>
    <t>G0056704.JPG</t>
  </si>
  <si>
    <t>G0056705.JPG</t>
  </si>
  <si>
    <t>G0056706.JPG</t>
  </si>
  <si>
    <t>G0056707.JPG</t>
  </si>
  <si>
    <t>G0056708.JPG</t>
  </si>
  <si>
    <t>G0056709.JPG</t>
  </si>
  <si>
    <t>G0056710.JPG</t>
  </si>
  <si>
    <t>G0056711.JPG</t>
  </si>
  <si>
    <t>G0056712.JPG</t>
  </si>
  <si>
    <t>G0056713.JPG</t>
  </si>
  <si>
    <t>G0056714.JPG</t>
  </si>
  <si>
    <t>G0056715.JPG</t>
  </si>
  <si>
    <t>G0056716.JPG</t>
  </si>
  <si>
    <t>G0056717.JPG</t>
  </si>
  <si>
    <t>G0056718.JPG</t>
  </si>
  <si>
    <t>G0056719.JPG</t>
  </si>
  <si>
    <t>G0056720.JPG</t>
  </si>
  <si>
    <t>G0056721.JPG</t>
  </si>
  <si>
    <t>G0056722.JPG</t>
  </si>
  <si>
    <t>G0056723.JPG</t>
  </si>
  <si>
    <t>G0056724.JPG</t>
  </si>
  <si>
    <t>G0056725.JPG</t>
  </si>
  <si>
    <t>G0056726.JPG</t>
  </si>
  <si>
    <t>G0056727.JPG</t>
  </si>
  <si>
    <t>G0056728.JPG</t>
  </si>
  <si>
    <t>G0056729.JPG</t>
  </si>
  <si>
    <t>G0056730.JPG</t>
  </si>
  <si>
    <t>G0056731.JPG</t>
  </si>
  <si>
    <t>G0056732.JPG</t>
  </si>
  <si>
    <t>G0056733.JPG</t>
  </si>
  <si>
    <t>G0056734.JPG</t>
  </si>
  <si>
    <t>G0056735.JPG</t>
  </si>
  <si>
    <t>G0056736.JPG</t>
  </si>
  <si>
    <t>G0056737.JPG</t>
  </si>
  <si>
    <t>G0056738.JPG</t>
  </si>
  <si>
    <t>G0056739.JPG</t>
  </si>
  <si>
    <t>G0056740.JPG</t>
  </si>
  <si>
    <t>G0056741.JPG</t>
  </si>
  <si>
    <t>G0056742.JPG</t>
  </si>
  <si>
    <t>G0056743.JPG</t>
  </si>
  <si>
    <t>G0056744.JPG</t>
  </si>
  <si>
    <t>G0056745.JPG</t>
  </si>
  <si>
    <t>G0056746.JPG</t>
  </si>
  <si>
    <t>G0056747.JPG</t>
  </si>
  <si>
    <t>G0056748.JPG</t>
  </si>
  <si>
    <t>G0056749.JPG</t>
  </si>
  <si>
    <t>G0056750.JPG</t>
  </si>
  <si>
    <t>G0056751.JPG</t>
  </si>
  <si>
    <t>G0056752.JPG</t>
  </si>
  <si>
    <t>G0056753.JPG</t>
  </si>
  <si>
    <t>G0056754.JPG</t>
  </si>
  <si>
    <t>G0056755.JPG</t>
  </si>
  <si>
    <t>G0056756.JPG</t>
  </si>
  <si>
    <t>G0056757.JPG</t>
  </si>
  <si>
    <t>G0056758.JPG</t>
  </si>
  <si>
    <t>G0056759.JPG</t>
  </si>
  <si>
    <t>G0056760.JPG</t>
  </si>
  <si>
    <t>G0056761.JPG</t>
  </si>
  <si>
    <t>G0056762.JPG</t>
  </si>
  <si>
    <t>G0056763.JPG</t>
  </si>
  <si>
    <t>G0056764.JPG</t>
  </si>
  <si>
    <t>G0056765.JPG</t>
  </si>
  <si>
    <t>G0056766.JPG</t>
  </si>
  <si>
    <t>G0056767.JPG</t>
  </si>
  <si>
    <t>G0056768.JPG</t>
  </si>
  <si>
    <t>G0056769.JPG</t>
  </si>
  <si>
    <t>G0056770.JPG</t>
  </si>
  <si>
    <t>G0056771.JPG</t>
  </si>
  <si>
    <t>G0056772.JPG</t>
  </si>
  <si>
    <t>G0056773.JPG</t>
  </si>
  <si>
    <t>G0056774.JPG</t>
  </si>
  <si>
    <t>G0056775.JPG</t>
  </si>
  <si>
    <t>G0056776.JPG</t>
  </si>
  <si>
    <t>G0056777.JPG</t>
  </si>
  <si>
    <t>G0056778.JPG</t>
  </si>
  <si>
    <t>G0056779.JPG</t>
  </si>
  <si>
    <t>G0056780.JPG</t>
  </si>
  <si>
    <t>G0056781.JPG</t>
  </si>
  <si>
    <t>G0056782.JPG</t>
  </si>
  <si>
    <t>G0056783.JPG</t>
  </si>
  <si>
    <t>G0056784.JPG</t>
  </si>
  <si>
    <t>G0056785.JPG</t>
  </si>
  <si>
    <t>G0056786.JPG</t>
  </si>
  <si>
    <t>G0056787.JPG</t>
  </si>
  <si>
    <t>G0056788.JPG</t>
  </si>
  <si>
    <t>G0056789.JPG</t>
  </si>
  <si>
    <t>G0056790.JPG</t>
  </si>
  <si>
    <t>G0056791.JPG</t>
  </si>
  <si>
    <t>G0056792.JPG</t>
  </si>
  <si>
    <t>G0056793.JPG</t>
  </si>
  <si>
    <t>G0056794.JPG</t>
  </si>
  <si>
    <t>G0056795.JPG</t>
  </si>
  <si>
    <t>G0056796.JPG</t>
  </si>
  <si>
    <t>G0056797.JPG</t>
  </si>
  <si>
    <t>G0056798.JPG</t>
  </si>
  <si>
    <t>G0056799.JPG</t>
  </si>
  <si>
    <t>G0056800.JPG</t>
  </si>
  <si>
    <t>G0056801.JPG</t>
  </si>
  <si>
    <t>G0056802.JPG</t>
  </si>
  <si>
    <t>G0056803.JPG</t>
  </si>
  <si>
    <t>G0056804.JPG</t>
  </si>
  <si>
    <t>G0056805.JPG</t>
  </si>
  <si>
    <t>G0056806.JPG</t>
  </si>
  <si>
    <t>G0056807.JPG</t>
  </si>
  <si>
    <t>G0056808.JPG</t>
  </si>
  <si>
    <t>G0056809.JPG</t>
  </si>
  <si>
    <t>G0056810.JPG</t>
  </si>
  <si>
    <t>G0056811.JPG</t>
  </si>
  <si>
    <t>G0056812.JPG</t>
  </si>
  <si>
    <t>G0056813.JPG</t>
  </si>
  <si>
    <t>G0056814.JPG</t>
  </si>
  <si>
    <t>G0056815.JPG</t>
  </si>
  <si>
    <t>G0056816.JPG</t>
  </si>
  <si>
    <t>G0056817.JPG</t>
  </si>
  <si>
    <t>G0056818.JPG</t>
  </si>
  <si>
    <t>G0056819.JPG</t>
  </si>
  <si>
    <t>G0056820.JPG</t>
  </si>
  <si>
    <t>G0056821.JPG</t>
  </si>
  <si>
    <t>G0056822.JPG</t>
  </si>
  <si>
    <t>G0056823.JPG</t>
  </si>
  <si>
    <t>G0056824.JPG</t>
  </si>
  <si>
    <t>G0056825.JPG</t>
  </si>
  <si>
    <t>G0056826.JPG</t>
  </si>
  <si>
    <t>G0056827.JPG</t>
  </si>
  <si>
    <t>G0056828.JPG</t>
  </si>
  <si>
    <t>G0056829.JPG</t>
  </si>
  <si>
    <t>G0056830.JPG</t>
  </si>
  <si>
    <t>G0056831.JPG</t>
  </si>
  <si>
    <t>G0056832.JPG</t>
  </si>
  <si>
    <t>G0056833.JPG</t>
  </si>
  <si>
    <t>G0056834.JPG</t>
  </si>
  <si>
    <t>G0056835.JPG</t>
  </si>
  <si>
    <t>G0056836.JPG</t>
  </si>
  <si>
    <t>G0056837.JPG</t>
  </si>
  <si>
    <t>G0056838.JPG</t>
  </si>
  <si>
    <t>G0056839.JPG</t>
  </si>
  <si>
    <t>G0056840.JPG</t>
  </si>
  <si>
    <t>G0056841.JPG</t>
  </si>
  <si>
    <t>G0056842.JPG</t>
  </si>
  <si>
    <t>G0056843.JPG</t>
  </si>
  <si>
    <t>G0056844.JPG</t>
  </si>
  <si>
    <t>G0056845.JPG</t>
  </si>
  <si>
    <t>G0056846.JPG</t>
  </si>
  <si>
    <t>G0056847.JPG</t>
  </si>
  <si>
    <t>G0056848.JPG</t>
  </si>
  <si>
    <t>G0056849.JPG</t>
  </si>
  <si>
    <t>G0056850.JPG</t>
  </si>
  <si>
    <t>G0056851.JPG</t>
  </si>
  <si>
    <t>G0056852.JPG</t>
  </si>
  <si>
    <t>G0056853.JPG</t>
  </si>
  <si>
    <t>G0056854.JPG</t>
  </si>
  <si>
    <t>G0056855.JPG</t>
  </si>
  <si>
    <t>G0056856.JPG</t>
  </si>
  <si>
    <t>G0056857.JPG</t>
  </si>
  <si>
    <t>G0056858.JPG</t>
  </si>
  <si>
    <t>G0056859.JPG</t>
  </si>
  <si>
    <t>G0056860.JPG</t>
  </si>
  <si>
    <t>G0056861.JPG</t>
  </si>
  <si>
    <t>G0056862.JPG</t>
  </si>
  <si>
    <t>G0056863.JPG</t>
  </si>
  <si>
    <t>G0056864.JPG</t>
  </si>
  <si>
    <t>G0056865.JPG</t>
  </si>
  <si>
    <t>G0056866.JPG</t>
  </si>
  <si>
    <t>G0056867.JPG</t>
  </si>
  <si>
    <t>G0056868.JPG</t>
  </si>
  <si>
    <t>G0056869.JPG</t>
  </si>
  <si>
    <t>G0056870.JPG</t>
  </si>
  <si>
    <t>G0056871.JPG</t>
  </si>
  <si>
    <t>G0056872.JPG</t>
  </si>
  <si>
    <t>G0056873.JPG</t>
  </si>
  <si>
    <t>G0056874.JPG</t>
  </si>
  <si>
    <t>G0056875.JPG</t>
  </si>
  <si>
    <t>G0056876.JPG</t>
  </si>
  <si>
    <t>G0056877.JPG</t>
  </si>
  <si>
    <t>G0056878.JPG</t>
  </si>
  <si>
    <t>G0056879.JPG</t>
  </si>
  <si>
    <t>G0056880.JPG</t>
  </si>
  <si>
    <t>G0056881.JPG</t>
  </si>
  <si>
    <t>G0056882.JPG</t>
  </si>
  <si>
    <t>G0056883.JPG</t>
  </si>
  <si>
    <t>G0056884.JPG</t>
  </si>
  <si>
    <t>G0056885.JPG</t>
  </si>
  <si>
    <t>G0056886.JPG</t>
  </si>
  <si>
    <t>G0056887.JPG</t>
  </si>
  <si>
    <t>G0056888.JPG</t>
  </si>
  <si>
    <t>G0056889.JPG</t>
  </si>
  <si>
    <t>G0056890.JPG</t>
  </si>
  <si>
    <t>G0056891.JPG</t>
  </si>
  <si>
    <t>G0056892.JPG</t>
  </si>
  <si>
    <t>G0056893.JPG</t>
  </si>
  <si>
    <t>G0056894.JPG</t>
  </si>
  <si>
    <t>G0056895.JPG</t>
  </si>
  <si>
    <t>G0056896.JPG</t>
  </si>
  <si>
    <t>G0056897.JPG</t>
  </si>
  <si>
    <t>G0056898.JPG</t>
  </si>
  <si>
    <t>G0056899.JPG</t>
  </si>
  <si>
    <t>G0056900.JPG</t>
  </si>
  <si>
    <t>G0056901.JPG</t>
  </si>
  <si>
    <t>G0056902.JPG</t>
  </si>
  <si>
    <t>G0056903.JPG</t>
  </si>
  <si>
    <t>G0056904.JPG</t>
  </si>
  <si>
    <t>G0056905.JPG</t>
  </si>
  <si>
    <t>G0056906.JPG</t>
  </si>
  <si>
    <t>G0056907.JPG</t>
  </si>
  <si>
    <t>G0056908.JPG</t>
  </si>
  <si>
    <t>G0056909.JPG</t>
  </si>
  <si>
    <t>G0056910.JPG</t>
  </si>
  <si>
    <t>G0056911.JPG</t>
  </si>
  <si>
    <t>G0056912.JPG</t>
  </si>
  <si>
    <t>G0056913.JPG</t>
  </si>
  <si>
    <t>G0056914.JPG</t>
  </si>
  <si>
    <t>G0056915.JPG</t>
  </si>
  <si>
    <t>G0056916.JPG</t>
  </si>
  <si>
    <t>G0056917.JPG</t>
  </si>
  <si>
    <t>G0056918.JPG</t>
  </si>
  <si>
    <t>G0056919.JPG</t>
  </si>
  <si>
    <t>G0056920.JPG</t>
  </si>
  <si>
    <t>G0056921.JPG</t>
  </si>
  <si>
    <t>G0056922.JPG</t>
  </si>
  <si>
    <t>G0056923.JPG</t>
  </si>
  <si>
    <t>G0056924.JPG</t>
  </si>
  <si>
    <t>G0056925.JPG</t>
  </si>
  <si>
    <t>G0056926.JPG</t>
  </si>
  <si>
    <t>G0056927.JPG</t>
  </si>
  <si>
    <t>G0056928.JPG</t>
  </si>
  <si>
    <t>G0056929.JPG</t>
  </si>
  <si>
    <t>G0056930.JPG</t>
  </si>
  <si>
    <t>G0056931.JPG</t>
  </si>
  <si>
    <t>G0056932.JPG</t>
  </si>
  <si>
    <t>G0056933.JPG</t>
  </si>
  <si>
    <t>G0056934.JPG</t>
  </si>
  <si>
    <t>G0056935.JPG</t>
  </si>
  <si>
    <t>G0056936.JPG</t>
  </si>
  <si>
    <t>G0056937.JPG</t>
  </si>
  <si>
    <t>G0056938.JPG</t>
  </si>
  <si>
    <t>G0056939.JPG</t>
  </si>
  <si>
    <t>G0056940.JPG</t>
  </si>
  <si>
    <t>G0056941.JPG</t>
  </si>
  <si>
    <t>G0056942.JPG</t>
  </si>
  <si>
    <t>G0056943.JPG</t>
  </si>
  <si>
    <t>G0056944.JPG</t>
  </si>
  <si>
    <t>G0056945.JPG</t>
  </si>
  <si>
    <t>G0056946.JPG</t>
  </si>
  <si>
    <t>G0056947.JPG</t>
  </si>
  <si>
    <t>G0056948.JPG</t>
  </si>
  <si>
    <t>G0056949.JPG</t>
  </si>
  <si>
    <t>G0056950.JPG</t>
  </si>
  <si>
    <t>G0056951.JPG</t>
  </si>
  <si>
    <t>G0056952.JPG</t>
  </si>
  <si>
    <t>G0056953.JPG</t>
  </si>
  <si>
    <t>G0056954.JPG</t>
  </si>
  <si>
    <t>G0056955.JPG</t>
  </si>
  <si>
    <t>G0056956.JPG</t>
  </si>
  <si>
    <t>G0056957.JPG</t>
  </si>
  <si>
    <t>G0056958.JPG</t>
  </si>
  <si>
    <t>G0056959.JPG</t>
  </si>
  <si>
    <t>G0056960.JPG</t>
  </si>
  <si>
    <t>G0056961.JPG</t>
  </si>
  <si>
    <t>G0056962.JPG</t>
  </si>
  <si>
    <t>G0056963.JPG</t>
  </si>
  <si>
    <t>G0056964.JPG</t>
  </si>
  <si>
    <t>G0056965.JPG</t>
  </si>
  <si>
    <t>G0056966.JPG</t>
  </si>
  <si>
    <t>G0056967.JPG</t>
  </si>
  <si>
    <t>G0056968.JPG</t>
  </si>
  <si>
    <t>G0056969.JPG</t>
  </si>
  <si>
    <t>G0056970.JPG</t>
  </si>
  <si>
    <t>G0056971.JPG</t>
  </si>
  <si>
    <t>G0056972.JPG</t>
  </si>
  <si>
    <t>G0056973.JPG</t>
  </si>
  <si>
    <t>G0056974.JPG</t>
  </si>
  <si>
    <t>G0056975.JPG</t>
  </si>
  <si>
    <t>G0056976.JPG</t>
  </si>
  <si>
    <t>G0056977.JPG</t>
  </si>
  <si>
    <t>G0056978.JPG</t>
  </si>
  <si>
    <t>G0056979.JPG</t>
  </si>
  <si>
    <t>G0056980.JPG</t>
  </si>
  <si>
    <t>G0056981.JPG</t>
  </si>
  <si>
    <t>G0056982.JPG</t>
  </si>
  <si>
    <t>G0056983.JPG</t>
  </si>
  <si>
    <t>G0056984.JPG</t>
  </si>
  <si>
    <t>G0056985.JPG</t>
  </si>
  <si>
    <t>G0056986.JPG</t>
  </si>
  <si>
    <t>G0056987.JPG</t>
  </si>
  <si>
    <t>G0056988.JPG</t>
  </si>
  <si>
    <t>G0056989.JPG</t>
  </si>
  <si>
    <t>G0056990.JPG</t>
  </si>
  <si>
    <t>G0056991.JPG</t>
  </si>
  <si>
    <t>G0056992.JPG</t>
  </si>
  <si>
    <t>G0056993.JPG</t>
  </si>
  <si>
    <t>G0056994.JPG</t>
  </si>
  <si>
    <t>G0056995.JPG</t>
  </si>
  <si>
    <t>G0056996.JPG</t>
  </si>
  <si>
    <t>G0056997.JPG</t>
  </si>
  <si>
    <t>G0056998.JPG</t>
  </si>
  <si>
    <t>G0056999.JPG</t>
  </si>
  <si>
    <t>G0057000.JPG</t>
  </si>
  <si>
    <t>G0057001.JPG</t>
  </si>
  <si>
    <t>G0057002.JPG</t>
  </si>
  <si>
    <t>G0057003.JPG</t>
  </si>
  <si>
    <t>G0057004.JPG</t>
  </si>
  <si>
    <t>G0057005.JPG</t>
  </si>
  <si>
    <t>G0057006.JPG</t>
  </si>
  <si>
    <t>G0057007.JPG</t>
  </si>
  <si>
    <t>G0057008.JPG</t>
  </si>
  <si>
    <t>G0057009.JPG</t>
  </si>
  <si>
    <t>G0057010.JPG</t>
  </si>
  <si>
    <t>G0057011.JPG</t>
  </si>
  <si>
    <t>G0057012.JPG</t>
  </si>
  <si>
    <t>G0057013.JPG</t>
  </si>
  <si>
    <t>G0057014.JPG</t>
  </si>
  <si>
    <t>G0057015.JPG</t>
  </si>
  <si>
    <t>G0057016.JPG</t>
  </si>
  <si>
    <t>G0057017.JPG</t>
  </si>
  <si>
    <t>G0057018.JPG</t>
  </si>
  <si>
    <t>G0057019.JPG</t>
  </si>
  <si>
    <t>G0057020.JPG</t>
  </si>
  <si>
    <t>G0057021.JPG</t>
  </si>
  <si>
    <t>G0057022.JPG</t>
  </si>
  <si>
    <t>G0057023.JPG</t>
  </si>
  <si>
    <t>G0057024.JPG</t>
  </si>
  <si>
    <t>G0057025.JPG</t>
  </si>
  <si>
    <t>G0057026.JPG</t>
  </si>
  <si>
    <t>G0057027.JPG</t>
  </si>
  <si>
    <t>G0057028.JPG</t>
  </si>
  <si>
    <t>G0057029.JPG</t>
  </si>
  <si>
    <t>G0057030.JPG</t>
  </si>
  <si>
    <t>G0057031.JPG</t>
  </si>
  <si>
    <t>G0057032.JPG</t>
  </si>
  <si>
    <t>G0057033.JPG</t>
  </si>
  <si>
    <t>G0057034.JPG</t>
  </si>
  <si>
    <t>G0057035.JPG</t>
  </si>
  <si>
    <t>G0057036.JPG</t>
  </si>
  <si>
    <t>G0057037.JPG</t>
  </si>
  <si>
    <t>G0057038.JPG</t>
  </si>
  <si>
    <t>G0057039.JPG</t>
  </si>
  <si>
    <t>G0057040.JPG</t>
  </si>
  <si>
    <t>G0057041.JPG</t>
  </si>
  <si>
    <t>G0057042.JPG</t>
  </si>
  <si>
    <t>G0057043.JPG</t>
  </si>
  <si>
    <t>G0057044.JPG</t>
  </si>
  <si>
    <t>G0057045.JPG</t>
  </si>
  <si>
    <t>G0057046.JPG</t>
  </si>
  <si>
    <t>G0057047.JPG</t>
  </si>
  <si>
    <t>G0057048.JPG</t>
  </si>
  <si>
    <t>G0057049.JPG</t>
  </si>
  <si>
    <t>G0057050.JPG</t>
  </si>
  <si>
    <t>G0057051.JPG</t>
  </si>
  <si>
    <t>G0057052.JPG</t>
  </si>
  <si>
    <t>G0057053.JPG</t>
  </si>
  <si>
    <t>G0057054.JPG</t>
  </si>
  <si>
    <t>G0057055.JPG</t>
  </si>
  <si>
    <t>G0057056.JPG</t>
  </si>
  <si>
    <t>G0057057.JPG</t>
  </si>
  <si>
    <t>G0057058.JPG</t>
  </si>
  <si>
    <t>G0057059.JPG</t>
  </si>
  <si>
    <t>G0057060.JPG</t>
  </si>
  <si>
    <t>G0057061.JPG</t>
  </si>
  <si>
    <t>G0057062.JPG</t>
  </si>
  <si>
    <t>G0057063.JPG</t>
  </si>
  <si>
    <t>G0057064.JPG</t>
  </si>
  <si>
    <t>G0057065.JPG</t>
  </si>
  <si>
    <t>G0057066.JPG</t>
  </si>
  <si>
    <t>G0057067.JPG</t>
  </si>
  <si>
    <t>G0057068.JPG</t>
  </si>
  <si>
    <t>G0057069.JPG</t>
  </si>
  <si>
    <t>G0057070.JPG</t>
  </si>
  <si>
    <t>G0057071.JPG</t>
  </si>
  <si>
    <t>G0057072.JPG</t>
  </si>
  <si>
    <t>G0057073.JPG</t>
  </si>
  <si>
    <t>G0057074.JPG</t>
  </si>
  <si>
    <t>G0057075.JPG</t>
  </si>
  <si>
    <t>G0057076.JPG</t>
  </si>
  <si>
    <t>G0057077.JPG</t>
  </si>
  <si>
    <t>G0057078.JPG</t>
  </si>
  <si>
    <t>G0057079.JPG</t>
  </si>
  <si>
    <t>G0057080.JPG</t>
  </si>
  <si>
    <t>G0057081.JPG</t>
  </si>
  <si>
    <t>G0057082.JPG</t>
  </si>
  <si>
    <t>G0057083.JPG</t>
  </si>
  <si>
    <t>G0057084.JPG</t>
  </si>
  <si>
    <t>G0057085.JPG</t>
  </si>
  <si>
    <t>G0057086.JPG</t>
  </si>
  <si>
    <t>G0057087.JPG</t>
  </si>
  <si>
    <t>G0057088.JPG</t>
  </si>
  <si>
    <t>G0057089.JPG</t>
  </si>
  <si>
    <t>G0057090.JPG</t>
  </si>
  <si>
    <t>G0057091.JPG</t>
  </si>
  <si>
    <t>G0057092.JPG</t>
  </si>
  <si>
    <t>G0057093.JPG</t>
  </si>
  <si>
    <t>G0057094.JPG</t>
  </si>
  <si>
    <t>G0057095.JPG</t>
  </si>
  <si>
    <t>G0057096.JPG</t>
  </si>
  <si>
    <t>G0057097.JPG</t>
  </si>
  <si>
    <t>G0057098.JPG</t>
  </si>
  <si>
    <t>G0057099.JPG</t>
  </si>
  <si>
    <t>G0057100.JPG</t>
  </si>
  <si>
    <t>G0057101.JPG</t>
  </si>
  <si>
    <t>G0057102.JPG</t>
  </si>
  <si>
    <t>G0057103.JPG</t>
  </si>
  <si>
    <t>G0057104.JPG</t>
  </si>
  <si>
    <t>G0057105.JPG</t>
  </si>
  <si>
    <t>G0057106.JPG</t>
  </si>
  <si>
    <t>G0057107.JPG</t>
  </si>
  <si>
    <t>G0057108.JPG</t>
  </si>
  <si>
    <t>G0057109.JPG</t>
  </si>
  <si>
    <t>G0057110.JPG</t>
  </si>
  <si>
    <t>G0057111.JPG</t>
  </si>
  <si>
    <t>G0057112.JPG</t>
  </si>
  <si>
    <t>G0057113.JPG</t>
  </si>
  <si>
    <t>G0057114.JPG</t>
  </si>
  <si>
    <t>G0057115.JPG</t>
  </si>
  <si>
    <t>G0057116.JPG</t>
  </si>
  <si>
    <t>G0057117.JPG</t>
  </si>
  <si>
    <t>G0057118.JPG</t>
  </si>
  <si>
    <t>G0057119.JPG</t>
  </si>
  <si>
    <t>G0057120.JPG</t>
  </si>
  <si>
    <t>G0057121.JPG</t>
  </si>
  <si>
    <t>G0057122.JPG</t>
  </si>
  <si>
    <t>G0057123.JPG</t>
  </si>
  <si>
    <t>G0057124.JPG</t>
  </si>
  <si>
    <t>G0057125.JPG</t>
  </si>
  <si>
    <t>G0057126.JPG</t>
  </si>
  <si>
    <t>G0057127.JPG</t>
  </si>
  <si>
    <t>G0057128.JPG</t>
  </si>
  <si>
    <t>G0057129.JPG</t>
  </si>
  <si>
    <t>G0057130.JPG</t>
  </si>
  <si>
    <t>G0057131.JPG</t>
  </si>
  <si>
    <t>G0057132.JPG</t>
  </si>
  <si>
    <t>G0057133.JPG</t>
  </si>
  <si>
    <t>G0057134.JPG</t>
  </si>
  <si>
    <t>G0057135.JPG</t>
  </si>
  <si>
    <t>G0057136.JPG</t>
  </si>
  <si>
    <t>G0057137.JPG</t>
  </si>
  <si>
    <t>G0057138.JPG</t>
  </si>
  <si>
    <t>G0057139.JPG</t>
  </si>
  <si>
    <t>G0057140.JPG</t>
  </si>
  <si>
    <t>G0057141.JPG</t>
  </si>
  <si>
    <t>G0057142.JPG</t>
  </si>
  <si>
    <t>G0057143.JPG</t>
  </si>
  <si>
    <t>G0057144.JPG</t>
  </si>
  <si>
    <t>G0057145.JPG</t>
  </si>
  <si>
    <t>G0057146.JPG</t>
  </si>
  <si>
    <t>G0057147.JPG</t>
  </si>
  <si>
    <t>G0057148.JPG</t>
  </si>
  <si>
    <t>G0057149.JPG</t>
  </si>
  <si>
    <t>G0057150.JPG</t>
  </si>
  <si>
    <t>G0057151.JPG</t>
  </si>
  <si>
    <t>G0057152.JPG</t>
  </si>
  <si>
    <t>G0057153.JPG</t>
  </si>
  <si>
    <t>G0057154.JPG</t>
  </si>
  <si>
    <t>G0057155.JPG</t>
  </si>
  <si>
    <t>G0057156.JPG</t>
  </si>
  <si>
    <t>G0057157.JPG</t>
  </si>
  <si>
    <t>G0057158.JPG</t>
  </si>
  <si>
    <t>G0057159.JPG</t>
  </si>
  <si>
    <t>G0057160.JPG</t>
  </si>
  <si>
    <t>G0057161.JPG</t>
  </si>
  <si>
    <t>G0057162.JPG</t>
  </si>
  <si>
    <t>G0057163.JPG</t>
  </si>
  <si>
    <t>G0057164.JPG</t>
  </si>
  <si>
    <t>G0057165.JPG</t>
  </si>
  <si>
    <t>G0057166.JPG</t>
  </si>
  <si>
    <t>G0057167.JPG</t>
  </si>
  <si>
    <t>G0057168.JPG</t>
  </si>
  <si>
    <t>G0057169.JPG</t>
  </si>
  <si>
    <t>G0057170.JPG</t>
  </si>
  <si>
    <t>G0057171.JPG</t>
  </si>
  <si>
    <t>G0057172.JPG</t>
  </si>
  <si>
    <t>G0057173.JPG</t>
  </si>
  <si>
    <t>G0057174.JPG</t>
  </si>
  <si>
    <t>G0057175.JPG</t>
  </si>
  <si>
    <t>G0057176.JPG</t>
  </si>
  <si>
    <t>G0057177.JPG</t>
  </si>
  <si>
    <t>G0057178.JPG</t>
  </si>
  <si>
    <t>G0057179.JPG</t>
  </si>
  <si>
    <t>G0057180.JPG</t>
  </si>
  <si>
    <t>G0057181.JPG</t>
  </si>
  <si>
    <t>G0057182.JPG</t>
  </si>
  <si>
    <t>G0057183.JPG</t>
  </si>
  <si>
    <t>G0057184.JPG</t>
  </si>
  <si>
    <t>G0057185.JPG</t>
  </si>
  <si>
    <t>G0057186.JPG</t>
  </si>
  <si>
    <t>G0057187.JPG</t>
  </si>
  <si>
    <t>G0057188.JPG</t>
  </si>
  <si>
    <t>G0057189.JPG</t>
  </si>
  <si>
    <t>G0057190.JPG</t>
  </si>
  <si>
    <t>G0057191.JPG</t>
  </si>
  <si>
    <t>G0057192.JPG</t>
  </si>
  <si>
    <t>G0057193.JPG</t>
  </si>
  <si>
    <t>G0057194.JPG</t>
  </si>
  <si>
    <t>G0057195.JPG</t>
  </si>
  <si>
    <t>G0057196.JPG</t>
  </si>
  <si>
    <t>G0057197.JPG</t>
  </si>
  <si>
    <t>G0057198.JPG</t>
  </si>
  <si>
    <t>G0057199.JPG</t>
  </si>
  <si>
    <t>G0057200.JPG</t>
  </si>
  <si>
    <t>G0057201.JPG</t>
  </si>
  <si>
    <t>G0057202.JPG</t>
  </si>
  <si>
    <t>G0057203.JPG</t>
  </si>
  <si>
    <t>G0057204.JPG</t>
  </si>
  <si>
    <t>G0057205.JPG</t>
  </si>
  <si>
    <t>G0057206.JPG</t>
  </si>
  <si>
    <t>G0057207.JPG</t>
  </si>
  <si>
    <t>G0057208.JPG</t>
  </si>
  <si>
    <t>G0057209.JPG</t>
  </si>
  <si>
    <t>G0057210.JPG</t>
  </si>
  <si>
    <t>G0057211.JPG</t>
  </si>
  <si>
    <t>G0057212.JPG</t>
  </si>
  <si>
    <t>G0057213.JPG</t>
  </si>
  <si>
    <t>G0057214.JPG</t>
  </si>
  <si>
    <t>G0057215.JPG</t>
  </si>
  <si>
    <t>G0057216.JPG</t>
  </si>
  <si>
    <t>G0057217.JPG</t>
  </si>
  <si>
    <t>G0057218.JPG</t>
  </si>
  <si>
    <t>G0057219.JPG</t>
  </si>
  <si>
    <t>G0057220.JPG</t>
  </si>
  <si>
    <t>G0057221.JPG</t>
  </si>
  <si>
    <t>G0057222.JPG</t>
  </si>
  <si>
    <t>G0057223.JPG</t>
  </si>
  <si>
    <t>G0057224.JPG</t>
  </si>
  <si>
    <t>G0057225.JPG</t>
  </si>
  <si>
    <t>G0057226.JPG</t>
  </si>
  <si>
    <t>G0057227.JPG</t>
  </si>
  <si>
    <t>G0057228.JPG</t>
  </si>
  <si>
    <t>G0057229.JPG</t>
  </si>
  <si>
    <t>G0057230.JPG</t>
  </si>
  <si>
    <t>G0057231.JPG</t>
  </si>
  <si>
    <t>G0057232.JPG</t>
  </si>
  <si>
    <t>G0057233.JPG</t>
  </si>
  <si>
    <t>G0057234.JPG</t>
  </si>
  <si>
    <t>G0057235.JPG</t>
  </si>
  <si>
    <t>G0057236.JPG</t>
  </si>
  <si>
    <t>G0057237.JPG</t>
  </si>
  <si>
    <t>G0057238.JPG</t>
  </si>
  <si>
    <t>G0057239.JPG</t>
  </si>
  <si>
    <t>G0057240.JPG</t>
  </si>
  <si>
    <t>G0057241.JPG</t>
  </si>
  <si>
    <t>G0057242.JPG</t>
  </si>
  <si>
    <t>G0057243.JPG</t>
  </si>
  <si>
    <t>G0057244.JPG</t>
  </si>
  <si>
    <t>G0057245.JPG</t>
  </si>
  <si>
    <t>G0057246.JPG</t>
  </si>
  <si>
    <t>G0057247.JPG</t>
  </si>
  <si>
    <t>G0057248.JPG</t>
  </si>
  <si>
    <t>G0057249.JPG</t>
  </si>
  <si>
    <t>G0057250.JPG</t>
  </si>
  <si>
    <t>G0057251.JPG</t>
  </si>
  <si>
    <t>G0057252.JPG</t>
  </si>
  <si>
    <t>G0057253.JPG</t>
  </si>
  <si>
    <t>G0057254.JPG</t>
  </si>
  <si>
    <t>G0057255.JPG</t>
  </si>
  <si>
    <t>G0057256.JPG</t>
  </si>
  <si>
    <t>G0057257.JPG</t>
  </si>
  <si>
    <t>G0057258.JPG</t>
  </si>
  <si>
    <t>G0057259.JPG</t>
  </si>
  <si>
    <t>G0057260.JPG</t>
  </si>
  <si>
    <t>G0057261.JPG</t>
  </si>
  <si>
    <t>G0057262.JPG</t>
  </si>
  <si>
    <t>G0057263.JPG</t>
  </si>
  <si>
    <t>G0057264.JPG</t>
  </si>
  <si>
    <t>G0057265.JPG</t>
  </si>
  <si>
    <t>G0057266.JPG</t>
  </si>
  <si>
    <t>G0057267.JPG</t>
  </si>
  <si>
    <t>G0057268.JPG</t>
  </si>
  <si>
    <t>G0057269.JPG</t>
  </si>
  <si>
    <t>G0057270.JPG</t>
  </si>
  <si>
    <t>G0057271.JPG</t>
  </si>
  <si>
    <t>G0057272.JPG</t>
  </si>
  <si>
    <t>G0057273.JPG</t>
  </si>
  <si>
    <t>G0057274.JPG</t>
  </si>
  <si>
    <t>G0057275.JPG</t>
  </si>
  <si>
    <t>G0057276.JPG</t>
  </si>
  <si>
    <t>G0057277.JPG</t>
  </si>
  <si>
    <t>G0057278.JPG</t>
  </si>
  <si>
    <t>G0057279.JPG</t>
  </si>
  <si>
    <t>G0057280.JPG</t>
  </si>
  <si>
    <t>G0057281.JPG</t>
  </si>
  <si>
    <t>G0057282.JPG</t>
  </si>
  <si>
    <t>G0057283.JPG</t>
  </si>
  <si>
    <t>G0057284.JPG</t>
  </si>
  <si>
    <t>G0057285.JPG</t>
  </si>
  <si>
    <t>G0057286.JPG</t>
  </si>
  <si>
    <t>G0057287.JPG</t>
  </si>
  <si>
    <t>G0057288.JPG</t>
  </si>
  <si>
    <t>G0057289.JPG</t>
  </si>
  <si>
    <t>G0057290.JPG</t>
  </si>
  <si>
    <t>G0057291.JPG</t>
  </si>
  <si>
    <t>G0057292.JPG</t>
  </si>
  <si>
    <t>G0057293.JPG</t>
  </si>
  <si>
    <t>G0057294.JPG</t>
  </si>
  <si>
    <t>G0057295.JPG</t>
  </si>
  <si>
    <t>G0057296.JPG</t>
  </si>
  <si>
    <t>G0057297.JPG</t>
  </si>
  <si>
    <t>G0057298.JPG</t>
  </si>
  <si>
    <t>G0057299.JPG</t>
  </si>
  <si>
    <t>G0057300.JPG</t>
  </si>
  <si>
    <t>G0057301.JPG</t>
  </si>
  <si>
    <t>G0057302.JPG</t>
  </si>
  <si>
    <t>G0057303.JPG</t>
  </si>
  <si>
    <t>G0057304.JPG</t>
  </si>
  <si>
    <t>G0057305.JPG</t>
  </si>
  <si>
    <t>G0057306.JPG</t>
  </si>
  <si>
    <t>G0057307.JPG</t>
  </si>
  <si>
    <t>G0057308.JPG</t>
  </si>
  <si>
    <t>G0057309.JPG</t>
  </si>
  <si>
    <t>G0057310.JPG</t>
  </si>
  <si>
    <t>G0057311.JPG</t>
  </si>
  <si>
    <t>G0057312.JPG</t>
  </si>
  <si>
    <t>G0057313.JPG</t>
  </si>
  <si>
    <t>G0057314.JPG</t>
  </si>
  <si>
    <t>G0057315.JPG</t>
  </si>
  <si>
    <t>G0057316.JPG</t>
  </si>
  <si>
    <t>G0057317.JPG</t>
  </si>
  <si>
    <t>G0057318.JPG</t>
  </si>
  <si>
    <t>G0057319.JPG</t>
  </si>
  <si>
    <t>G0057320.JPG</t>
  </si>
  <si>
    <t>G0057321.JPG</t>
  </si>
  <si>
    <t>G0057322.JPG</t>
  </si>
  <si>
    <t>G0057323.JPG</t>
  </si>
  <si>
    <t>G0057324.JPG</t>
  </si>
  <si>
    <t>G0057325.JPG</t>
  </si>
  <si>
    <t>G0057326.JPG</t>
  </si>
  <si>
    <t>G0057327.JPG</t>
  </si>
  <si>
    <t>G0057328.JPG</t>
  </si>
  <si>
    <t>G0057329.JPG</t>
  </si>
  <si>
    <t>G0057330.JPG</t>
  </si>
  <si>
    <t>G0057331.JPG</t>
  </si>
  <si>
    <t>G0057332.JPG</t>
  </si>
  <si>
    <t>G0057333.JPG</t>
  </si>
  <si>
    <t>G0057334.JPG</t>
  </si>
  <si>
    <t>G0057335.JPG</t>
  </si>
  <si>
    <t>G0057336.JPG</t>
  </si>
  <si>
    <t>G0057337.JPG</t>
  </si>
  <si>
    <t>G0057338.JPG</t>
  </si>
  <si>
    <t>G0057339.JPG</t>
  </si>
  <si>
    <t>G0057340.JPG</t>
  </si>
  <si>
    <t>G0057341.JPG</t>
  </si>
  <si>
    <t>G0057342.JPG</t>
  </si>
  <si>
    <t>G0057343.JPG</t>
  </si>
  <si>
    <t>G0057344.JPG</t>
  </si>
  <si>
    <t>G0057345.JPG</t>
  </si>
  <si>
    <t>G0057346.JPG</t>
  </si>
  <si>
    <t>G0057347.JPG</t>
  </si>
  <si>
    <t>G0057348.JPG</t>
  </si>
  <si>
    <t>G0057349.JPG</t>
  </si>
  <si>
    <t>G0057350.JPG</t>
  </si>
  <si>
    <t>G0057351.JPG</t>
  </si>
  <si>
    <t>G0057352.JPG</t>
  </si>
  <si>
    <t>G0057353.JPG</t>
  </si>
  <si>
    <t>G0057354.JPG</t>
  </si>
  <si>
    <t>G0057355.JPG</t>
  </si>
  <si>
    <t>G0057356.JPG</t>
  </si>
  <si>
    <t>G0057357.JPG</t>
  </si>
  <si>
    <t>G0057358.JPG</t>
  </si>
  <si>
    <t>G0057359.JPG</t>
  </si>
  <si>
    <t>G0057360.JPG</t>
  </si>
  <si>
    <t>G0057361.JPG</t>
  </si>
  <si>
    <t>G0057362.JPG</t>
  </si>
  <si>
    <t>G0057363.JPG</t>
  </si>
  <si>
    <t>G0057364.JPG</t>
  </si>
  <si>
    <t>G0057365.JPG</t>
  </si>
  <si>
    <t>G0057366.JPG</t>
  </si>
  <si>
    <t>G0057367.JPG</t>
  </si>
  <si>
    <t>G0057368.JPG</t>
  </si>
  <si>
    <t>G0057369.JPG</t>
  </si>
  <si>
    <t>G0057370.JPG</t>
  </si>
  <si>
    <t>G0057371.JPG</t>
  </si>
  <si>
    <t>G0057372.JPG</t>
  </si>
  <si>
    <t>G0057373.JPG</t>
  </si>
  <si>
    <t>G0057374.JPG</t>
  </si>
  <si>
    <t>G0057375.JPG</t>
  </si>
  <si>
    <t>G0057376.JPG</t>
  </si>
  <si>
    <t>G0057377.JPG</t>
  </si>
  <si>
    <t>G0057378.JPG</t>
  </si>
  <si>
    <t>G0057379.JPG</t>
  </si>
  <si>
    <t>G0057380.JPG</t>
  </si>
  <si>
    <t>G0057381.JPG</t>
  </si>
  <si>
    <t>G0057382.JPG</t>
  </si>
  <si>
    <t>G0057383.JPG</t>
  </si>
  <si>
    <t>G0057384.JPG</t>
  </si>
  <si>
    <t>G0057385.JPG</t>
  </si>
  <si>
    <t>G0057386.JPG</t>
  </si>
  <si>
    <t>G0057387.JPG</t>
  </si>
  <si>
    <t>G0057388.JPG</t>
  </si>
  <si>
    <t>G0057389.JPG</t>
  </si>
  <si>
    <t>G0057390.JPG</t>
  </si>
  <si>
    <t>G0057391.JPG</t>
  </si>
  <si>
    <t>G0057392.JPG</t>
  </si>
  <si>
    <t>G0057393.JPG</t>
  </si>
  <si>
    <t>G0057394.JPG</t>
  </si>
  <si>
    <t>G0057395.JPG</t>
  </si>
  <si>
    <t>G0057396.JPG</t>
  </si>
  <si>
    <t>G0057397.JPG</t>
  </si>
  <si>
    <t>G0057398.JPG</t>
  </si>
  <si>
    <t>G0057399.JPG</t>
  </si>
  <si>
    <t>G0057400.JPG</t>
  </si>
  <si>
    <t>G0057401.JPG</t>
  </si>
  <si>
    <t>G0057402.JPG</t>
  </si>
  <si>
    <t>G0057403.JPG</t>
  </si>
  <si>
    <t>G0057404.JPG</t>
  </si>
  <si>
    <t>G0057405.JPG</t>
  </si>
  <si>
    <t>G0057406.JPG</t>
  </si>
  <si>
    <t>G0057407.JPG</t>
  </si>
  <si>
    <t>G0057408.JPG</t>
  </si>
  <si>
    <t>G0057409.JPG</t>
  </si>
  <si>
    <t>G0057410.JPG</t>
  </si>
  <si>
    <t>G0057411.JPG</t>
  </si>
  <si>
    <t>G0057412.JPG</t>
  </si>
  <si>
    <t>G0057413.JPG</t>
  </si>
  <si>
    <t>G0057414.JPG</t>
  </si>
  <si>
    <t>G0057415.JPG</t>
  </si>
  <si>
    <t>G0057416.JPG</t>
  </si>
  <si>
    <t>G0057417.JPG</t>
  </si>
  <si>
    <t>G0057418.JPG</t>
  </si>
  <si>
    <t>G0057419.JPG</t>
  </si>
  <si>
    <t>G0057420.JPG</t>
  </si>
  <si>
    <t>G0057421.JPG</t>
  </si>
  <si>
    <t>G0057422.JPG</t>
  </si>
  <si>
    <t>G0057423.JPG</t>
  </si>
  <si>
    <t>G0057424.JPG</t>
  </si>
  <si>
    <t>G0057425.JPG</t>
  </si>
  <si>
    <t>G0057426.JPG</t>
  </si>
  <si>
    <t>G0057427.JPG</t>
  </si>
  <si>
    <t>G0057428.JPG</t>
  </si>
  <si>
    <t>G0057429.JPG</t>
  </si>
  <si>
    <t>G0057430.JPG</t>
  </si>
  <si>
    <t>G0057431.JPG</t>
  </si>
  <si>
    <t>G0057432.JPG</t>
  </si>
  <si>
    <t>G0057433.JPG</t>
  </si>
  <si>
    <t>G0057434.JPG</t>
  </si>
  <si>
    <t>G0057435.JPG</t>
  </si>
  <si>
    <t>G0057436.JPG</t>
  </si>
  <si>
    <t>G0057437.JPG</t>
  </si>
  <si>
    <t>G0057438.JPG</t>
  </si>
  <si>
    <t>G0057439.JPG</t>
  </si>
  <si>
    <t>G0057440.JPG</t>
  </si>
  <si>
    <t>G0057441.JPG</t>
  </si>
  <si>
    <t>G0057442.JPG</t>
  </si>
  <si>
    <t>G0057443.JPG</t>
  </si>
  <si>
    <t>G0057444.JPG</t>
  </si>
  <si>
    <t>G0057445.JPG</t>
  </si>
  <si>
    <t>G0057446.JPG</t>
  </si>
  <si>
    <t>G0057447.JPG</t>
  </si>
  <si>
    <t>G0057448.JPG</t>
  </si>
  <si>
    <t>G0057449.JPG</t>
  </si>
  <si>
    <t>G0057450.JPG</t>
  </si>
  <si>
    <t>G0057451.JPG</t>
  </si>
  <si>
    <t>G0057452.JPG</t>
  </si>
  <si>
    <t>G0057453.JPG</t>
  </si>
  <si>
    <t>G0057454.JPG</t>
  </si>
  <si>
    <t>G0057455.JPG</t>
  </si>
  <si>
    <t>G0057456.JPG</t>
  </si>
  <si>
    <t>G0057457.JPG</t>
  </si>
  <si>
    <t>G0057458.JPG</t>
  </si>
  <si>
    <t>G0057459.JPG</t>
  </si>
  <si>
    <t>G0057460.JPG</t>
  </si>
  <si>
    <t>G0057461.JPG</t>
  </si>
  <si>
    <t>G0057462.JPG</t>
  </si>
  <si>
    <t>G0057463.JPG</t>
  </si>
  <si>
    <t>G0057464.JPG</t>
  </si>
  <si>
    <t>G0057465.JPG</t>
  </si>
  <si>
    <t>G0057466.JPG</t>
  </si>
  <si>
    <t>G0057467.JPG</t>
  </si>
  <si>
    <t>G0057468.JPG</t>
  </si>
  <si>
    <t>G0057469.JPG</t>
  </si>
  <si>
    <t>G0057470.JPG</t>
  </si>
  <si>
    <t>G0057471.JPG</t>
  </si>
  <si>
    <t>G0057472.JPG</t>
  </si>
  <si>
    <t>G0057473.JPG</t>
  </si>
  <si>
    <t>G0057474.JPG</t>
  </si>
  <si>
    <t>G0057475.JPG</t>
  </si>
  <si>
    <t>G0057476.JPG</t>
  </si>
  <si>
    <t>G0057477.JPG</t>
  </si>
  <si>
    <t>G0057478.JPG</t>
  </si>
  <si>
    <t>G0057479.JPG</t>
  </si>
  <si>
    <t>G0057480.JPG</t>
  </si>
  <si>
    <t>G0057481.JPG</t>
  </si>
  <si>
    <t>G0057482.JPG</t>
  </si>
  <si>
    <t>G0057483.JPG</t>
  </si>
  <si>
    <t>G0057484.JPG</t>
  </si>
  <si>
    <t>G0057485.JPG</t>
  </si>
  <si>
    <t>G0057486.JPG</t>
  </si>
  <si>
    <t>G0057487.JPG</t>
  </si>
  <si>
    <t>G0057488.JPG</t>
  </si>
  <si>
    <t>G0057489.JPG</t>
  </si>
  <si>
    <t>G0057490.JPG</t>
  </si>
  <si>
    <t>G0057491.JPG</t>
  </si>
  <si>
    <t>G0057492.JPG</t>
  </si>
  <si>
    <t>G0057493.JPG</t>
  </si>
  <si>
    <t>G0057494.JPG</t>
  </si>
  <si>
    <t>G0057495.JPG</t>
  </si>
  <si>
    <t>G0057496.JPG</t>
  </si>
  <si>
    <t>G0057497.JPG</t>
  </si>
  <si>
    <t>G0057498.JPG</t>
  </si>
  <si>
    <t>G0057499.JPG</t>
  </si>
  <si>
    <t>G0057500.JPG</t>
  </si>
  <si>
    <t>G0057501.JPG</t>
  </si>
  <si>
    <t>G0057502.JPG</t>
  </si>
  <si>
    <t>G0057503.JPG</t>
  </si>
  <si>
    <t>G0057504.JPG</t>
  </si>
  <si>
    <t>G0057505.JPG</t>
  </si>
  <si>
    <t>G0057506.JPG</t>
  </si>
  <si>
    <t>G0057507.JPG</t>
  </si>
  <si>
    <t>G0057508.JPG</t>
  </si>
  <si>
    <t>G0057509.JPG</t>
  </si>
  <si>
    <t>G0057510.JPG</t>
  </si>
  <si>
    <t>G0057511.JPG</t>
  </si>
  <si>
    <t>G0057512.JPG</t>
  </si>
  <si>
    <t>G0057513.JPG</t>
  </si>
  <si>
    <t>G0057514.JPG</t>
  </si>
  <si>
    <t>G0057515.JPG</t>
  </si>
  <si>
    <t>G0057516.JPG</t>
  </si>
  <si>
    <t>G0057517.JPG</t>
  </si>
  <si>
    <t>G0057518.JPG</t>
  </si>
  <si>
    <t>G0057519.JPG</t>
  </si>
  <si>
    <t>G0057520.JPG</t>
  </si>
  <si>
    <t>G0057521.JPG</t>
  </si>
  <si>
    <t>G0057522.JPG</t>
  </si>
  <si>
    <t>G0057523.JPG</t>
  </si>
  <si>
    <t>G0057524.JPG</t>
  </si>
  <si>
    <t>G0057525.JPG</t>
  </si>
  <si>
    <t>G0057526.JPG</t>
  </si>
  <si>
    <t>G0057527.JPG</t>
  </si>
  <si>
    <t>G0057528.JPG</t>
  </si>
  <si>
    <t>G0057529.JPG</t>
  </si>
  <si>
    <t>G0057530.JPG</t>
  </si>
  <si>
    <t>G0057531.JPG</t>
  </si>
  <si>
    <t>G0057532.JPG</t>
  </si>
  <si>
    <t>G0057533.JPG</t>
  </si>
  <si>
    <t>G0057534.JPG</t>
  </si>
  <si>
    <t>G0057535.JPG</t>
  </si>
  <si>
    <t>G0057536.JPG</t>
  </si>
  <si>
    <t>G0057537.JPG</t>
  </si>
  <si>
    <t>G0057538.JPG</t>
  </si>
  <si>
    <t>G0057539.JPG</t>
  </si>
  <si>
    <t>G0057540.JPG</t>
  </si>
  <si>
    <t>G0057541.JPG</t>
  </si>
  <si>
    <t>G0057542.JPG</t>
  </si>
  <si>
    <t>G0057543.JPG</t>
  </si>
  <si>
    <t>G0057544.JPG</t>
  </si>
  <si>
    <t>G0057545.JPG</t>
  </si>
  <si>
    <t>G0057546.JPG</t>
  </si>
  <si>
    <t>G0057547.JPG</t>
  </si>
  <si>
    <t>G0057548.JPG</t>
  </si>
  <si>
    <t>G0057549.JPG</t>
  </si>
  <si>
    <t>G0057550.JPG</t>
  </si>
  <si>
    <t>G0057551.JPG</t>
  </si>
  <si>
    <t>G0057552.JPG</t>
  </si>
  <si>
    <t>G0057553.JPG</t>
  </si>
  <si>
    <t>G0057554.JPG</t>
  </si>
  <si>
    <t>G0057555.JPG</t>
  </si>
  <si>
    <t>G0057556.JPG</t>
  </si>
  <si>
    <t>G0057557.JPG</t>
  </si>
  <si>
    <t>G0057558.JPG</t>
  </si>
  <si>
    <t>G0057559.JPG</t>
  </si>
  <si>
    <t>G0057560.JPG</t>
  </si>
  <si>
    <t>G0057561.JPG</t>
  </si>
  <si>
    <t>G0057562.JPG</t>
  </si>
  <si>
    <t>G0057563.JPG</t>
  </si>
  <si>
    <t>G0057564.JPG</t>
  </si>
  <si>
    <t>G0057565.JPG</t>
  </si>
  <si>
    <t>G0057566.JPG</t>
  </si>
  <si>
    <t>G0057567.JPG</t>
  </si>
  <si>
    <t>G0057568.JPG</t>
  </si>
  <si>
    <t>G0057569.JPG</t>
  </si>
  <si>
    <t>G0057570.JPG</t>
  </si>
  <si>
    <t>G0057571.JPG</t>
  </si>
  <si>
    <t>G0057572.JPG</t>
  </si>
  <si>
    <t>G0057573.JPG</t>
  </si>
  <si>
    <t>G0057574.JPG</t>
  </si>
  <si>
    <t>G0057575.JPG</t>
  </si>
  <si>
    <t>G0057576.JPG</t>
  </si>
  <si>
    <t>G0057577.JPG</t>
  </si>
  <si>
    <t>G0057578.JPG</t>
  </si>
  <si>
    <t>G0057579.JPG</t>
  </si>
  <si>
    <t>G0057580.JPG</t>
  </si>
  <si>
    <t>G0057581.JPG</t>
  </si>
  <si>
    <t>G0057582.JPG</t>
  </si>
  <si>
    <t>G0057583.JPG</t>
  </si>
  <si>
    <t>G0057584.JPG</t>
  </si>
  <si>
    <t>G0057585.JPG</t>
  </si>
  <si>
    <t>G0057586.JPG</t>
  </si>
  <si>
    <t>G0057587.JPG</t>
  </si>
  <si>
    <t>G0057588.JPG</t>
  </si>
  <si>
    <t>G0057589.JPG</t>
  </si>
  <si>
    <t>G0057590.JPG</t>
  </si>
  <si>
    <t>G0057591.JPG</t>
  </si>
  <si>
    <t>G0057592.JPG</t>
  </si>
  <si>
    <t>G0057593.JPG</t>
  </si>
  <si>
    <t>G0057594.JPG</t>
  </si>
  <si>
    <t>G0057595.JPG</t>
  </si>
  <si>
    <t>G0057596.JPG</t>
  </si>
  <si>
    <t>G0057597.JPG</t>
  </si>
  <si>
    <t>G0057598.JPG</t>
  </si>
  <si>
    <t>G0057599.JPG</t>
  </si>
  <si>
    <t>G0057600.JPG</t>
  </si>
  <si>
    <t>G0057601.JPG</t>
  </si>
  <si>
    <t>G0057602.JPG</t>
  </si>
  <si>
    <t>G0057603.JPG</t>
  </si>
  <si>
    <t>G0057604.JPG</t>
  </si>
  <si>
    <t>G0057605.JPG</t>
  </si>
  <si>
    <t>G0057606.JPG</t>
  </si>
  <si>
    <t>G0057607.JPG</t>
  </si>
  <si>
    <t>G0057608.JPG</t>
  </si>
  <si>
    <t>G0057609.JPG</t>
  </si>
  <si>
    <t>G0057610.JPG</t>
  </si>
  <si>
    <t>G0057611.JPG</t>
  </si>
  <si>
    <t>G0057612.JPG</t>
  </si>
  <si>
    <t>G0057613.JPG</t>
  </si>
  <si>
    <t>G0057614.JPG</t>
  </si>
  <si>
    <t>G0057615.JPG</t>
  </si>
  <si>
    <t>G0057616.JPG</t>
  </si>
  <si>
    <t>G0057617.JPG</t>
  </si>
  <si>
    <t>G0057618.JPG</t>
  </si>
  <si>
    <t>G0057619.JPG</t>
  </si>
  <si>
    <t>G0057620.JPG</t>
  </si>
  <si>
    <t>G0057621.JPG</t>
  </si>
  <si>
    <t>G0057622.JPG</t>
  </si>
  <si>
    <t>G0057623.JPG</t>
  </si>
  <si>
    <t>G0057624.JPG</t>
  </si>
  <si>
    <t>G0057625.JPG</t>
  </si>
  <si>
    <t>G0057626.JPG</t>
  </si>
  <si>
    <t>G0057627.JPG</t>
  </si>
  <si>
    <t>G0057628.JPG</t>
  </si>
  <si>
    <t>G0057629.JPG</t>
  </si>
  <si>
    <t>G0057630.JPG</t>
  </si>
  <si>
    <t>G0057631.JPG</t>
  </si>
  <si>
    <t>G0057632.JPG</t>
  </si>
  <si>
    <t>G0057633.JPG</t>
  </si>
  <si>
    <t>G0057634.JPG</t>
  </si>
  <si>
    <t>G0057635.JPG</t>
  </si>
  <si>
    <t>G0057636.JPG</t>
  </si>
  <si>
    <t>G0057637.JPG</t>
  </si>
  <si>
    <t>G0057638.JPG</t>
  </si>
  <si>
    <t>G0057639.JPG</t>
  </si>
  <si>
    <t>G0057640.JPG</t>
  </si>
  <si>
    <t>G0057641.JPG</t>
  </si>
  <si>
    <t>G0057642.JPG</t>
  </si>
  <si>
    <t>G0057643.JPG</t>
  </si>
  <si>
    <t>G0057644.JPG</t>
  </si>
  <si>
    <t>G0057645.JPG</t>
  </si>
  <si>
    <t>G0057646.JPG</t>
  </si>
  <si>
    <t>G0057647.JPG</t>
  </si>
  <si>
    <t>G0057648.JPG</t>
  </si>
  <si>
    <t>G0057649.JPG</t>
  </si>
  <si>
    <t>G0057650.JPG</t>
  </si>
  <si>
    <t>G0057651.JPG</t>
  </si>
  <si>
    <t>G0057652.JPG</t>
  </si>
  <si>
    <t>G0057653.JPG</t>
  </si>
  <si>
    <t>G0057654.JPG</t>
  </si>
  <si>
    <t>G0057655.JPG</t>
  </si>
  <si>
    <t>G0057656.JPG</t>
  </si>
  <si>
    <t>G0057657.JPG</t>
  </si>
  <si>
    <t>G0057658.JPG</t>
  </si>
  <si>
    <t>G0057659.JPG</t>
  </si>
  <si>
    <t>G0057660.JPG</t>
  </si>
  <si>
    <t>G0057661.JPG</t>
  </si>
  <si>
    <t>G0057662.JPG</t>
  </si>
  <si>
    <t>G0057663.JPG</t>
  </si>
  <si>
    <t>G0057664.JPG</t>
  </si>
  <si>
    <t>G0057665.JPG</t>
  </si>
  <si>
    <t>G0057666.JPG</t>
  </si>
  <si>
    <t>G0057667.JPG</t>
  </si>
  <si>
    <t>G0057668.JPG</t>
  </si>
  <si>
    <t>G0057669.JPG</t>
  </si>
  <si>
    <t>G0057670.JPG</t>
  </si>
  <si>
    <t>G0057671.JPG</t>
  </si>
  <si>
    <t>G0057672.JPG</t>
  </si>
  <si>
    <t>G0057673.JPG</t>
  </si>
  <si>
    <t>G0057674.JPG</t>
  </si>
  <si>
    <t>G0057675.JPG</t>
  </si>
  <si>
    <t>G0057676.JPG</t>
  </si>
  <si>
    <t>G0057677.JPG</t>
  </si>
  <si>
    <t>G0057678.JPG</t>
  </si>
  <si>
    <t>G0057679.JPG</t>
  </si>
  <si>
    <t>G0057680.JPG</t>
  </si>
  <si>
    <t>G0057681.JPG</t>
  </si>
  <si>
    <t>G0057682.JPG</t>
  </si>
  <si>
    <t>G0057683.JPG</t>
  </si>
  <si>
    <t>G0057684.JPG</t>
  </si>
  <si>
    <t>G0057685.JPG</t>
  </si>
  <si>
    <t>G0057686.JPG</t>
  </si>
  <si>
    <t>G0057687.JPG</t>
  </si>
  <si>
    <t>G0057688.JPG</t>
  </si>
  <si>
    <t>G0057689.JPG</t>
  </si>
  <si>
    <t>G0057690.JPG</t>
  </si>
  <si>
    <t>G0057691.JPG</t>
  </si>
  <si>
    <t>G0057692.JPG</t>
  </si>
  <si>
    <t>G0057693.JPG</t>
  </si>
  <si>
    <t>G0057694.JPG</t>
  </si>
  <si>
    <t>G0057695.JPG</t>
  </si>
  <si>
    <t>G0057696.JPG</t>
  </si>
  <si>
    <t>G0057697.JPG</t>
  </si>
  <si>
    <t>G0057698.JPG</t>
  </si>
  <si>
    <t>G0057699.JPG</t>
  </si>
  <si>
    <t>G0057700.JPG</t>
  </si>
  <si>
    <t>G0057701.JPG</t>
  </si>
  <si>
    <t>G0057702.JPG</t>
  </si>
  <si>
    <t>G0057703.JPG</t>
  </si>
  <si>
    <t>G0057704.JPG</t>
  </si>
  <si>
    <t>G0057705.JPG</t>
  </si>
  <si>
    <t>G0057706.JPG</t>
  </si>
  <si>
    <t>G0057707.JPG</t>
  </si>
  <si>
    <t>G0057708.JPG</t>
  </si>
  <si>
    <t>G0057709.JPG</t>
  </si>
  <si>
    <t>G0057710.JPG</t>
  </si>
  <si>
    <t>G0057711.JPG</t>
  </si>
  <si>
    <t>G0057712.JPG</t>
  </si>
  <si>
    <t>G0057713.JPG</t>
  </si>
  <si>
    <t>G0057714.JPG</t>
  </si>
  <si>
    <t>G0057715.JPG</t>
  </si>
  <si>
    <t>G0057716.JPG</t>
  </si>
  <si>
    <t>G0057717.JPG</t>
  </si>
  <si>
    <t>G0057718.JPG</t>
  </si>
  <si>
    <t>G0057719.JPG</t>
  </si>
  <si>
    <t>G0057720.JPG</t>
  </si>
  <si>
    <t>G0057721.JPG</t>
  </si>
  <si>
    <t>G0057722.JPG</t>
  </si>
  <si>
    <t>G0057723.JPG</t>
  </si>
  <si>
    <t>G0057724.JPG</t>
  </si>
  <si>
    <t>G0057725.JPG</t>
  </si>
  <si>
    <t>G0057726.JPG</t>
  </si>
  <si>
    <t>G0057727.JPG</t>
  </si>
  <si>
    <t>G0057728.JPG</t>
  </si>
  <si>
    <t>G0057729.JPG</t>
  </si>
  <si>
    <t>G0057730.JPG</t>
  </si>
  <si>
    <t>G0057731.JPG</t>
  </si>
  <si>
    <t>G0057732.JPG</t>
  </si>
  <si>
    <t>G0057733.JPG</t>
  </si>
  <si>
    <t>G0057734.JPG</t>
  </si>
  <si>
    <t>G0057735.JPG</t>
  </si>
  <si>
    <t>G0057736.JPG</t>
  </si>
  <si>
    <t>G0057737.JPG</t>
  </si>
  <si>
    <t>G0057738.JPG</t>
  </si>
  <si>
    <t>G0057739.JPG</t>
  </si>
  <si>
    <t>G0057740.JPG</t>
  </si>
  <si>
    <t>G0057741.JPG</t>
  </si>
  <si>
    <t>G0057742.JPG</t>
  </si>
  <si>
    <t>G0057743.JPG</t>
  </si>
  <si>
    <t>G0057744.JPG</t>
  </si>
  <si>
    <t>G0057745.JPG</t>
  </si>
  <si>
    <t>G0057746.JPG</t>
  </si>
  <si>
    <t>G0057747.JPG</t>
  </si>
  <si>
    <t>G0057748.JPG</t>
  </si>
  <si>
    <t>G0057749.JPG</t>
  </si>
  <si>
    <t>G0057750.JPG</t>
  </si>
  <si>
    <t>G0057751.JPG</t>
  </si>
  <si>
    <t>G0057752.JPG</t>
  </si>
  <si>
    <t>G0057753.JPG</t>
  </si>
  <si>
    <t>G0057754.JPG</t>
  </si>
  <si>
    <t>G0057755.JPG</t>
  </si>
  <si>
    <t>G0057756.JPG</t>
  </si>
  <si>
    <t>G0057757.JPG</t>
  </si>
  <si>
    <t>G0057758.JPG</t>
  </si>
  <si>
    <t>G0057759.JPG</t>
  </si>
  <si>
    <t>G0057760.JPG</t>
  </si>
  <si>
    <t>G0057761.JPG</t>
  </si>
  <si>
    <t>G0057762.JPG</t>
  </si>
  <si>
    <t>G0057763.JPG</t>
  </si>
  <si>
    <t>G0057764.JPG</t>
  </si>
  <si>
    <t>G0057765.JPG</t>
  </si>
  <si>
    <t>G0057766.JPG</t>
  </si>
  <si>
    <t>G0057767.JPG</t>
  </si>
  <si>
    <t>G0057768.JPG</t>
  </si>
  <si>
    <t>G0057769.JPG</t>
  </si>
  <si>
    <t>G0057770.JPG</t>
  </si>
  <si>
    <t>G0057771.JPG</t>
  </si>
  <si>
    <t>G0057772.JPG</t>
  </si>
  <si>
    <t>G0057773.JPG</t>
  </si>
  <si>
    <t>G0057774.JPG</t>
  </si>
  <si>
    <t>G0057775.JPG</t>
  </si>
  <si>
    <t>G0057776.JPG</t>
  </si>
  <si>
    <t>G0057777.JPG</t>
  </si>
  <si>
    <t>G0057778.JPG</t>
  </si>
  <si>
    <t>G0057779.JPG</t>
  </si>
  <si>
    <t>G0057780.JPG</t>
  </si>
  <si>
    <t>G0057781.JPG</t>
  </si>
  <si>
    <t>G0057782.JPG</t>
  </si>
  <si>
    <t>G0057783.JPG</t>
  </si>
  <si>
    <t>G0057784.JPG</t>
  </si>
  <si>
    <t>G0057785.JPG</t>
  </si>
  <si>
    <t>G0057786.JPG</t>
  </si>
  <si>
    <t>G0057787.JPG</t>
  </si>
  <si>
    <t>G0057788.JPG</t>
  </si>
  <si>
    <t>G0057789.JPG</t>
  </si>
  <si>
    <t>G0057790.JPG</t>
  </si>
  <si>
    <t>G0057791.JPG</t>
  </si>
  <si>
    <t>G0057792.JPG</t>
  </si>
  <si>
    <t>G0057793.JPG</t>
  </si>
  <si>
    <t>G0057794.JPG</t>
  </si>
  <si>
    <t>NI202409_CAP-EC_D02</t>
  </si>
  <si>
    <t>GoPro H9</t>
  </si>
  <si>
    <t>G0019167.JPG</t>
  </si>
  <si>
    <t>TRASH</t>
  </si>
  <si>
    <t>G0019168.JPG</t>
  </si>
  <si>
    <t>G0019169.JPG</t>
  </si>
  <si>
    <t>G0019170.JPG</t>
  </si>
  <si>
    <t>G0019171.JPG</t>
  </si>
  <si>
    <t>G0019172.JPG</t>
  </si>
  <si>
    <t>G0019173.JPG</t>
  </si>
  <si>
    <t>G0019174.JPG</t>
  </si>
  <si>
    <t>G0019175.JPG</t>
  </si>
  <si>
    <t>G0019176.JPG</t>
  </si>
  <si>
    <t>G0019177.JPG</t>
  </si>
  <si>
    <t>G0019178.JPG</t>
  </si>
  <si>
    <t>G0019179.JPG</t>
  </si>
  <si>
    <t>G0019180.JPG</t>
  </si>
  <si>
    <t>G0019181.JPG</t>
  </si>
  <si>
    <t>G0019182.JPG</t>
  </si>
  <si>
    <t>G0019183.JPG</t>
  </si>
  <si>
    <t>G0019184.JPG</t>
  </si>
  <si>
    <t>G0019185.JPG</t>
  </si>
  <si>
    <t>G0019186.JPG</t>
  </si>
  <si>
    <t>G0019187.JPG</t>
  </si>
  <si>
    <t>G0019188.JPG</t>
  </si>
  <si>
    <t>G0019189.JPG</t>
  </si>
  <si>
    <t>G0019190.JPG</t>
  </si>
  <si>
    <t>G0019191.JPG</t>
  </si>
  <si>
    <t>G0019192.JPG</t>
  </si>
  <si>
    <t>G0019193.JPG</t>
  </si>
  <si>
    <t>G0019194.JPG</t>
  </si>
  <si>
    <t>G0019195.JPG</t>
  </si>
  <si>
    <t>G0019196.JPG</t>
  </si>
  <si>
    <t>G0019197.JPG</t>
  </si>
  <si>
    <t>G0019198.JPG</t>
  </si>
  <si>
    <t>G0019199.JPG</t>
  </si>
  <si>
    <t>G0019200.JPG</t>
  </si>
  <si>
    <t>G0019201.JPG</t>
  </si>
  <si>
    <t>G0019202.JPG</t>
  </si>
  <si>
    <t>G0019203.JPG</t>
  </si>
  <si>
    <t>G0019204.JPG</t>
  </si>
  <si>
    <t>G0019205.JPG</t>
  </si>
  <si>
    <t>G0019206.JPG</t>
  </si>
  <si>
    <t>G0019207.JPG</t>
  </si>
  <si>
    <t>G0019208.JPG</t>
  </si>
  <si>
    <t>G0019209.JPG</t>
  </si>
  <si>
    <t>G0019210.JPG</t>
  </si>
  <si>
    <t>G0019211.JPG</t>
  </si>
  <si>
    <t>G0019212.JPG</t>
  </si>
  <si>
    <t>G0019213.JPG</t>
  </si>
  <si>
    <t>G0019214.JPG</t>
  </si>
  <si>
    <t>G0019215.JPG</t>
  </si>
  <si>
    <t>G0019216.JPG</t>
  </si>
  <si>
    <t>G0019217.JPG</t>
  </si>
  <si>
    <t>G0019218.JPG</t>
  </si>
  <si>
    <t>G0019219.JPG</t>
  </si>
  <si>
    <t>G0019220.JPG</t>
  </si>
  <si>
    <t>G0019221.JPG</t>
  </si>
  <si>
    <t>G0019222.JPG</t>
  </si>
  <si>
    <t>G0019223.JPG</t>
  </si>
  <si>
    <t>G0019224.JPG</t>
  </si>
  <si>
    <t>G0019225.JPG</t>
  </si>
  <si>
    <t>G0019226.JPG</t>
  </si>
  <si>
    <t>G0019227.JPG</t>
  </si>
  <si>
    <t>G0019228.JPG</t>
  </si>
  <si>
    <t>G0019229.JPG</t>
  </si>
  <si>
    <t>G0019230.JPG</t>
  </si>
  <si>
    <t>G0019231.JPG</t>
  </si>
  <si>
    <t>G0019232.JPG</t>
  </si>
  <si>
    <t>G0019233.JPG</t>
  </si>
  <si>
    <t>G0019234.JPG</t>
  </si>
  <si>
    <t>G0019235.JPG</t>
  </si>
  <si>
    <t>G0019236.JPG</t>
  </si>
  <si>
    <t>G0019237.JPG</t>
  </si>
  <si>
    <t>G0019238.JPG</t>
  </si>
  <si>
    <t>G0019239.JPG</t>
  </si>
  <si>
    <t>G0019240.JPG</t>
  </si>
  <si>
    <t>G0019241.JPG</t>
  </si>
  <si>
    <t>G0019242.JPG</t>
  </si>
  <si>
    <t>G0019243.JPG</t>
  </si>
  <si>
    <t>G0019244.JPG</t>
  </si>
  <si>
    <t>G0019245.JPG</t>
  </si>
  <si>
    <t>G0019246.JPG</t>
  </si>
  <si>
    <t>G0019247.JPG</t>
  </si>
  <si>
    <t>G0019248.JPG</t>
  </si>
  <si>
    <t>G0019249.JPG</t>
  </si>
  <si>
    <t>G0019250.JPG</t>
  </si>
  <si>
    <t>G0019251.JPG</t>
  </si>
  <si>
    <t>G0019252.JPG</t>
  </si>
  <si>
    <t>G0019253.JPG</t>
  </si>
  <si>
    <t>G0019254.JPG</t>
  </si>
  <si>
    <t>G0019255.JPG</t>
  </si>
  <si>
    <t>G0019256.JPG</t>
  </si>
  <si>
    <t>G0019257.JPG</t>
  </si>
  <si>
    <t>G0019258.JPG</t>
  </si>
  <si>
    <t>G0019259.JPG</t>
  </si>
  <si>
    <t>G0019260.JPG</t>
  </si>
  <si>
    <t>G0019261.JPG</t>
  </si>
  <si>
    <t>G0019262.JPG</t>
  </si>
  <si>
    <t>G0019263.JPG</t>
  </si>
  <si>
    <t>G0019264.JPG</t>
  </si>
  <si>
    <t>G0019265.JPG</t>
  </si>
  <si>
    <t>G0019266.JPG</t>
  </si>
  <si>
    <t>G0019267.JPG</t>
  </si>
  <si>
    <t>G0019268.JPG</t>
  </si>
  <si>
    <t>G0019269.JPG</t>
  </si>
  <si>
    <t>G0019270.JPG</t>
  </si>
  <si>
    <t>G0019271.JPG</t>
  </si>
  <si>
    <t>G0019272.JPG</t>
  </si>
  <si>
    <t>G0019273.JPG</t>
  </si>
  <si>
    <t>G0019274.JPG</t>
  </si>
  <si>
    <t>G0019275.JPG</t>
  </si>
  <si>
    <t>G0019276.JPG</t>
  </si>
  <si>
    <t>G0019277.JPG</t>
  </si>
  <si>
    <t>G0019278.JPG</t>
  </si>
  <si>
    <t>G0019279.JPG</t>
  </si>
  <si>
    <t>G0019280.JPG</t>
  </si>
  <si>
    <t>G0019281.JPG</t>
  </si>
  <si>
    <t>G0019282.JPG</t>
  </si>
  <si>
    <t>G0019283.JPG</t>
  </si>
  <si>
    <t>G0019284.JPG</t>
  </si>
  <si>
    <t>G0019285.JPG</t>
  </si>
  <si>
    <t>G0019286.JPG</t>
  </si>
  <si>
    <t>G0019287.JPG</t>
  </si>
  <si>
    <t>G0019288.JPG</t>
  </si>
  <si>
    <t>G0019289.JPG</t>
  </si>
  <si>
    <t>G0019290.JPG</t>
  </si>
  <si>
    <t>G0019291.JPG</t>
  </si>
  <si>
    <t>G0019292.JPG</t>
  </si>
  <si>
    <t>G0019293.JPG</t>
  </si>
  <si>
    <t>G0019294.JPG</t>
  </si>
  <si>
    <t>G0019295.JPG</t>
  </si>
  <si>
    <t>G0019296.JPG</t>
  </si>
  <si>
    <t>G0019297.JPG</t>
  </si>
  <si>
    <t>G0019298.JPG</t>
  </si>
  <si>
    <t>G0019299.JPG</t>
  </si>
  <si>
    <t>G0019300.JPG</t>
  </si>
  <si>
    <t>G0019301.JPG</t>
  </si>
  <si>
    <t>G0019302.JPG</t>
  </si>
  <si>
    <t>G0019303.JPG</t>
  </si>
  <si>
    <t>G0019304.JPG</t>
  </si>
  <si>
    <t>G0019305.JPG</t>
  </si>
  <si>
    <t>G0019306.JPG</t>
  </si>
  <si>
    <t>G0019307.JPG</t>
  </si>
  <si>
    <t>G0019308.JPG</t>
  </si>
  <si>
    <t>G0019309.JPG</t>
  </si>
  <si>
    <t>G0019310.JPG</t>
  </si>
  <si>
    <t>G0019311.JPG</t>
  </si>
  <si>
    <t>G0019312.JPG</t>
  </si>
  <si>
    <t>G0019313.JPG</t>
  </si>
  <si>
    <t>G0019314.JPG</t>
  </si>
  <si>
    <t>G0019315.JPG</t>
  </si>
  <si>
    <t>G0019316.JPG</t>
  </si>
  <si>
    <t>G0019317.JPG</t>
  </si>
  <si>
    <t>G0019318.JPG</t>
  </si>
  <si>
    <t>G0019319.JPG</t>
  </si>
  <si>
    <t>G0019320.JPG</t>
  </si>
  <si>
    <t>G0019321.JPG</t>
  </si>
  <si>
    <t>G0019322.JPG</t>
  </si>
  <si>
    <t>G0019323.JPG</t>
  </si>
  <si>
    <t>G0019324.JPG</t>
  </si>
  <si>
    <t>G0019325.JPG</t>
  </si>
  <si>
    <t>G0019326.JPG</t>
  </si>
  <si>
    <t>G0019327.JPG</t>
  </si>
  <si>
    <t>G0019328.JPG</t>
  </si>
  <si>
    <t>G0019329.JPG</t>
  </si>
  <si>
    <t>G0019330.JPG</t>
  </si>
  <si>
    <t>G0019331.JPG</t>
  </si>
  <si>
    <t>G0019332.JPG</t>
  </si>
  <si>
    <t>G0019333.JPG</t>
  </si>
  <si>
    <t>G0019334.JPG</t>
  </si>
  <si>
    <t>G0019335.JPG</t>
  </si>
  <si>
    <t>G0019336.JPG</t>
  </si>
  <si>
    <t>G0019337.JPG</t>
  </si>
  <si>
    <t>G0019338.JPG</t>
  </si>
  <si>
    <t>G0019339.JPG</t>
  </si>
  <si>
    <t>G0019340.JPG</t>
  </si>
  <si>
    <t>G0019341.JPG</t>
  </si>
  <si>
    <t>G0019342.JPG</t>
  </si>
  <si>
    <t>G0019343.JPG</t>
  </si>
  <si>
    <t>G0019344.JPG</t>
  </si>
  <si>
    <t>G0019345.JPG</t>
  </si>
  <si>
    <t>G0019346.JPG</t>
  </si>
  <si>
    <t>G0019347.JPG</t>
  </si>
  <si>
    <t>G0019348.JPG</t>
  </si>
  <si>
    <t>G0019349.JPG</t>
  </si>
  <si>
    <t>G0019350.JPG</t>
  </si>
  <si>
    <t>G0019351.JPG</t>
  </si>
  <si>
    <t>G0019352.JPG</t>
  </si>
  <si>
    <t>G0019353.JPG</t>
  </si>
  <si>
    <t>G0019354.JPG</t>
  </si>
  <si>
    <t>G0019355.JPG</t>
  </si>
  <si>
    <t>G0019356.JPG</t>
  </si>
  <si>
    <t>G0019357.JPG</t>
  </si>
  <si>
    <t>G0019358.JPG</t>
  </si>
  <si>
    <t>G0019359.JPG</t>
  </si>
  <si>
    <t>G0019360.JPG</t>
  </si>
  <si>
    <t>G0019361.JPG</t>
  </si>
  <si>
    <t>G0019362.JPG</t>
  </si>
  <si>
    <t>G0019363.JPG</t>
  </si>
  <si>
    <t>G0019364.JPG</t>
  </si>
  <si>
    <t>G0019365.JPG</t>
  </si>
  <si>
    <t>G0019366.JPG</t>
  </si>
  <si>
    <t>G0019367.JPG</t>
  </si>
  <si>
    <t>G0019368.JPG</t>
  </si>
  <si>
    <t>G0019369.JPG</t>
  </si>
  <si>
    <t>G0019370.JPG</t>
  </si>
  <si>
    <t>G0019371.JPG</t>
  </si>
  <si>
    <t>G0019372.JPG</t>
  </si>
  <si>
    <t>G0019373.JPG</t>
  </si>
  <si>
    <t>G0019374.JPG</t>
  </si>
  <si>
    <t>G0019375.JPG</t>
  </si>
  <si>
    <t>G0019376.JPG</t>
  </si>
  <si>
    <t>G0019377.JPG</t>
  </si>
  <si>
    <t>G0019378.JPG</t>
  </si>
  <si>
    <t>G0019379.JPG</t>
  </si>
  <si>
    <t>G0019380.JPG</t>
  </si>
  <si>
    <t>G0019381.JPG</t>
  </si>
  <si>
    <t>G0019382.JPG</t>
  </si>
  <si>
    <t>G0019383.JPG</t>
  </si>
  <si>
    <t>G0019384.JPG</t>
  </si>
  <si>
    <t>G0019385.JPG</t>
  </si>
  <si>
    <t>G0019386.JPG</t>
  </si>
  <si>
    <t>G0019387.JPG</t>
  </si>
  <si>
    <t>G0019388.JPG</t>
  </si>
  <si>
    <t>G0019389.JPG</t>
  </si>
  <si>
    <t>G0019390.JPG</t>
  </si>
  <si>
    <t>G0019391.JPG</t>
  </si>
  <si>
    <t>G0019392.JPG</t>
  </si>
  <si>
    <t>G0019393.JPG</t>
  </si>
  <si>
    <t>G0019394.JPG</t>
  </si>
  <si>
    <t>G0019395.JPG</t>
  </si>
  <si>
    <t>G0019396.JPG</t>
  </si>
  <si>
    <t>G0019397.JPG</t>
  </si>
  <si>
    <t>G0019398.JPG</t>
  </si>
  <si>
    <t>G0019399.JPG</t>
  </si>
  <si>
    <t>G0019400.JPG</t>
  </si>
  <si>
    <t>G0019401.JPG</t>
  </si>
  <si>
    <t>G0019402.JPG</t>
  </si>
  <si>
    <t>G0019403.JPG</t>
  </si>
  <si>
    <t>G0019404.JPG</t>
  </si>
  <si>
    <t>G0019405.JPG</t>
  </si>
  <si>
    <t>G0019406.JPG</t>
  </si>
  <si>
    <t>G0019407.JPG</t>
  </si>
  <si>
    <t>G0019408.JPG</t>
  </si>
  <si>
    <t>G0019409.JPG</t>
  </si>
  <si>
    <t>G0019410.JPG</t>
  </si>
  <si>
    <t>G0019411.JPG</t>
  </si>
  <si>
    <t>G0019412.JPG</t>
  </si>
  <si>
    <t>G0019413.JPG</t>
  </si>
  <si>
    <t>G0019414.JPG</t>
  </si>
  <si>
    <t>G0019415.JPG</t>
  </si>
  <si>
    <t>G0019416.JPG</t>
  </si>
  <si>
    <t>G0019417.JPG</t>
  </si>
  <si>
    <t>G0019418.JPG</t>
  </si>
  <si>
    <t>G0019419.JPG</t>
  </si>
  <si>
    <t>G0019420.JPG</t>
  </si>
  <si>
    <t>G0019421.JPG</t>
  </si>
  <si>
    <t>G0019422.JPG</t>
  </si>
  <si>
    <t>G0019423.JPG</t>
  </si>
  <si>
    <t>G0019424.JPG</t>
  </si>
  <si>
    <t>G0019425.JPG</t>
  </si>
  <si>
    <t>G0019426.JPG</t>
  </si>
  <si>
    <t>G0019427.JPG</t>
  </si>
  <si>
    <t>G0019428.JPG</t>
  </si>
  <si>
    <t>G0019429.JPG</t>
  </si>
  <si>
    <t>G0019430.JPG</t>
  </si>
  <si>
    <t>G0019431.JPG</t>
  </si>
  <si>
    <t>G0019432.JPG</t>
  </si>
  <si>
    <t>G0019433.JPG</t>
  </si>
  <si>
    <t>G0019434.JPG</t>
  </si>
  <si>
    <t>G0019435.JPG</t>
  </si>
  <si>
    <t>G0019436.JPG</t>
  </si>
  <si>
    <t>G0019437.JPG</t>
  </si>
  <si>
    <t>G0019438.JPG</t>
  </si>
  <si>
    <t>G0019439.JPG</t>
  </si>
  <si>
    <t>G0019440.JPG</t>
  </si>
  <si>
    <t>G0019441.JPG</t>
  </si>
  <si>
    <t>G0019442.JPG</t>
  </si>
  <si>
    <t>G0019443.JPG</t>
  </si>
  <si>
    <t>G0019444.JPG</t>
  </si>
  <si>
    <t>G0019445.JPG</t>
  </si>
  <si>
    <t>G0019446.JPG</t>
  </si>
  <si>
    <t>G0019447.JPG</t>
  </si>
  <si>
    <t>G0019448.JPG</t>
  </si>
  <si>
    <t>G0019449.JPG</t>
  </si>
  <si>
    <t>G0019450.JPG</t>
  </si>
  <si>
    <t>G0019451.JPG</t>
  </si>
  <si>
    <t>G0019452.JPG</t>
  </si>
  <si>
    <t>G0019453.JPG</t>
  </si>
  <si>
    <t>G0019454.JPG</t>
  </si>
  <si>
    <t>G0019455.JPG</t>
  </si>
  <si>
    <t>G0019456.JPG</t>
  </si>
  <si>
    <t>G0019457.JPG</t>
  </si>
  <si>
    <t>G0019458.JPG</t>
  </si>
  <si>
    <t>G0019459.JPG</t>
  </si>
  <si>
    <t>G0019460.JPG</t>
  </si>
  <si>
    <t>G0019461.JPG</t>
  </si>
  <si>
    <t>G0019462.JPG</t>
  </si>
  <si>
    <t>G0019463.JPG</t>
  </si>
  <si>
    <t>G0019464.JPG</t>
  </si>
  <si>
    <t>G0019465.JPG</t>
  </si>
  <si>
    <t>G0019466.JPG</t>
  </si>
  <si>
    <t>G0019467.JPG</t>
  </si>
  <si>
    <t>G0019468.JPG</t>
  </si>
  <si>
    <t>G0019469.JPG</t>
  </si>
  <si>
    <t>G0019470.JPG</t>
  </si>
  <si>
    <t>G0019471.JPG</t>
  </si>
  <si>
    <t>G0019472.JPG</t>
  </si>
  <si>
    <t>G0019473.JPG</t>
  </si>
  <si>
    <t>G0019474.JPG</t>
  </si>
  <si>
    <t>G0019475.JPG</t>
  </si>
  <si>
    <t>G0019476.JPG</t>
  </si>
  <si>
    <t>G0019477.JPG</t>
  </si>
  <si>
    <t>G0019478.JPG</t>
  </si>
  <si>
    <t>G0019479.JPG</t>
  </si>
  <si>
    <t>G0019480.JPG</t>
  </si>
  <si>
    <t>G0019481.JPG</t>
  </si>
  <si>
    <t>G0019482.JPG</t>
  </si>
  <si>
    <t>G0019483.JPG</t>
  </si>
  <si>
    <t>G0019484.JPG</t>
  </si>
  <si>
    <t>G0019485.JPG</t>
  </si>
  <si>
    <t>G0019486.JPG</t>
  </si>
  <si>
    <t>G0019487.JPG</t>
  </si>
  <si>
    <t>G0019488.JPG</t>
  </si>
  <si>
    <t>G0019489.JPG</t>
  </si>
  <si>
    <t>G0019490.JPG</t>
  </si>
  <si>
    <t>G0019491.JPG</t>
  </si>
  <si>
    <t>G0019492.JPG</t>
  </si>
  <si>
    <t>G0019493.JPG</t>
  </si>
  <si>
    <t>G0019494.JPG</t>
  </si>
  <si>
    <t>G0019495.JPG</t>
  </si>
  <si>
    <t>G0019496.JPG</t>
  </si>
  <si>
    <t>G0019497.JPG</t>
  </si>
  <si>
    <t>G0019498.JPG</t>
  </si>
  <si>
    <t>G0019499.JPG</t>
  </si>
  <si>
    <t>G0019500.JPG</t>
  </si>
  <si>
    <t>G0019501.JPG</t>
  </si>
  <si>
    <t>G0019502.JPG</t>
  </si>
  <si>
    <t>G0019503.JPG</t>
  </si>
  <si>
    <t>G0019504.JPG</t>
  </si>
  <si>
    <t>G0019505.JPG</t>
  </si>
  <si>
    <t>G0019506.JPG</t>
  </si>
  <si>
    <t>G0019507.JPG</t>
  </si>
  <si>
    <t>G0019508.JPG</t>
  </si>
  <si>
    <t>G0019509.JPG</t>
  </si>
  <si>
    <t>G0019510.JPG</t>
  </si>
  <si>
    <t>G0019511.JPG</t>
  </si>
  <si>
    <t>G0019512.JPG</t>
  </si>
  <si>
    <t>G0019513.JPG</t>
  </si>
  <si>
    <t>G0019514.JPG</t>
  </si>
  <si>
    <t>G0019515.JPG</t>
  </si>
  <si>
    <t>G0019516.JPG</t>
  </si>
  <si>
    <t>G0019517.JPG</t>
  </si>
  <si>
    <t>G0019518.JPG</t>
  </si>
  <si>
    <t>G0019519.JPG</t>
  </si>
  <si>
    <t>G0019520.JPG</t>
  </si>
  <si>
    <t>G0019521.JPG</t>
  </si>
  <si>
    <t>G0019522.JPG</t>
  </si>
  <si>
    <t>G0019523.JPG</t>
  </si>
  <si>
    <t>G0019524.JPG</t>
  </si>
  <si>
    <t>G0019525.JPG</t>
  </si>
  <si>
    <t>G0019526.JPG</t>
  </si>
  <si>
    <t>G0019527.JPG</t>
  </si>
  <si>
    <t>G0019528.JPG</t>
  </si>
  <si>
    <t>G0019529.JPG</t>
  </si>
  <si>
    <t>G0019530.JPG</t>
  </si>
  <si>
    <t>G0019531.JPG</t>
  </si>
  <si>
    <t>G0019532.JPG</t>
  </si>
  <si>
    <t>G0019533.JPG</t>
  </si>
  <si>
    <t>G0019534.JPG</t>
  </si>
  <si>
    <t>G0019535.JPG</t>
  </si>
  <si>
    <t>G0019536.JPG</t>
  </si>
  <si>
    <t>G0019537.JPG</t>
  </si>
  <si>
    <t>G0019538.JPG</t>
  </si>
  <si>
    <t>G0019539.JPG</t>
  </si>
  <si>
    <t>G0019540.JPG</t>
  </si>
  <si>
    <t>G0019541.JPG</t>
  </si>
  <si>
    <t>G0019542.JPG</t>
  </si>
  <si>
    <t>G0019543.JPG</t>
  </si>
  <si>
    <t>G0019544.JPG</t>
  </si>
  <si>
    <t>G0019545.JPG</t>
  </si>
  <si>
    <t>G0019546.JPG</t>
  </si>
  <si>
    <t>G0019547.JPG</t>
  </si>
  <si>
    <t>G0019548.JPG</t>
  </si>
  <si>
    <t>G0019549.JPG</t>
  </si>
  <si>
    <t>G0019550.JPG</t>
  </si>
  <si>
    <t>G0019551.JPG</t>
  </si>
  <si>
    <t>G0019552.JPG</t>
  </si>
  <si>
    <t>G0019553.JPG</t>
  </si>
  <si>
    <t>G0019554.JPG</t>
  </si>
  <si>
    <t>G0019555.JPG</t>
  </si>
  <si>
    <t>G0019556.JPG</t>
  </si>
  <si>
    <t>G0019557.JPG</t>
  </si>
  <si>
    <t>G0019558.JPG</t>
  </si>
  <si>
    <t>G0019559.JPG</t>
  </si>
  <si>
    <t>G0019560.JPG</t>
  </si>
  <si>
    <t>G0019561.JPG</t>
  </si>
  <si>
    <t>G0019562.JPG</t>
  </si>
  <si>
    <t>G0019563.JPG</t>
  </si>
  <si>
    <t>G0019564.JPG</t>
  </si>
  <si>
    <t>G0019565.JPG</t>
  </si>
  <si>
    <t>G0019566.JPG</t>
  </si>
  <si>
    <t>G0019567.JPG</t>
  </si>
  <si>
    <t>G0019568.JPG</t>
  </si>
  <si>
    <t>G0019569.JPG</t>
  </si>
  <si>
    <t>G0019570.JPG</t>
  </si>
  <si>
    <t>G0019571.JPG</t>
  </si>
  <si>
    <t>G0019572.JPG</t>
  </si>
  <si>
    <t>G0019573.JPG</t>
  </si>
  <si>
    <t>G0019574.JPG</t>
  </si>
  <si>
    <t>G0019575.JPG</t>
  </si>
  <si>
    <t>G0019576.JPG</t>
  </si>
  <si>
    <t>G0019577.JPG</t>
  </si>
  <si>
    <t>G0019578.JPG</t>
  </si>
  <si>
    <t>G0019579.JPG</t>
  </si>
  <si>
    <t>G0019580.JPG</t>
  </si>
  <si>
    <t>G0019581.JPG</t>
  </si>
  <si>
    <t>G0019582.JPG</t>
  </si>
  <si>
    <t>G0019583.JPG</t>
  </si>
  <si>
    <t>G0019584.JPG</t>
  </si>
  <si>
    <t>G0019585.JPG</t>
  </si>
  <si>
    <t>G0019586.JPG</t>
  </si>
  <si>
    <t>G0019587.JPG</t>
  </si>
  <si>
    <t>G0019588.JPG</t>
  </si>
  <si>
    <t>G0019589.JPG</t>
  </si>
  <si>
    <t>G0019590.JPG</t>
  </si>
  <si>
    <t>G0019591.JPG</t>
  </si>
  <si>
    <t>G0019592.JPG</t>
  </si>
  <si>
    <t>G0019593.JPG</t>
  </si>
  <si>
    <t>G0019594.JPG</t>
  </si>
  <si>
    <t>G0019595.JPG</t>
  </si>
  <si>
    <t>G0019596.JPG</t>
  </si>
  <si>
    <t>G0019597.JPG</t>
  </si>
  <si>
    <t>G0019598.JPG</t>
  </si>
  <si>
    <t>G0019599.JPG</t>
  </si>
  <si>
    <t>G0019600.JPG</t>
  </si>
  <si>
    <t>G0019601.JPG</t>
  </si>
  <si>
    <t>G0019602.JPG</t>
  </si>
  <si>
    <t>G0019603.JPG</t>
  </si>
  <si>
    <t>G0019604.JPG</t>
  </si>
  <si>
    <t>G0019605.JPG</t>
  </si>
  <si>
    <t>G0019606.JPG</t>
  </si>
  <si>
    <t>G0019607.JPG</t>
  </si>
  <si>
    <t>G0019608.JPG</t>
  </si>
  <si>
    <t>G0019609.JPG</t>
  </si>
  <si>
    <t>G0019610.JPG</t>
  </si>
  <si>
    <t>G0019611.JPG</t>
  </si>
  <si>
    <t>G0019612.JPG</t>
  </si>
  <si>
    <t>G0019613.JPG</t>
  </si>
  <si>
    <t>G0019614.JPG</t>
  </si>
  <si>
    <t>G0019615.JPG</t>
  </si>
  <si>
    <t>G0019616.JPG</t>
  </si>
  <si>
    <t>G0019617.JPG</t>
  </si>
  <si>
    <t>G0019618.JPG</t>
  </si>
  <si>
    <t>G0019619.JPG</t>
  </si>
  <si>
    <t>G0019620.JPG</t>
  </si>
  <si>
    <t>G0019621.JPG</t>
  </si>
  <si>
    <t>G0019622.JPG</t>
  </si>
  <si>
    <t>G0019623.JPG</t>
  </si>
  <si>
    <t>G0019624.JPG</t>
  </si>
  <si>
    <t>G0019625.JPG</t>
  </si>
  <si>
    <t>G0019626.JPG</t>
  </si>
  <si>
    <t>G0019627.JPG</t>
  </si>
  <si>
    <t>G0019628.JPG</t>
  </si>
  <si>
    <t>G0019629.JPG</t>
  </si>
  <si>
    <t>G0019630.JPG</t>
  </si>
  <si>
    <t>G0019631.JPG</t>
  </si>
  <si>
    <t>G0019632.JPG</t>
  </si>
  <si>
    <t>G0019633.JPG</t>
  </si>
  <si>
    <t>G0019634.JPG</t>
  </si>
  <si>
    <t>G0019635.JPG</t>
  </si>
  <si>
    <t>G0019636.JPG</t>
  </si>
  <si>
    <t>G0019637.JPG</t>
  </si>
  <si>
    <t>G0019638.JPG</t>
  </si>
  <si>
    <t>G0019639.JPG</t>
  </si>
  <si>
    <t>G0019640.JPG</t>
  </si>
  <si>
    <t>G0019641.JPG</t>
  </si>
  <si>
    <t>G0019642.JPG</t>
  </si>
  <si>
    <t>G0019643.JPG</t>
  </si>
  <si>
    <t>G0019644.JPG</t>
  </si>
  <si>
    <t>G0019645.JPG</t>
  </si>
  <si>
    <t>G0019646.JPG</t>
  </si>
  <si>
    <t>G0019647.JPG</t>
  </si>
  <si>
    <t>G0019648.JPG</t>
  </si>
  <si>
    <t>G0019649.JPG</t>
  </si>
  <si>
    <t>G0019650.JPG</t>
  </si>
  <si>
    <t>G0019651.JPG</t>
  </si>
  <si>
    <t>G0019652.JPG</t>
  </si>
  <si>
    <t>G0019653.JPG</t>
  </si>
  <si>
    <t>G0019654.JPG</t>
  </si>
  <si>
    <t>G0019655.JPG</t>
  </si>
  <si>
    <t>G0019656.JPG</t>
  </si>
  <si>
    <t>G0019657.JPG</t>
  </si>
  <si>
    <t>G0019658.JPG</t>
  </si>
  <si>
    <t>G0019659.JPG</t>
  </si>
  <si>
    <t>G0019660.JPG</t>
  </si>
  <si>
    <t>G0019661.JPG</t>
  </si>
  <si>
    <t>G0019662.JPG</t>
  </si>
  <si>
    <t>G0019663.JPG</t>
  </si>
  <si>
    <t>G0019664.JPG</t>
  </si>
  <si>
    <t>G0019665.JPG</t>
  </si>
  <si>
    <t>G0019666.JPG</t>
  </si>
  <si>
    <t>G0019667.JPG</t>
  </si>
  <si>
    <t>G0019668.JPG</t>
  </si>
  <si>
    <t>G0019669.JPG</t>
  </si>
  <si>
    <t>G0019670.JPG</t>
  </si>
  <si>
    <t>G0019671.JPG</t>
  </si>
  <si>
    <t>G0019672.JPG</t>
  </si>
  <si>
    <t>G0019673.JPG</t>
  </si>
  <si>
    <t>G0019674.JPG</t>
  </si>
  <si>
    <t>G0019675.JPG</t>
  </si>
  <si>
    <t>G0019676.JPG</t>
  </si>
  <si>
    <t>G0019677.JPG</t>
  </si>
  <si>
    <t>G0019678.JPG</t>
  </si>
  <si>
    <t>G0019679.JPG</t>
  </si>
  <si>
    <t>G0019680.JPG</t>
  </si>
  <si>
    <t>G0019681.JPG</t>
  </si>
  <si>
    <t>G0019682.JPG</t>
  </si>
  <si>
    <t>G0019683.JPG</t>
  </si>
  <si>
    <t>G0019684.JPG</t>
  </si>
  <si>
    <t>G0019685.JPG</t>
  </si>
  <si>
    <t>G0019686.JPG</t>
  </si>
  <si>
    <t>G0019687.JPG</t>
  </si>
  <si>
    <t>G0019688.JPG</t>
  </si>
  <si>
    <t>G0019689.JPG</t>
  </si>
  <si>
    <t>G0019690.JPG</t>
  </si>
  <si>
    <t>G0019691.JPG</t>
  </si>
  <si>
    <t>G0019692.JPG</t>
  </si>
  <si>
    <t>G0019693.JPG</t>
  </si>
  <si>
    <t>G0019694.JPG</t>
  </si>
  <si>
    <t>G0019695.JPG</t>
  </si>
  <si>
    <t>G0019696.JPG</t>
  </si>
  <si>
    <t>G0019697.JPG</t>
  </si>
  <si>
    <t>G0019698.JPG</t>
  </si>
  <si>
    <t>G0019699.JPG</t>
  </si>
  <si>
    <t>G0019700.JPG</t>
  </si>
  <si>
    <t>G0019701.JPG</t>
  </si>
  <si>
    <t>G0019702.JPG</t>
  </si>
  <si>
    <t>G0019703.JPG</t>
  </si>
  <si>
    <t>G0019704.JPG</t>
  </si>
  <si>
    <t>G0019705.JPG</t>
  </si>
  <si>
    <t>G0019706.JPG</t>
  </si>
  <si>
    <t>G0019707.JPG</t>
  </si>
  <si>
    <t>G0019708.JPG</t>
  </si>
  <si>
    <t>G0019709.JPG</t>
  </si>
  <si>
    <t>G0019710.JPG</t>
  </si>
  <si>
    <t>G0019711.JPG</t>
  </si>
  <si>
    <t>G0019712.JPG</t>
  </si>
  <si>
    <t>G0019713.JPG</t>
  </si>
  <si>
    <t>G0019714.JPG</t>
  </si>
  <si>
    <t>G0019715.JPG</t>
  </si>
  <si>
    <t>G0019716.JPG</t>
  </si>
  <si>
    <t>G0019717.JPG</t>
  </si>
  <si>
    <t>G0019718.JPG</t>
  </si>
  <si>
    <t>G0019719.JPG</t>
  </si>
  <si>
    <t>G0019720.JPG</t>
  </si>
  <si>
    <t>G0019721.JPG</t>
  </si>
  <si>
    <t>G0019722.JPG</t>
  </si>
  <si>
    <t>G0019723.JPG</t>
  </si>
  <si>
    <t>G0019724.JPG</t>
  </si>
  <si>
    <t>G0019725.JPG</t>
  </si>
  <si>
    <t>G0019726.JPG</t>
  </si>
  <si>
    <t>G0019727.JPG</t>
  </si>
  <si>
    <t>G0019728.JPG</t>
  </si>
  <si>
    <t>G0019729.JPG</t>
  </si>
  <si>
    <t>G0019730.JPG</t>
  </si>
  <si>
    <t>G0019731.JPG</t>
  </si>
  <si>
    <t>G0019732.JPG</t>
  </si>
  <si>
    <t>G0019733.JPG</t>
  </si>
  <si>
    <t>G0019734.JPG</t>
  </si>
  <si>
    <t>G0019735.JPG</t>
  </si>
  <si>
    <t>G0019736.JPG</t>
  </si>
  <si>
    <t>G0019737.JPG</t>
  </si>
  <si>
    <t>G0019738.JPG</t>
  </si>
  <si>
    <t>G0019739.JPG</t>
  </si>
  <si>
    <t>G0019740.JPG</t>
  </si>
  <si>
    <t>G0019741.JPG</t>
  </si>
  <si>
    <t>G0019742.JPG</t>
  </si>
  <si>
    <t>G0019743.JPG</t>
  </si>
  <si>
    <t>G0019744.JPG</t>
  </si>
  <si>
    <t>G0019745.JPG</t>
  </si>
  <si>
    <t>G0019746.JPG</t>
  </si>
  <si>
    <t>G0019747.JPG</t>
  </si>
  <si>
    <t>G0019748.JPG</t>
  </si>
  <si>
    <t>G0019749.JPG</t>
  </si>
  <si>
    <t>G0019750.JPG</t>
  </si>
  <si>
    <t>G0019751.JPG</t>
  </si>
  <si>
    <t>G0019752.JPG</t>
  </si>
  <si>
    <t>G0019753.JPG</t>
  </si>
  <si>
    <t>G0019754.JPG</t>
  </si>
  <si>
    <t>G0019755.JPG</t>
  </si>
  <si>
    <t>G0019756.JPG</t>
  </si>
  <si>
    <t>G0019757.JPG</t>
  </si>
  <si>
    <t>G0019758.JPG</t>
  </si>
  <si>
    <t>G0019759.JPG</t>
  </si>
  <si>
    <t>G0019760.JPG</t>
  </si>
  <si>
    <t>G0019761.JPG</t>
  </si>
  <si>
    <t>G0019762.JPG</t>
  </si>
  <si>
    <t>G0019763.JPG</t>
  </si>
  <si>
    <t>G0019764.JPG</t>
  </si>
  <si>
    <t>G0019765.JPG</t>
  </si>
  <si>
    <t>G0019766.JPG</t>
  </si>
  <si>
    <t>G0019767.JPG</t>
  </si>
  <si>
    <t>G0019768.JPG</t>
  </si>
  <si>
    <t>G0019769.JPG</t>
  </si>
  <si>
    <t>G0019770.JPG</t>
  </si>
  <si>
    <t>G0019771.JPG</t>
  </si>
  <si>
    <t>G0019772.JPG</t>
  </si>
  <si>
    <t>G0019773.JPG</t>
  </si>
  <si>
    <t>G0019774.JPG</t>
  </si>
  <si>
    <t>G0019775.JPG</t>
  </si>
  <si>
    <t>G0019776.JPG</t>
  </si>
  <si>
    <t>G0019777.JPG</t>
  </si>
  <si>
    <t>G0019778.JPG</t>
  </si>
  <si>
    <t>G0019779.JPG</t>
  </si>
  <si>
    <t>G0019780.JPG</t>
  </si>
  <si>
    <t>G0019781.JPG</t>
  </si>
  <si>
    <t>G0019782.JPG</t>
  </si>
  <si>
    <t>G0019783.JPG</t>
  </si>
  <si>
    <t>G0019784.JPG</t>
  </si>
  <si>
    <t>G0019785.JPG</t>
  </si>
  <si>
    <t>G0019786.JPG</t>
  </si>
  <si>
    <t>G0019787.JPG</t>
  </si>
  <si>
    <t>G0019788.JPG</t>
  </si>
  <si>
    <t>G0019789.JPG</t>
  </si>
  <si>
    <t>G0019790.JPG</t>
  </si>
  <si>
    <t>G0019791.JPG</t>
  </si>
  <si>
    <t>G0019792.JPG</t>
  </si>
  <si>
    <t>G0019793.JPG</t>
  </si>
  <si>
    <t>G0019794.JPG</t>
  </si>
  <si>
    <t>G0019795.JPG</t>
  </si>
  <si>
    <t>G0019796.JPG</t>
  </si>
  <si>
    <t>G0019797.JPG</t>
  </si>
  <si>
    <t>G0019798.JPG</t>
  </si>
  <si>
    <t>G0019799.JPG</t>
  </si>
  <si>
    <t>G0019800.JPG</t>
  </si>
  <si>
    <t>G0019801.JPG</t>
  </si>
  <si>
    <t>G0019802.JPG</t>
  </si>
  <si>
    <t>G0019803.JPG</t>
  </si>
  <si>
    <t>G0019804.JPG</t>
  </si>
  <si>
    <t>G0019805.JPG</t>
  </si>
  <si>
    <t>G0019806.JPG</t>
  </si>
  <si>
    <t>G0019807.JPG</t>
  </si>
  <si>
    <t>G0019808.JPG</t>
  </si>
  <si>
    <t>G0019809.JPG</t>
  </si>
  <si>
    <t>G0019810.JPG</t>
  </si>
  <si>
    <t>G0019811.JPG</t>
  </si>
  <si>
    <t>G0019812.JPG</t>
  </si>
  <si>
    <t>G0019813.JPG</t>
  </si>
  <si>
    <t>G0019814.JPG</t>
  </si>
  <si>
    <t>G0019815.JPG</t>
  </si>
  <si>
    <t>G0019816.JPG</t>
  </si>
  <si>
    <t>G0019817.JPG</t>
  </si>
  <si>
    <t>G0019818.JPG</t>
  </si>
  <si>
    <t>G0019819.JPG</t>
  </si>
  <si>
    <t>G0019820.JPG</t>
  </si>
  <si>
    <t>G0019821.JPG</t>
  </si>
  <si>
    <t>G0019822.JPG</t>
  </si>
  <si>
    <t>G0019823.JPG</t>
  </si>
  <si>
    <t>G0019824.JPG</t>
  </si>
  <si>
    <t>G0019825.JPG</t>
  </si>
  <si>
    <t>G0019826.JPG</t>
  </si>
  <si>
    <t>G0019827.JPG</t>
  </si>
  <si>
    <t>G0019828.JPG</t>
  </si>
  <si>
    <t>G0019829.JPG</t>
  </si>
  <si>
    <t>G0019830.JPG</t>
  </si>
  <si>
    <t>G0019831.JPG</t>
  </si>
  <si>
    <t>G0019832.JPG</t>
  </si>
  <si>
    <t>G0019833.JPG</t>
  </si>
  <si>
    <t>G0019834.JPG</t>
  </si>
  <si>
    <t>G0019835.JPG</t>
  </si>
  <si>
    <t>G0019836.JPG</t>
  </si>
  <si>
    <t>G0019837.JPG</t>
  </si>
  <si>
    <t>G0019838.JPG</t>
  </si>
  <si>
    <t>G0019839.JPG</t>
  </si>
  <si>
    <t>G0019840.JPG</t>
  </si>
  <si>
    <t>G0019841.JPG</t>
  </si>
  <si>
    <t>G0019842.JPG</t>
  </si>
  <si>
    <t>G0019843.JPG</t>
  </si>
  <si>
    <t>G0019844.JPG</t>
  </si>
  <si>
    <t>G0019845.JPG</t>
  </si>
  <si>
    <t>G0019846.JPG</t>
  </si>
  <si>
    <t>G0019847.JPG</t>
  </si>
  <si>
    <t>G0019848.JPG</t>
  </si>
  <si>
    <t>G0019849.JPG</t>
  </si>
  <si>
    <t>G0019850.JPG</t>
  </si>
  <si>
    <t>G0019851.JPG</t>
  </si>
  <si>
    <t>G0019852.JPG</t>
  </si>
  <si>
    <t>G0019853.JPG</t>
  </si>
  <si>
    <t>G0019854.JPG</t>
  </si>
  <si>
    <t>G0019855.JPG</t>
  </si>
  <si>
    <t>G0019856.JPG</t>
  </si>
  <si>
    <t>G0019857.JPG</t>
  </si>
  <si>
    <t>G0019858.JPG</t>
  </si>
  <si>
    <t>G0019859.JPG</t>
  </si>
  <si>
    <t>G0019860.JPG</t>
  </si>
  <si>
    <t>G0019861.JPG</t>
  </si>
  <si>
    <t>G0019862.JPG</t>
  </si>
  <si>
    <t>G0019863.JPG</t>
  </si>
  <si>
    <t>G0019864.JPG</t>
  </si>
  <si>
    <t>G0019865.JPG</t>
  </si>
  <si>
    <t>G0019866.JPG</t>
  </si>
  <si>
    <t>G0019867.JPG</t>
  </si>
  <si>
    <t>G0019868.JPG</t>
  </si>
  <si>
    <t>G0019869.JPG</t>
  </si>
  <si>
    <t>G0019870.JPG</t>
  </si>
  <si>
    <t>G0019871.JPG</t>
  </si>
  <si>
    <t>G0019872.JPG</t>
  </si>
  <si>
    <t>G0019873.JPG</t>
  </si>
  <si>
    <t>G0019874.JPG</t>
  </si>
  <si>
    <t>G0019875.JPG</t>
  </si>
  <si>
    <t>G0019876.JPG</t>
  </si>
  <si>
    <t>G0019877.JPG</t>
  </si>
  <si>
    <t>G0019878.JPG</t>
  </si>
  <si>
    <t>G0019879.JPG</t>
  </si>
  <si>
    <t>G0019880.JPG</t>
  </si>
  <si>
    <t>G0019881.JPG</t>
  </si>
  <si>
    <t>G0019882.JPG</t>
  </si>
  <si>
    <t>G0019883.JPG</t>
  </si>
  <si>
    <t>G0019884.JPG</t>
  </si>
  <si>
    <t>G0019885.JPG</t>
  </si>
  <si>
    <t>G0019886.JPG</t>
  </si>
  <si>
    <t>G0019887.JPG</t>
  </si>
  <si>
    <t>G0019888.JPG</t>
  </si>
  <si>
    <t>G0019889.JPG</t>
  </si>
  <si>
    <t>G0019890.JPG</t>
  </si>
  <si>
    <t>G0019891.JPG</t>
  </si>
  <si>
    <t>G0019892.JPG</t>
  </si>
  <si>
    <t>G0019893.JPG</t>
  </si>
  <si>
    <t>G0019894.JPG</t>
  </si>
  <si>
    <t>G0019895.JPG</t>
  </si>
  <si>
    <t>G0019896.JPG</t>
  </si>
  <si>
    <t>G0019897.JPG</t>
  </si>
  <si>
    <t>G0019898.JPG</t>
  </si>
  <si>
    <t>G0019899.JPG</t>
  </si>
  <si>
    <t>G0019900.JPG</t>
  </si>
  <si>
    <t>G0019901.JPG</t>
  </si>
  <si>
    <t>G0019902.JPG</t>
  </si>
  <si>
    <t>G0019903.JPG</t>
  </si>
  <si>
    <t>G0019904.JPG</t>
  </si>
  <si>
    <t>G0019905.JPG</t>
  </si>
  <si>
    <t>G0019906.JPG</t>
  </si>
  <si>
    <t>G0019907.JPG</t>
  </si>
  <si>
    <t>G0019908.JPG</t>
  </si>
  <si>
    <t>G0019909.JPG</t>
  </si>
  <si>
    <t>G0019910.JPG</t>
  </si>
  <si>
    <t>G0019911.JPG</t>
  </si>
  <si>
    <t>G0019912.JPG</t>
  </si>
  <si>
    <t>G0019913.JPG</t>
  </si>
  <si>
    <t>G0019914.JPG</t>
  </si>
  <si>
    <t>G0019915.JPG</t>
  </si>
  <si>
    <t>G0019916.JPG</t>
  </si>
  <si>
    <t>G0019917.JPG</t>
  </si>
  <si>
    <t>G0019918.JPG</t>
  </si>
  <si>
    <t>G0019919.JPG</t>
  </si>
  <si>
    <t>G0019920.JPG</t>
  </si>
  <si>
    <t>G0019921.JPG</t>
  </si>
  <si>
    <t>G0019922.JPG</t>
  </si>
  <si>
    <t>G0019923.JPG</t>
  </si>
  <si>
    <t>G0019924.JPG</t>
  </si>
  <si>
    <t>G0019925.JPG</t>
  </si>
  <si>
    <t>G0019926.JPG</t>
  </si>
  <si>
    <t>G0019927.JPG</t>
  </si>
  <si>
    <t>G0019928.JPG</t>
  </si>
  <si>
    <t>G0019929.JPG</t>
  </si>
  <si>
    <t>G0019930.JPG</t>
  </si>
  <si>
    <t>G0019931.JPG</t>
  </si>
  <si>
    <t>G0019932.JPG</t>
  </si>
  <si>
    <t>G0019933.JPG</t>
  </si>
  <si>
    <t>G0019934.JPG</t>
  </si>
  <si>
    <t>G0019935.JPG</t>
  </si>
  <si>
    <t>G0019936.JPG</t>
  </si>
  <si>
    <t>G0019937.JPG</t>
  </si>
  <si>
    <t>G0019938.JPG</t>
  </si>
  <si>
    <t>G0019939.JPG</t>
  </si>
  <si>
    <t>G0019940.JPG</t>
  </si>
  <si>
    <t>G0019941.JPG</t>
  </si>
  <si>
    <t>G0019942.JPG</t>
  </si>
  <si>
    <t>G0019943.JPG</t>
  </si>
  <si>
    <t>G0019944.JPG</t>
  </si>
  <si>
    <t>G0019945.JPG</t>
  </si>
  <si>
    <t>G0019946.JPG</t>
  </si>
  <si>
    <t>G0019947.JPG</t>
  </si>
  <si>
    <t>G0019948.JPG</t>
  </si>
  <si>
    <t>G0019949.JPG</t>
  </si>
  <si>
    <t>G0019950.JPG</t>
  </si>
  <si>
    <t>G0019951.JPG</t>
  </si>
  <si>
    <t>G0019952.JPG</t>
  </si>
  <si>
    <t>G0019953.JPG</t>
  </si>
  <si>
    <t>G0019954.JPG</t>
  </si>
  <si>
    <t>G0019955.JPG</t>
  </si>
  <si>
    <t>G0019956.JPG</t>
  </si>
  <si>
    <t>G0019957.JPG</t>
  </si>
  <si>
    <t>G0019958.JPG</t>
  </si>
  <si>
    <t>G0019959.JPG</t>
  </si>
  <si>
    <t>G0019960.JPG</t>
  </si>
  <si>
    <t>G0019961.JPG</t>
  </si>
  <si>
    <t>G0019962.JPG</t>
  </si>
  <si>
    <t>G0019963.JPG</t>
  </si>
  <si>
    <t>G0019964.JPG</t>
  </si>
  <si>
    <t>G0019965.JPG</t>
  </si>
  <si>
    <t>G0019966.JPG</t>
  </si>
  <si>
    <t>G0019967.JPG</t>
  </si>
  <si>
    <t>G0019968.JPG</t>
  </si>
  <si>
    <t>G0019969.JPG</t>
  </si>
  <si>
    <t>G0019970.JPG</t>
  </si>
  <si>
    <t>G0019971.JPG</t>
  </si>
  <si>
    <t>G0019972.JPG</t>
  </si>
  <si>
    <t>G0019973.JPG</t>
  </si>
  <si>
    <t>G0019974.JPG</t>
  </si>
  <si>
    <t>G0019975.JPG</t>
  </si>
  <si>
    <t>G0019976.JPG</t>
  </si>
  <si>
    <t>G0019977.JPG</t>
  </si>
  <si>
    <t>G0019978.JPG</t>
  </si>
  <si>
    <t>G0019979.JPG</t>
  </si>
  <si>
    <t>G0019980.JPG</t>
  </si>
  <si>
    <t>G0019981.JPG</t>
  </si>
  <si>
    <t>G0019982.JPG</t>
  </si>
  <si>
    <t>G0019983.JPG</t>
  </si>
  <si>
    <t>G0019984.JPG</t>
  </si>
  <si>
    <t>G0019985.JPG</t>
  </si>
  <si>
    <t>G0019986.JPG</t>
  </si>
  <si>
    <t>G0019987.JPG</t>
  </si>
  <si>
    <t>G0019988.JPG</t>
  </si>
  <si>
    <t>G0019989.JPG</t>
  </si>
  <si>
    <t>G0019990.JPG</t>
  </si>
  <si>
    <t>G0019991.JPG</t>
  </si>
  <si>
    <t>G0019992.JPG</t>
  </si>
  <si>
    <t>G0019993.JPG</t>
  </si>
  <si>
    <t>G0019994.JPG</t>
  </si>
  <si>
    <t>G0019995.JPG</t>
  </si>
  <si>
    <t>G0019996.JPG</t>
  </si>
  <si>
    <t>G0019997.JPG</t>
  </si>
  <si>
    <t>G0019998.JPG</t>
  </si>
  <si>
    <t>G0019999.JPG</t>
  </si>
  <si>
    <t>G0020001.JPG</t>
  </si>
  <si>
    <t>G0020002.JPG</t>
  </si>
  <si>
    <t>G0020003.JPG</t>
  </si>
  <si>
    <t>G0020004.JPG</t>
  </si>
  <si>
    <t>G0020005.JPG</t>
  </si>
  <si>
    <t>G0020006.JPG</t>
  </si>
  <si>
    <t>G0020007.JPG</t>
  </si>
  <si>
    <t>G0020008.JPG</t>
  </si>
  <si>
    <t>G0020009.JPG</t>
  </si>
  <si>
    <t>G0020010.JPG</t>
  </si>
  <si>
    <t>G0020011.JPG</t>
  </si>
  <si>
    <t>G0020012.JPG</t>
  </si>
  <si>
    <t>G0020013.JPG</t>
  </si>
  <si>
    <t>G0020014.JPG</t>
  </si>
  <si>
    <t>G0020015.JPG</t>
  </si>
  <si>
    <t>G0020016.JPG</t>
  </si>
  <si>
    <t>G0020017.JPG</t>
  </si>
  <si>
    <t>G0020018.JPG</t>
  </si>
  <si>
    <t>G0020019.JPG</t>
  </si>
  <si>
    <t>G0020020.JPG</t>
  </si>
  <si>
    <t>G0020021.JPG</t>
  </si>
  <si>
    <t>G0020022.JPG</t>
  </si>
  <si>
    <t>G0020023.JPG</t>
  </si>
  <si>
    <t>G0020024.JPG</t>
  </si>
  <si>
    <t>G0020025.JPG</t>
  </si>
  <si>
    <t>G0020026.JPG</t>
  </si>
  <si>
    <t>G0020027.JPG</t>
  </si>
  <si>
    <t>G0020028.JPG</t>
  </si>
  <si>
    <t>G0020029.JPG</t>
  </si>
  <si>
    <t>G0020030.JPG</t>
  </si>
  <si>
    <t>G0020031.JPG</t>
  </si>
  <si>
    <t>G0020032.JPG</t>
  </si>
  <si>
    <t>G0020033.JPG</t>
  </si>
  <si>
    <t>G0020034.JPG</t>
  </si>
  <si>
    <t>G0020035.JPG</t>
  </si>
  <si>
    <t>G0020036.JPG</t>
  </si>
  <si>
    <t>G0020037.JPG</t>
  </si>
  <si>
    <t>G0020038.JPG</t>
  </si>
  <si>
    <t>G0020039.JPG</t>
  </si>
  <si>
    <t>G0020040.JPG</t>
  </si>
  <si>
    <t>G0020041.JPG</t>
  </si>
  <si>
    <t>G0020042.JPG</t>
  </si>
  <si>
    <t>G0020043.JPG</t>
  </si>
  <si>
    <t>G0020044.JPG</t>
  </si>
  <si>
    <t>G0020045.JPG</t>
  </si>
  <si>
    <t>G0020046.JPG</t>
  </si>
  <si>
    <t>G0020047.JPG</t>
  </si>
  <si>
    <t>G0020048.JPG</t>
  </si>
  <si>
    <t>G0020049.JPG</t>
  </si>
  <si>
    <t>G0020050.JPG</t>
  </si>
  <si>
    <t>G0020051.JPG</t>
  </si>
  <si>
    <t>G0020052.JPG</t>
  </si>
  <si>
    <t>G0020053.JPG</t>
  </si>
  <si>
    <t>G0020054.JPG</t>
  </si>
  <si>
    <t>G0020055.JPG</t>
  </si>
  <si>
    <t>G0020056.JPG</t>
  </si>
  <si>
    <t>G0020057.JPG</t>
  </si>
  <si>
    <t>G0020058.JPG</t>
  </si>
  <si>
    <t>G0020059.JPG</t>
  </si>
  <si>
    <t>G0020060.JPG</t>
  </si>
  <si>
    <t>G0020061.JPG</t>
  </si>
  <si>
    <t>G0020062.JPG</t>
  </si>
  <si>
    <t>G0020063.JPG</t>
  </si>
  <si>
    <t>G0020064.JPG</t>
  </si>
  <si>
    <t>G0020065.JPG</t>
  </si>
  <si>
    <t>G0020066.JPG</t>
  </si>
  <si>
    <t>G0020067.JPG</t>
  </si>
  <si>
    <t>G0020068.JPG</t>
  </si>
  <si>
    <t>G0020069.JPG</t>
  </si>
  <si>
    <t>G0020070.JPG</t>
  </si>
  <si>
    <t>G0020071.JPG</t>
  </si>
  <si>
    <t>G0020072.JPG</t>
  </si>
  <si>
    <t>G0020073.JPG</t>
  </si>
  <si>
    <t>G0020074.JPG</t>
  </si>
  <si>
    <t>G0020075.JPG</t>
  </si>
  <si>
    <t>G0020076.JPG</t>
  </si>
  <si>
    <t>G0020077.JPG</t>
  </si>
  <si>
    <t>G0020078.JPG</t>
  </si>
  <si>
    <t>G0020079.JPG</t>
  </si>
  <si>
    <t>G0020080.JPG</t>
  </si>
  <si>
    <t>G0020081.JPG</t>
  </si>
  <si>
    <t>G0020082.JPG</t>
  </si>
  <si>
    <t>G0020083.JPG</t>
  </si>
  <si>
    <t>G0020084.JPG</t>
  </si>
  <si>
    <t>G0020085.JPG</t>
  </si>
  <si>
    <t>G0020086.JPG</t>
  </si>
  <si>
    <t>G0020087.JPG</t>
  </si>
  <si>
    <t>G0020088.JPG</t>
  </si>
  <si>
    <t>G0020089.JPG</t>
  </si>
  <si>
    <t>G0020090.JPG</t>
  </si>
  <si>
    <t>G0020091.JPG</t>
  </si>
  <si>
    <t>G0020092.JPG</t>
  </si>
  <si>
    <t>G0020093.JPG</t>
  </si>
  <si>
    <t>G0020094.JPG</t>
  </si>
  <si>
    <t>G0020095.JPG</t>
  </si>
  <si>
    <t>G0020096.JPG</t>
  </si>
  <si>
    <t>G0020097.JPG</t>
  </si>
  <si>
    <t>G0020098.JPG</t>
  </si>
  <si>
    <t>G0020099.JPG</t>
  </si>
  <si>
    <t>G0020100.JPG</t>
  </si>
  <si>
    <t>G0020101.JPG</t>
  </si>
  <si>
    <t>G0020102.JPG</t>
  </si>
  <si>
    <t>G0020103.JPG</t>
  </si>
  <si>
    <t>G0020104.JPG</t>
  </si>
  <si>
    <t>G0020105.JPG</t>
  </si>
  <si>
    <t>G0020106.JPG</t>
  </si>
  <si>
    <t>G0020107.JPG</t>
  </si>
  <si>
    <t>G0020108.JPG</t>
  </si>
  <si>
    <t>G0020109.JPG</t>
  </si>
  <si>
    <t>G0020110.JPG</t>
  </si>
  <si>
    <t>G0020111.JPG</t>
  </si>
  <si>
    <t>G0020112.JPG</t>
  </si>
  <si>
    <t>G0020113.JPG</t>
  </si>
  <si>
    <t>G0020114.JPG</t>
  </si>
  <si>
    <t>G0020115.JPG</t>
  </si>
  <si>
    <t>G0020116.JPG</t>
  </si>
  <si>
    <t>G0020117.JPG</t>
  </si>
  <si>
    <t>G0020118.JPG</t>
  </si>
  <si>
    <t>G0020119.JPG</t>
  </si>
  <si>
    <t>G0020120.JPG</t>
  </si>
  <si>
    <t>G0020121.JPG</t>
  </si>
  <si>
    <t>G0020122.JPG</t>
  </si>
  <si>
    <t>G0020123.JPG</t>
  </si>
  <si>
    <t>G0020124.JPG</t>
  </si>
  <si>
    <t>G0020125.JPG</t>
  </si>
  <si>
    <t>G0020126.JPG</t>
  </si>
  <si>
    <t>G0020127.JPG</t>
  </si>
  <si>
    <t>G0020128.JPG</t>
  </si>
  <si>
    <t>G0020129.JPG</t>
  </si>
  <si>
    <t>G0020130.JPG</t>
  </si>
  <si>
    <t>G0020131.JPG</t>
  </si>
  <si>
    <t>G0020132.JPG</t>
  </si>
  <si>
    <t>G0020133.JPG</t>
  </si>
  <si>
    <t>G0020134.JPG</t>
  </si>
  <si>
    <t>G0020135.JPG</t>
  </si>
  <si>
    <t>G0020136.JPG</t>
  </si>
  <si>
    <t>G0020137.JPG</t>
  </si>
  <si>
    <t>G0020138.JPG</t>
  </si>
  <si>
    <t>G0020139.JPG</t>
  </si>
  <si>
    <t>G0020140.JPG</t>
  </si>
  <si>
    <t>G0020141.JPG</t>
  </si>
  <si>
    <t>G0020142.JPG</t>
  </si>
  <si>
    <t>G0020143.JPG</t>
  </si>
  <si>
    <t>G0020144.JPG</t>
  </si>
  <si>
    <t>G0020145.JPG</t>
  </si>
  <si>
    <t>G0020146.JPG</t>
  </si>
  <si>
    <t>G0020147.JPG</t>
  </si>
  <si>
    <t>G0020148.JPG</t>
  </si>
  <si>
    <t>G0020149.JPG</t>
  </si>
  <si>
    <t>G0020150.JPG</t>
  </si>
  <si>
    <t>G0020151.JPG</t>
  </si>
  <si>
    <t>G0020152.JPG</t>
  </si>
  <si>
    <t>G0020153.JPG</t>
  </si>
  <si>
    <t>G0020154.JPG</t>
  </si>
  <si>
    <t>G0020155.JPG</t>
  </si>
  <si>
    <t>G0020156.JPG</t>
  </si>
  <si>
    <t>G0020157.JPG</t>
  </si>
  <si>
    <t>G0020158.JPG</t>
  </si>
  <si>
    <t>G0020159.JPG</t>
  </si>
  <si>
    <t>G0020160.JPG</t>
  </si>
  <si>
    <t>G0020161.JPG</t>
  </si>
  <si>
    <t>G0020162.JPG</t>
  </si>
  <si>
    <t>G0020163.JPG</t>
  </si>
  <si>
    <t>G0020164.JPG</t>
  </si>
  <si>
    <t>G0020165.JPG</t>
  </si>
  <si>
    <t>G0020166.JPG</t>
  </si>
  <si>
    <t>G0020167.JPG</t>
  </si>
  <si>
    <t>G0020168.JPG</t>
  </si>
  <si>
    <t>G0020169.JPG</t>
  </si>
  <si>
    <t>G0020170.JPG</t>
  </si>
  <si>
    <t>G0020171.JPG</t>
  </si>
  <si>
    <t>G0020172.JPG</t>
  </si>
  <si>
    <t>G0020173.JPG</t>
  </si>
  <si>
    <t>G0020174.JPG</t>
  </si>
  <si>
    <t>G0020175.JPG</t>
  </si>
  <si>
    <t>G0020176.JPG</t>
  </si>
  <si>
    <t>G0020177.JPG</t>
  </si>
  <si>
    <t>G0020178.JPG</t>
  </si>
  <si>
    <t>G0020179.JPG</t>
  </si>
  <si>
    <t>G0020180.JPG</t>
  </si>
  <si>
    <t>G0020181.JPG</t>
  </si>
  <si>
    <t>G0020182.JPG</t>
  </si>
  <si>
    <t>G0020183.JPG</t>
  </si>
  <si>
    <t>G0020184.JPG</t>
  </si>
  <si>
    <t>G0020185.JPG</t>
  </si>
  <si>
    <t>G0020186.JPG</t>
  </si>
  <si>
    <t>G0020187.JPG</t>
  </si>
  <si>
    <t>G0020188.JPG</t>
  </si>
  <si>
    <t>G0020189.JPG</t>
  </si>
  <si>
    <t>G0020190.JPG</t>
  </si>
  <si>
    <t>G0020191.JPG</t>
  </si>
  <si>
    <t>G0020192.JPG</t>
  </si>
  <si>
    <t>G0020193.JPG</t>
  </si>
  <si>
    <t>G0020194.JPG</t>
  </si>
  <si>
    <t>G0020195.JPG</t>
  </si>
  <si>
    <t>G0020196.JPG</t>
  </si>
  <si>
    <t>G0020197.JPG</t>
  </si>
  <si>
    <t>G0020198.JPG</t>
  </si>
  <si>
    <t>G0020199.JPG</t>
  </si>
  <si>
    <t>G0020200.JPG</t>
  </si>
  <si>
    <t>G0020201.JPG</t>
  </si>
  <si>
    <t>G0020202.JPG</t>
  </si>
  <si>
    <t>G0020203.JPG</t>
  </si>
  <si>
    <t>G0020204.JPG</t>
  </si>
  <si>
    <t>G0020205.JPG</t>
  </si>
  <si>
    <t>G0020206.JPG</t>
  </si>
  <si>
    <t>G0020207.JPG</t>
  </si>
  <si>
    <t>G0020208.JPG</t>
  </si>
  <si>
    <t>G0020209.JPG</t>
  </si>
  <si>
    <t>G0020210.JPG</t>
  </si>
  <si>
    <t>G0020211.JPG</t>
  </si>
  <si>
    <t>G0020212.JPG</t>
  </si>
  <si>
    <t>G0020213.JPG</t>
  </si>
  <si>
    <t>G0020214.JPG</t>
  </si>
  <si>
    <t>G0020215.JPG</t>
  </si>
  <si>
    <t>G0020216.JPG</t>
  </si>
  <si>
    <t>G0020217.JPG</t>
  </si>
  <si>
    <t>G0020218.JPG</t>
  </si>
  <si>
    <t>G0020219.JPG</t>
  </si>
  <si>
    <t>G0020220.JPG</t>
  </si>
  <si>
    <t>G0020221.JPG</t>
  </si>
  <si>
    <t>G0020222.JPG</t>
  </si>
  <si>
    <t>G0020223.JPG</t>
  </si>
  <si>
    <t>G0020224.JPG</t>
  </si>
  <si>
    <t>G0020225.JPG</t>
  </si>
  <si>
    <t>G0020226.JPG</t>
  </si>
  <si>
    <t>G0020227.JPG</t>
  </si>
  <si>
    <t>G0020228.JPG</t>
  </si>
  <si>
    <t>G0020229.JPG</t>
  </si>
  <si>
    <t>G0020230.JPG</t>
  </si>
  <si>
    <t>G0020231.JPG</t>
  </si>
  <si>
    <t>G0020232.JPG</t>
  </si>
  <si>
    <t>G0020233.JPG</t>
  </si>
  <si>
    <t>G0020234.JPG</t>
  </si>
  <si>
    <t>G0020235.JPG</t>
  </si>
  <si>
    <t>G0020236.JPG</t>
  </si>
  <si>
    <t>G0020237.JPG</t>
  </si>
  <si>
    <t>G0020238.JPG</t>
  </si>
  <si>
    <t>G0020239.JPG</t>
  </si>
  <si>
    <t>G0020240.JPG</t>
  </si>
  <si>
    <t>G0020241.JPG</t>
  </si>
  <si>
    <t>G0020242.JPG</t>
  </si>
  <si>
    <t>G0020243.JPG</t>
  </si>
  <si>
    <t>G0020244.JPG</t>
  </si>
  <si>
    <t>G0020245.JPG</t>
  </si>
  <si>
    <t>G0020246.JPG</t>
  </si>
  <si>
    <t>G0020247.JPG</t>
  </si>
  <si>
    <t>G0020248.JPG</t>
  </si>
  <si>
    <t>G0020249.JPG</t>
  </si>
  <si>
    <t>G0020250.JPG</t>
  </si>
  <si>
    <t>G0020251.JPG</t>
  </si>
  <si>
    <t>G0020252.JPG</t>
  </si>
  <si>
    <t>G0020253.JPG</t>
  </si>
  <si>
    <t>G0020254.JPG</t>
  </si>
  <si>
    <t>G0020255.JPG</t>
  </si>
  <si>
    <t>G0020256.JPG</t>
  </si>
  <si>
    <t>G0020257.JPG</t>
  </si>
  <si>
    <t>G0020258.JPG</t>
  </si>
  <si>
    <t>G0020259.JPG</t>
  </si>
  <si>
    <t>G0020260.JPG</t>
  </si>
  <si>
    <t>G0020261.JPG</t>
  </si>
  <si>
    <t>G0020262.JPG</t>
  </si>
  <si>
    <t>G0020263.JPG</t>
  </si>
  <si>
    <t>G0020264.JPG</t>
  </si>
  <si>
    <t>G0020265.JPG</t>
  </si>
  <si>
    <t>G0020266.JPG</t>
  </si>
  <si>
    <t>G0020267.JPG</t>
  </si>
  <si>
    <t>G0020268.JPG</t>
  </si>
  <si>
    <t>G0020269.JPG</t>
  </si>
  <si>
    <t>G0020270.JPG</t>
  </si>
  <si>
    <t>G0020271.JPG</t>
  </si>
  <si>
    <t>G0020272.JPG</t>
  </si>
  <si>
    <t>G0020273.JPG</t>
  </si>
  <si>
    <t>G0020274.JPG</t>
  </si>
  <si>
    <t>G0020275.JPG</t>
  </si>
  <si>
    <t>G0020276.JPG</t>
  </si>
  <si>
    <t>G0020277.JPG</t>
  </si>
  <si>
    <t>G0020278.JPG</t>
  </si>
  <si>
    <t>G0020279.JPG</t>
  </si>
  <si>
    <t>G0020280.JPG</t>
  </si>
  <si>
    <t>G0020281.JPG</t>
  </si>
  <si>
    <t>G0020282.JPG</t>
  </si>
  <si>
    <t>G0020283.JPG</t>
  </si>
  <si>
    <t>G0020284.JPG</t>
  </si>
  <si>
    <t>G0020285.JPG</t>
  </si>
  <si>
    <t>G0020286.JPG</t>
  </si>
  <si>
    <t>G0020287.JPG</t>
  </si>
  <si>
    <t>G0020288.JPG</t>
  </si>
  <si>
    <t>G0020289.JPG</t>
  </si>
  <si>
    <t>G0020290.JPG</t>
  </si>
  <si>
    <t>G0020291.JPG</t>
  </si>
  <si>
    <t>G0020292.JPG</t>
  </si>
  <si>
    <t>G0020293.JPG</t>
  </si>
  <si>
    <t>G0020294.JPG</t>
  </si>
  <si>
    <t>G0020295.JPG</t>
  </si>
  <si>
    <t>G0020296.JPG</t>
  </si>
  <si>
    <t>G0020297.JPG</t>
  </si>
  <si>
    <t>G0020298.JPG</t>
  </si>
  <si>
    <t>G0020299.JPG</t>
  </si>
  <si>
    <t>G0020300.JPG</t>
  </si>
  <si>
    <t>G0020301.JPG</t>
  </si>
  <si>
    <t>G0020302.JPG</t>
  </si>
  <si>
    <t>G0020303.JPG</t>
  </si>
  <si>
    <t>G0020304.JPG</t>
  </si>
  <si>
    <t>G0020305.JPG</t>
  </si>
  <si>
    <t>G0020306.JPG</t>
  </si>
  <si>
    <t>G0020307.JPG</t>
  </si>
  <si>
    <t>G0020308.JPG</t>
  </si>
  <si>
    <t>G0020309.JPG</t>
  </si>
  <si>
    <t>G0020310.JPG</t>
  </si>
  <si>
    <t>G0020311.JPG</t>
  </si>
  <si>
    <t>G0020312.JPG</t>
  </si>
  <si>
    <t>G0020313.JPG</t>
  </si>
  <si>
    <t>G0020314.JPG</t>
  </si>
  <si>
    <t>G0020315.JPG</t>
  </si>
  <si>
    <t>G0020316.JPG</t>
  </si>
  <si>
    <t>G0020317.JPG</t>
  </si>
  <si>
    <t>G0020318.JPG</t>
  </si>
  <si>
    <t>G0020319.JPG</t>
  </si>
  <si>
    <t>G0020320.JPG</t>
  </si>
  <si>
    <t>G0020321.JPG</t>
  </si>
  <si>
    <t>G0020322.JPG</t>
  </si>
  <si>
    <t>G0020323.JPG</t>
  </si>
  <si>
    <t>G0020324.JPG</t>
  </si>
  <si>
    <t>G0020325.JPG</t>
  </si>
  <si>
    <t>G0020326.JPG</t>
  </si>
  <si>
    <t>G0020327.JPG</t>
  </si>
  <si>
    <t>G0020328.JPG</t>
  </si>
  <si>
    <t>G0020329.JPG</t>
  </si>
  <si>
    <t>G0020330.JPG</t>
  </si>
  <si>
    <t>G0020331.JPG</t>
  </si>
  <si>
    <t>G0020332.JPG</t>
  </si>
  <si>
    <t>G0020333.JPG</t>
  </si>
  <si>
    <t>G0020334.JPG</t>
  </si>
  <si>
    <t>G0020335.JPG</t>
  </si>
  <si>
    <t>G0020336.JPG</t>
  </si>
  <si>
    <t>G0020337.JPG</t>
  </si>
  <si>
    <t>G0020338.JPG</t>
  </si>
  <si>
    <t>G0020339.JPG</t>
  </si>
  <si>
    <t>G0020340.JPG</t>
  </si>
  <si>
    <t>G0020341.JPG</t>
  </si>
  <si>
    <t>G0020342.JPG</t>
  </si>
  <si>
    <t>G0020343.JPG</t>
  </si>
  <si>
    <t>G0020344.JPG</t>
  </si>
  <si>
    <t>G0020345.JPG</t>
  </si>
  <si>
    <t>G0020346.JPG</t>
  </si>
  <si>
    <t>G0020347.JPG</t>
  </si>
  <si>
    <t>G0020348.JPG</t>
  </si>
  <si>
    <t>G0020349.JPG</t>
  </si>
  <si>
    <t>G0020350.JPG</t>
  </si>
  <si>
    <t>G0020351.JPG</t>
  </si>
  <si>
    <t>G0020352.JPG</t>
  </si>
  <si>
    <t>G0020353.JPG</t>
  </si>
  <si>
    <t>G0020354.JPG</t>
  </si>
  <si>
    <t>G0020355.JPG</t>
  </si>
  <si>
    <t>G0020356.JPG</t>
  </si>
  <si>
    <t>G0020357.JPG</t>
  </si>
  <si>
    <t>G0020358.JPG</t>
  </si>
  <si>
    <t>G0020359.JPG</t>
  </si>
  <si>
    <t>G0020360.JPG</t>
  </si>
  <si>
    <t>G0020361.JPG</t>
  </si>
  <si>
    <t>G0020362.JPG</t>
  </si>
  <si>
    <t>G0020363.JPG</t>
  </si>
  <si>
    <t>G0020364.JPG</t>
  </si>
  <si>
    <t>G0020365.JPG</t>
  </si>
  <si>
    <t>G0020366.JPG</t>
  </si>
  <si>
    <t>G0020367.JPG</t>
  </si>
  <si>
    <t>G0020368.JPG</t>
  </si>
  <si>
    <t>G0020369.JPG</t>
  </si>
  <si>
    <t>G0020370.JPG</t>
  </si>
  <si>
    <t>G0020371.JPG</t>
  </si>
  <si>
    <t>G0020372.JPG</t>
  </si>
  <si>
    <t>G0020373.JPG</t>
  </si>
  <si>
    <t>G0020374.JPG</t>
  </si>
  <si>
    <t>G0020375.JPG</t>
  </si>
  <si>
    <t>G0020376.JPG</t>
  </si>
  <si>
    <t>G0020377.JPG</t>
  </si>
  <si>
    <t>G0020378.JPG</t>
  </si>
  <si>
    <t>G0020379.JPG</t>
  </si>
  <si>
    <t>G0020380.JPG</t>
  </si>
  <si>
    <t>G0020381.JPG</t>
  </si>
  <si>
    <t>G0020382.JPG</t>
  </si>
  <si>
    <t>G0020383.JPG</t>
  </si>
  <si>
    <t>G0020384.JPG</t>
  </si>
  <si>
    <t>G0020385.JPG</t>
  </si>
  <si>
    <t>G0020386.JPG</t>
  </si>
  <si>
    <t>G0020387.JPG</t>
  </si>
  <si>
    <t>G0020388.JPG</t>
  </si>
  <si>
    <t>G0020389.JPG</t>
  </si>
  <si>
    <t>G0020390.JPG</t>
  </si>
  <si>
    <t>G0020391.JPG</t>
  </si>
  <si>
    <t>G0020392.JPG</t>
  </si>
  <si>
    <t>G0020393.JPG</t>
  </si>
  <si>
    <t>G0020394.JPG</t>
  </si>
  <si>
    <t>G0020395.JPG</t>
  </si>
  <si>
    <t>G0020396.JPG</t>
  </si>
  <si>
    <t>G0020397.JPG</t>
  </si>
  <si>
    <t>G0020398.JPG</t>
  </si>
  <si>
    <t>G0020399.JPG</t>
  </si>
  <si>
    <t>G0020400.JPG</t>
  </si>
  <si>
    <t>G0020401.JPG</t>
  </si>
  <si>
    <t>G0020402.JPG</t>
  </si>
  <si>
    <t>G0020403.JPG</t>
  </si>
  <si>
    <t>G0020404.JPG</t>
  </si>
  <si>
    <t>G0020405.JPG</t>
  </si>
  <si>
    <t>G0020406.JPG</t>
  </si>
  <si>
    <t>G0020407.JPG</t>
  </si>
  <si>
    <t>G0020408.JPG</t>
  </si>
  <si>
    <t>G0020409.JPG</t>
  </si>
  <si>
    <t>G0020410.JPG</t>
  </si>
  <si>
    <t>G0020411.JPG</t>
  </si>
  <si>
    <t>G0020412.JPG</t>
  </si>
  <si>
    <t>G0020413.JPG</t>
  </si>
  <si>
    <t>G0020414.JPG</t>
  </si>
  <si>
    <t>G0020415.JPG</t>
  </si>
  <si>
    <t>G0020416.JPG</t>
  </si>
  <si>
    <t>G0020417.JPG</t>
  </si>
  <si>
    <t>G0020418.JPG</t>
  </si>
  <si>
    <t>G0020419.JPG</t>
  </si>
  <si>
    <t>G0020420.JPG</t>
  </si>
  <si>
    <t>G0020421.JPG</t>
  </si>
  <si>
    <t>G0020422.JPG</t>
  </si>
  <si>
    <t>G0020423.JPG</t>
  </si>
  <si>
    <t>G0020424.JPG</t>
  </si>
  <si>
    <t>G0020425.JPG</t>
  </si>
  <si>
    <t>G0020426.JPG</t>
  </si>
  <si>
    <t>G0020427.JPG</t>
  </si>
  <si>
    <t>G0020428.JPG</t>
  </si>
  <si>
    <t>G0020429.JPG</t>
  </si>
  <si>
    <t>G0020430.JPG</t>
  </si>
  <si>
    <t>G0020431.JPG</t>
  </si>
  <si>
    <t>G0020432.JPG</t>
  </si>
  <si>
    <t>G0020433.JPG</t>
  </si>
  <si>
    <t>G0020434.JPG</t>
  </si>
  <si>
    <t>G0020435.JPG</t>
  </si>
  <si>
    <t>G0020436.JPG</t>
  </si>
  <si>
    <t>G0020437.JPG</t>
  </si>
  <si>
    <t>G0020438.JPG</t>
  </si>
  <si>
    <t>G0020439.JPG</t>
  </si>
  <si>
    <t>G0020440.JPG</t>
  </si>
  <si>
    <t>G0020441.JPG</t>
  </si>
  <si>
    <t>G0020442.JPG</t>
  </si>
  <si>
    <t>G0020443.JPG</t>
  </si>
  <si>
    <t>G0020444.JPG</t>
  </si>
  <si>
    <t>G0020445.JPG</t>
  </si>
  <si>
    <t>G0020446.JPG</t>
  </si>
  <si>
    <t>G0020447.JPG</t>
  </si>
  <si>
    <t>G0020448.JPG</t>
  </si>
  <si>
    <t>G0020449.JPG</t>
  </si>
  <si>
    <t>G0020450.JPG</t>
  </si>
  <si>
    <t>G0020451.JPG</t>
  </si>
  <si>
    <t>G0020452.JPG</t>
  </si>
  <si>
    <t>G0020453.JPG</t>
  </si>
  <si>
    <t>G0020454.JPG</t>
  </si>
  <si>
    <t>G0020455.JPG</t>
  </si>
  <si>
    <t>G0020456.JPG</t>
  </si>
  <si>
    <t>G0020457.JPG</t>
  </si>
  <si>
    <t>G0020458.JPG</t>
  </si>
  <si>
    <t>G0020459.JPG</t>
  </si>
  <si>
    <t>G0020460.JPG</t>
  </si>
  <si>
    <t>G0020461.JPG</t>
  </si>
  <si>
    <t>G0020462.JPG</t>
  </si>
  <si>
    <t>G0020463.JPG</t>
  </si>
  <si>
    <t>G0020464.JPG</t>
  </si>
  <si>
    <t>G0020465.JPG</t>
  </si>
  <si>
    <t>G0020466.JPG</t>
  </si>
  <si>
    <t>G0020467.JPG</t>
  </si>
  <si>
    <t>G0020468.JPG</t>
  </si>
  <si>
    <t>G0020469.JPG</t>
  </si>
  <si>
    <t>G0020470.JPG</t>
  </si>
  <si>
    <t>G0020471.JPG</t>
  </si>
  <si>
    <t>G0020472.JPG</t>
  </si>
  <si>
    <t>G0020473.JPG</t>
  </si>
  <si>
    <t>G0020474.JPG</t>
  </si>
  <si>
    <t>G0020475.JPG</t>
  </si>
  <si>
    <t>G0020476.JPG</t>
  </si>
  <si>
    <t>G0020477.JPG</t>
  </si>
  <si>
    <t>G0020478.JPG</t>
  </si>
  <si>
    <t>G0020479.JPG</t>
  </si>
  <si>
    <t>G0020480.JPG</t>
  </si>
  <si>
    <t>G0020481.JPG</t>
  </si>
  <si>
    <t>G0020482.JPG</t>
  </si>
  <si>
    <t>G0020483.JPG</t>
  </si>
  <si>
    <t>G0020484.JPG</t>
  </si>
  <si>
    <t>G0020485.JPG</t>
  </si>
  <si>
    <t>G0020486.JPG</t>
  </si>
  <si>
    <t>G0020487.JPG</t>
  </si>
  <si>
    <t>G0020488.JPG</t>
  </si>
  <si>
    <t>G0020489.JPG</t>
  </si>
  <si>
    <t>G0020490.JPG</t>
  </si>
  <si>
    <t>G0020491.JPG</t>
  </si>
  <si>
    <t>G0020492.JPG</t>
  </si>
  <si>
    <t>G0020493.JPG</t>
  </si>
  <si>
    <t>G0020494.JPG</t>
  </si>
  <si>
    <t>G0020495.JPG</t>
  </si>
  <si>
    <t>G0020496.JPG</t>
  </si>
  <si>
    <t>G0020497.JPG</t>
  </si>
  <si>
    <t>G0020498.JPG</t>
  </si>
  <si>
    <t>G0020499.JPG</t>
  </si>
  <si>
    <t>G0020500.JPG</t>
  </si>
  <si>
    <t>G0020501.JPG</t>
  </si>
  <si>
    <t>G0020502.JPG</t>
  </si>
  <si>
    <t>G0020503.JPG</t>
  </si>
  <si>
    <t>G0020504.JPG</t>
  </si>
  <si>
    <t>G0020505.JPG</t>
  </si>
  <si>
    <t>G0020506.JPG</t>
  </si>
  <si>
    <t>G0020507.JPG</t>
  </si>
  <si>
    <t>G0020508.JPG</t>
  </si>
  <si>
    <t>G0020509.JPG</t>
  </si>
  <si>
    <t>G0020510.JPG</t>
  </si>
  <si>
    <t>G0020511.JPG</t>
  </si>
  <si>
    <t>G0020512.JPG</t>
  </si>
  <si>
    <t>G0020513.JPG</t>
  </si>
  <si>
    <t>G0020514.JPG</t>
  </si>
  <si>
    <t>G0020515.JPG</t>
  </si>
  <si>
    <t>G0020516.JPG</t>
  </si>
  <si>
    <t>G0020517.JPG</t>
  </si>
  <si>
    <t>G0020518.JPG</t>
  </si>
  <si>
    <t>G0020519.JPG</t>
  </si>
  <si>
    <t>G0020520.JPG</t>
  </si>
  <si>
    <t>G0020521.JPG</t>
  </si>
  <si>
    <t>G0020522.JPG</t>
  </si>
  <si>
    <t>G0020523.JPG</t>
  </si>
  <si>
    <t>G0020524.JPG</t>
  </si>
  <si>
    <t>G0020525.JPG</t>
  </si>
  <si>
    <t>G0020526.JPG</t>
  </si>
  <si>
    <t>G0020527.JPG</t>
  </si>
  <si>
    <t>G0020528.JPG</t>
  </si>
  <si>
    <t>G0020529.JPG</t>
  </si>
  <si>
    <t>G0020530.JPG</t>
  </si>
  <si>
    <t>G0020531.JPG</t>
  </si>
  <si>
    <t>G0020532.JPG</t>
  </si>
  <si>
    <t>G0020533.JPG</t>
  </si>
  <si>
    <t>G0020534.JPG</t>
  </si>
  <si>
    <t>G0020535.JPG</t>
  </si>
  <si>
    <t>G0020536.JPG</t>
  </si>
  <si>
    <t>G0020537.JPG</t>
  </si>
  <si>
    <t>G0020538.JPG</t>
  </si>
  <si>
    <t>G0020539.JPG</t>
  </si>
  <si>
    <t>G0020540.JPG</t>
  </si>
  <si>
    <t>G0020541.JPG</t>
  </si>
  <si>
    <t>G0020542.JPG</t>
  </si>
  <si>
    <t>G0020543.JPG</t>
  </si>
  <si>
    <t>G0020544.JPG</t>
  </si>
  <si>
    <t>G0020545.JPG</t>
  </si>
  <si>
    <t>G0020546.JPG</t>
  </si>
  <si>
    <t>G0020547.JPG</t>
  </si>
  <si>
    <t>G0020548.JPG</t>
  </si>
  <si>
    <t>G0020549.JPG</t>
  </si>
  <si>
    <t>G0020550.JPG</t>
  </si>
  <si>
    <t>G0020551.JPG</t>
  </si>
  <si>
    <t>G0020552.JPG</t>
  </si>
  <si>
    <t>G0020553.JPG</t>
  </si>
  <si>
    <t>G0020554.JPG</t>
  </si>
  <si>
    <t>G0020555.JPG</t>
  </si>
  <si>
    <t>G0020556.JPG</t>
  </si>
  <si>
    <t>G0020557.JPG</t>
  </si>
  <si>
    <t>G0020558.JPG</t>
  </si>
  <si>
    <t>G0020559.JPG</t>
  </si>
  <si>
    <t>G0020560.JPG</t>
  </si>
  <si>
    <t>G0020561.JPG</t>
  </si>
  <si>
    <t>G0020562.JPG</t>
  </si>
  <si>
    <t>G0020563.JPG</t>
  </si>
  <si>
    <t>G0020564.JPG</t>
  </si>
  <si>
    <t>G0020565.JPG</t>
  </si>
  <si>
    <t>G0020566.JPG</t>
  </si>
  <si>
    <t>G0020567.JPG</t>
  </si>
  <si>
    <t>G0020568.JPG</t>
  </si>
  <si>
    <t>G0020569.JPG</t>
  </si>
  <si>
    <t>G0020570.JPG</t>
  </si>
  <si>
    <t>G0020571.JPG</t>
  </si>
  <si>
    <t>G0020572.JPG</t>
  </si>
  <si>
    <t>G0020573.JPG</t>
  </si>
  <si>
    <t>G0020574.JPG</t>
  </si>
  <si>
    <t>G0020575.JPG</t>
  </si>
  <si>
    <t>G0020576.JPG</t>
  </si>
  <si>
    <t>G0020577.JPG</t>
  </si>
  <si>
    <t>G0020578.JPG</t>
  </si>
  <si>
    <t>G0020579.JPG</t>
  </si>
  <si>
    <t>G0020580.JPG</t>
  </si>
  <si>
    <t>G0020581.JPG</t>
  </si>
  <si>
    <t>G0020582.JPG</t>
  </si>
  <si>
    <t>G0020583.JPG</t>
  </si>
  <si>
    <t>G0020584.JPG</t>
  </si>
  <si>
    <t>G0020585.JPG</t>
  </si>
  <si>
    <t>G0020586.JPG</t>
  </si>
  <si>
    <t>G0020587.JPG</t>
  </si>
  <si>
    <t>G0020588.JPG</t>
  </si>
  <si>
    <t>G0020589.JPG</t>
  </si>
  <si>
    <t>G0020590.JPG</t>
  </si>
  <si>
    <t>G0020591.JPG</t>
  </si>
  <si>
    <t>G0020592.JPG</t>
  </si>
  <si>
    <t>G0020593.JPG</t>
  </si>
  <si>
    <t>G0020594.JPG</t>
  </si>
  <si>
    <t>G0020595.JPG</t>
  </si>
  <si>
    <t>G0020596.JPG</t>
  </si>
  <si>
    <t>G0020597.JPG</t>
  </si>
  <si>
    <t>G0020598.JPG</t>
  </si>
  <si>
    <t>G0020599.JPG</t>
  </si>
  <si>
    <t>G0020600.JPG</t>
  </si>
  <si>
    <t>G0020601.JPG</t>
  </si>
  <si>
    <t>G0020602.JPG</t>
  </si>
  <si>
    <t>G0020603.JPG</t>
  </si>
  <si>
    <t>G0020604.JPG</t>
  </si>
  <si>
    <t>G0020605.JPG</t>
  </si>
  <si>
    <t>G0020606.JPG</t>
  </si>
  <si>
    <t>G0020607.JPG</t>
  </si>
  <si>
    <t>G0020608.JPG</t>
  </si>
  <si>
    <t>G0020609.JPG</t>
  </si>
  <si>
    <t>G0020610.JPG</t>
  </si>
  <si>
    <t>G0020611.JPG</t>
  </si>
  <si>
    <t>G0020612.JPG</t>
  </si>
  <si>
    <t>G0020613.JPG</t>
  </si>
  <si>
    <t>G0020614.JPG</t>
  </si>
  <si>
    <t>G0020615.JPG</t>
  </si>
  <si>
    <t>G0020616.JPG</t>
  </si>
  <si>
    <t>G0020617.JPG</t>
  </si>
  <si>
    <t>G0020618.JPG</t>
  </si>
  <si>
    <t>G0020619.JPG</t>
  </si>
  <si>
    <t>G0020620.JPG</t>
  </si>
  <si>
    <t>G0020621.JPG</t>
  </si>
  <si>
    <t>G0020622.JPG</t>
  </si>
  <si>
    <t>G0020623.JPG</t>
  </si>
  <si>
    <t>G0020624.JPG</t>
  </si>
  <si>
    <t>G0020625.JPG</t>
  </si>
  <si>
    <t>G0020626.JPG</t>
  </si>
  <si>
    <t>G0020627.JPG</t>
  </si>
  <si>
    <t>G0020628.JPG</t>
  </si>
  <si>
    <t>G0020629.JPG</t>
  </si>
  <si>
    <t>G0020630.JPG</t>
  </si>
  <si>
    <t>G0020631.JPG</t>
  </si>
  <si>
    <t>G0020632.JPG</t>
  </si>
  <si>
    <t>G0020633.JPG</t>
  </si>
  <si>
    <t>G0020634.JPG</t>
  </si>
  <si>
    <t>G0020635.JPG</t>
  </si>
  <si>
    <t>G0020636.JPG</t>
  </si>
  <si>
    <t>G0020637.JPG</t>
  </si>
  <si>
    <t>G0020638.JPG</t>
  </si>
  <si>
    <t>G0020639.JPG</t>
  </si>
  <si>
    <t>G0020640.JPG</t>
  </si>
  <si>
    <t>G0020641.JPG</t>
  </si>
  <si>
    <t>G0020642.JPG</t>
  </si>
  <si>
    <t>G0020643.JPG</t>
  </si>
  <si>
    <t>G0020644.JPG</t>
  </si>
  <si>
    <t>G0020645.JPG</t>
  </si>
  <si>
    <t>G0020646.JPG</t>
  </si>
  <si>
    <t>G0020647.JPG</t>
  </si>
  <si>
    <t>G0020648.JPG</t>
  </si>
  <si>
    <t>G0020649.JPG</t>
  </si>
  <si>
    <t>G0020650.JPG</t>
  </si>
  <si>
    <t>G0020651.JPG</t>
  </si>
  <si>
    <t>G0020652.JPG</t>
  </si>
  <si>
    <t>G0020653.JPG</t>
  </si>
  <si>
    <t>G0020654.JPG</t>
  </si>
  <si>
    <t>G0020655.JPG</t>
  </si>
  <si>
    <t>G0020656.JPG</t>
  </si>
  <si>
    <t>G0020657.JPG</t>
  </si>
  <si>
    <t>G0020658.JPG</t>
  </si>
  <si>
    <t>G0020659.JPG</t>
  </si>
  <si>
    <t>G0020660.JPG</t>
  </si>
  <si>
    <t>G0020661.JPG</t>
  </si>
  <si>
    <t>G0020662.JPG</t>
  </si>
  <si>
    <t>G0020663.JPG</t>
  </si>
  <si>
    <t>G0020664.JPG</t>
  </si>
  <si>
    <t>G0020665.JPG</t>
  </si>
  <si>
    <t>G0020666.JPG</t>
  </si>
  <si>
    <t>G0020667.JPG</t>
  </si>
  <si>
    <t>G0020668.JPG</t>
  </si>
  <si>
    <t>G0020669.JPG</t>
  </si>
  <si>
    <t>G0020670.JPG</t>
  </si>
  <si>
    <t>G0020671.JPG</t>
  </si>
  <si>
    <t>G0020672.JPG</t>
  </si>
  <si>
    <t>G0020673.JPG</t>
  </si>
  <si>
    <t>G0020674.JPG</t>
  </si>
  <si>
    <t>G0020675.JPG</t>
  </si>
  <si>
    <t>G0020676.JPG</t>
  </si>
  <si>
    <t>G0020677.JPG</t>
  </si>
  <si>
    <t>G0020678.JPG</t>
  </si>
  <si>
    <t>G0020679.JPG</t>
  </si>
  <si>
    <t>G0020680.JPG</t>
  </si>
  <si>
    <t>G0020681.JPG</t>
  </si>
  <si>
    <t>G0020682.JPG</t>
  </si>
  <si>
    <t>G0020683.JPG</t>
  </si>
  <si>
    <t>G0020684.JPG</t>
  </si>
  <si>
    <t>G0020685.JPG</t>
  </si>
  <si>
    <t>G0020686.JPG</t>
  </si>
  <si>
    <t>G0020687.JPG</t>
  </si>
  <si>
    <t>G0020688.JPG</t>
  </si>
  <si>
    <t>G0020689.JPG</t>
  </si>
  <si>
    <t>G0020690.JPG</t>
  </si>
  <si>
    <t>G0020691.JPG</t>
  </si>
  <si>
    <t>G0020692.JPG</t>
  </si>
  <si>
    <t>G0020693.JPG</t>
  </si>
  <si>
    <t>G0020694.JPG</t>
  </si>
  <si>
    <t>G0020695.JPG</t>
  </si>
  <si>
    <t>G0020696.JPG</t>
  </si>
  <si>
    <t>G0020697.JPG</t>
  </si>
  <si>
    <t>G0020698.JPG</t>
  </si>
  <si>
    <t>G0020699.JPG</t>
  </si>
  <si>
    <t>G0020700.JPG</t>
  </si>
  <si>
    <t>G0020701.JPG</t>
  </si>
  <si>
    <t>G0020702.JPG</t>
  </si>
  <si>
    <t>G0020703.JPG</t>
  </si>
  <si>
    <t>G0020704.JPG</t>
  </si>
  <si>
    <t>G0020705.JPG</t>
  </si>
  <si>
    <t>G0020706.JPG</t>
  </si>
  <si>
    <t>G0020707.JPG</t>
  </si>
  <si>
    <t>G0020708.JPG</t>
  </si>
  <si>
    <t>G0020709.JPG</t>
  </si>
  <si>
    <t>G0020710.JPG</t>
  </si>
  <si>
    <t>G0020711.JPG</t>
  </si>
  <si>
    <t>G0020712.JPG</t>
  </si>
  <si>
    <t>G0020713.JPG</t>
  </si>
  <si>
    <t>G0020714.JPG</t>
  </si>
  <si>
    <t>G0020715.JPG</t>
  </si>
  <si>
    <t>G0020716.JPG</t>
  </si>
  <si>
    <t>G0020717.JPG</t>
  </si>
  <si>
    <t>G0020718.JPG</t>
  </si>
  <si>
    <t>G0020719.JPG</t>
  </si>
  <si>
    <t>G0020720.JPG</t>
  </si>
  <si>
    <t>G0020721.JPG</t>
  </si>
  <si>
    <t>G0020722.JPG</t>
  </si>
  <si>
    <t>G0020723.JPG</t>
  </si>
  <si>
    <t>G0020724.JPG</t>
  </si>
  <si>
    <t>G0020725.JPG</t>
  </si>
  <si>
    <t>G0020726.JPG</t>
  </si>
  <si>
    <t>G0020727.JPG</t>
  </si>
  <si>
    <t>G0020728.JPG</t>
  </si>
  <si>
    <t>G0020729.JPG</t>
  </si>
  <si>
    <t>G0020730.JPG</t>
  </si>
  <si>
    <t>G0020731.JPG</t>
  </si>
  <si>
    <t>G0020732.JPG</t>
  </si>
  <si>
    <t>G0020733.JPG</t>
  </si>
  <si>
    <t>G0020734.JPG</t>
  </si>
  <si>
    <t>G0020735.JPG</t>
  </si>
  <si>
    <t>G0020736.JPG</t>
  </si>
  <si>
    <t>G0020737.JPG</t>
  </si>
  <si>
    <t>G0020738.JPG</t>
  </si>
  <si>
    <t>G0020739.JPG</t>
  </si>
  <si>
    <t>G0020740.JPG</t>
  </si>
  <si>
    <t>G0020741.JPG</t>
  </si>
  <si>
    <t>G0020742.JPG</t>
  </si>
  <si>
    <t>G0020743.JPG</t>
  </si>
  <si>
    <t>G0020744.JPG</t>
  </si>
  <si>
    <t>G0020745.JPG</t>
  </si>
  <si>
    <t>G0020746.JPG</t>
  </si>
  <si>
    <t>G0020747.JPG</t>
  </si>
  <si>
    <t>G0020748.JPG</t>
  </si>
  <si>
    <t>G0020749.JPG</t>
  </si>
  <si>
    <t>G0020750.JPG</t>
  </si>
  <si>
    <t>G0020751.JPG</t>
  </si>
  <si>
    <t>G0020752.JPG</t>
  </si>
  <si>
    <t>G0020753.JPG</t>
  </si>
  <si>
    <t>G0020754.JPG</t>
  </si>
  <si>
    <t>G0020755.JPG</t>
  </si>
  <si>
    <t>G0020756.JPG</t>
  </si>
  <si>
    <t>G0020757.JPG</t>
  </si>
  <si>
    <t>G0020758.JPG</t>
  </si>
  <si>
    <t>G0020759.JPG</t>
  </si>
  <si>
    <t>G0020760.JPG</t>
  </si>
  <si>
    <t>G0020761.JPG</t>
  </si>
  <si>
    <t>G0020762.JPG</t>
  </si>
  <si>
    <t>G0020763.JPG</t>
  </si>
  <si>
    <t>G0020764.JPG</t>
  </si>
  <si>
    <t>G0020765.JPG</t>
  </si>
  <si>
    <t>G0020766.JPG</t>
  </si>
  <si>
    <t>G0020767.JPG</t>
  </si>
  <si>
    <t>G0020768.JPG</t>
  </si>
  <si>
    <t>G0020769.JPG</t>
  </si>
  <si>
    <t>G0020770.JPG</t>
  </si>
  <si>
    <t>G0020771.JPG</t>
  </si>
  <si>
    <t>G0020772.JPG</t>
  </si>
  <si>
    <t>G0020773.JPG</t>
  </si>
  <si>
    <t>G0020774.JPG</t>
  </si>
  <si>
    <t>G0020775.JPG</t>
  </si>
  <si>
    <t>G0020776.JPG</t>
  </si>
  <si>
    <t>G0020777.JPG</t>
  </si>
  <si>
    <t>G0020778.JPG</t>
  </si>
  <si>
    <t>G0020779.JPG</t>
  </si>
  <si>
    <t>G0020780.JPG</t>
  </si>
  <si>
    <t>G0020781.JPG</t>
  </si>
  <si>
    <t>G0020782.JPG</t>
  </si>
  <si>
    <t>G0020783.JPG</t>
  </si>
  <si>
    <t>G0020784.JPG</t>
  </si>
  <si>
    <t>G0020785.JPG</t>
  </si>
  <si>
    <t>G0020786.JPG</t>
  </si>
  <si>
    <t>G0020787.JPG</t>
  </si>
  <si>
    <t>G0020788.JPG</t>
  </si>
  <si>
    <t>G0020789.JPG</t>
  </si>
  <si>
    <t>G0020790.JPG</t>
  </si>
  <si>
    <t>G0020791.JPG</t>
  </si>
  <si>
    <t>G0020792.JPG</t>
  </si>
  <si>
    <t>G0020793.JPG</t>
  </si>
  <si>
    <t>G0020794.JPG</t>
  </si>
  <si>
    <t>G0020795.JPG</t>
  </si>
  <si>
    <t>G0020796.JPG</t>
  </si>
  <si>
    <t>G0020797.JPG</t>
  </si>
  <si>
    <t>G0020798.JPG</t>
  </si>
  <si>
    <t>G0020799.JPG</t>
  </si>
  <si>
    <t>G0020800.JPG</t>
  </si>
  <si>
    <t>G0020801.JPG</t>
  </si>
  <si>
    <t>G0020802.JPG</t>
  </si>
  <si>
    <t>G0020803.JPG</t>
  </si>
  <si>
    <t>G0020804.JPG</t>
  </si>
  <si>
    <t>G0020805.JPG</t>
  </si>
  <si>
    <t>G0020806.JPG</t>
  </si>
  <si>
    <t>G0020807.JPG</t>
  </si>
  <si>
    <t>G0020808.JPG</t>
  </si>
  <si>
    <t>G0020809.JPG</t>
  </si>
  <si>
    <t>G0020810.JPG</t>
  </si>
  <si>
    <t>G0020811.JPG</t>
  </si>
  <si>
    <t>G0020812.JPG</t>
  </si>
  <si>
    <t>G0020813.JPG</t>
  </si>
  <si>
    <t>G0020814.JPG</t>
  </si>
  <si>
    <t>G0020815.JPG</t>
  </si>
  <si>
    <t>G0020816.JPG</t>
  </si>
  <si>
    <t>G0020817.JPG</t>
  </si>
  <si>
    <t>G0020818.JPG</t>
  </si>
  <si>
    <t>G0020819.JPG</t>
  </si>
  <si>
    <t>G0020820.JPG</t>
  </si>
  <si>
    <t>G0020821.JPG</t>
  </si>
  <si>
    <t>G0020822.JPG</t>
  </si>
  <si>
    <t>G0020823.JPG</t>
  </si>
  <si>
    <t>G0020824.JPG</t>
  </si>
  <si>
    <t>G0020825.JPG</t>
  </si>
  <si>
    <t>G0020826.JPG</t>
  </si>
  <si>
    <t>G0020827.JPG</t>
  </si>
  <si>
    <t>G0020828.JPG</t>
  </si>
  <si>
    <t>G0020829.JPG</t>
  </si>
  <si>
    <t>G0020830.JPG</t>
  </si>
  <si>
    <t>G0020831.JPG</t>
  </si>
  <si>
    <t>G0020832.JPG</t>
  </si>
  <si>
    <t>G0020833.JPG</t>
  </si>
  <si>
    <t>G0020834.JPG</t>
  </si>
  <si>
    <t>G0020835.JPG</t>
  </si>
  <si>
    <t>G0020836.JPG</t>
  </si>
  <si>
    <t>G0020837.JPG</t>
  </si>
  <si>
    <t>G0020838.JPG</t>
  </si>
  <si>
    <t>G0020839.JPG</t>
  </si>
  <si>
    <t>G0020840.JPG</t>
  </si>
  <si>
    <t>G0020841.JPG</t>
  </si>
  <si>
    <t>G0020842.JPG</t>
  </si>
  <si>
    <t>G0020843.JPG</t>
  </si>
  <si>
    <t>G0020844.JPG</t>
  </si>
  <si>
    <t>G0020845.JPG</t>
  </si>
  <si>
    <t>G0020846.JPG</t>
  </si>
  <si>
    <t>G0020847.JPG</t>
  </si>
  <si>
    <t>G0020848.JPG</t>
  </si>
  <si>
    <t>G0020849.JPG</t>
  </si>
  <si>
    <t>G0020850.JPG</t>
  </si>
  <si>
    <t>G0020851.JPG</t>
  </si>
  <si>
    <t>G0020852.JPG</t>
  </si>
  <si>
    <t>G0020853.JPG</t>
  </si>
  <si>
    <t>G0020854.JPG</t>
  </si>
  <si>
    <t>G0020855.JPG</t>
  </si>
  <si>
    <t>G0020856.JPG</t>
  </si>
  <si>
    <t>G0020857.JPG</t>
  </si>
  <si>
    <t>G0020858.JPG</t>
  </si>
  <si>
    <t>G0020859.JPG</t>
  </si>
  <si>
    <t>G0020860.JPG</t>
  </si>
  <si>
    <t>G0020861.JPG</t>
  </si>
  <si>
    <t>G0020862.JPG</t>
  </si>
  <si>
    <t>G0020863.JPG</t>
  </si>
  <si>
    <t>G0020864.JPG</t>
  </si>
  <si>
    <t>G0020865.JPG</t>
  </si>
  <si>
    <t>G0020866.JPG</t>
  </si>
  <si>
    <t>G0020867.JPG</t>
  </si>
  <si>
    <t>G0020868.JPG</t>
  </si>
  <si>
    <t>G0020869.JPG</t>
  </si>
  <si>
    <t>G0020870.JPG</t>
  </si>
  <si>
    <t>G0020871.JPG</t>
  </si>
  <si>
    <t>G0020872.JPG</t>
  </si>
  <si>
    <t>G0020873.JPG</t>
  </si>
  <si>
    <t>G0020874.JPG</t>
  </si>
  <si>
    <t>G0020875.JPG</t>
  </si>
  <si>
    <t>G0020876.JPG</t>
  </si>
  <si>
    <t>G0020877.JPG</t>
  </si>
  <si>
    <t>G0020878.JPG</t>
  </si>
  <si>
    <t>G0020879.JPG</t>
  </si>
  <si>
    <t>G0020880.JPG</t>
  </si>
  <si>
    <t>G0020881.JPG</t>
  </si>
  <si>
    <t>G0020882.JPG</t>
  </si>
  <si>
    <t>G0020883.JPG</t>
  </si>
  <si>
    <t>G0020884.JPG</t>
  </si>
  <si>
    <t>G0020885.JPG</t>
  </si>
  <si>
    <t>G0020886.JPG</t>
  </si>
  <si>
    <t>G0020887.JPG</t>
  </si>
  <si>
    <t>G0020888.JPG</t>
  </si>
  <si>
    <t>G0020889.JPG</t>
  </si>
  <si>
    <t>G0020890.JPG</t>
  </si>
  <si>
    <t>G0020891.JPG</t>
  </si>
  <si>
    <t>G0020892.JPG</t>
  </si>
  <si>
    <t>G0020893.JPG</t>
  </si>
  <si>
    <t>G0020894.JPG</t>
  </si>
  <si>
    <t>G0020895.JPG</t>
  </si>
  <si>
    <t>G0020896.JPG</t>
  </si>
  <si>
    <t>G0020897.JPG</t>
  </si>
  <si>
    <t>G0020898.JPG</t>
  </si>
  <si>
    <t>G0020899.JPG</t>
  </si>
  <si>
    <t>G0020900.JPG</t>
  </si>
  <si>
    <t>G0020901.JPG</t>
  </si>
  <si>
    <t>G0020902.JPG</t>
  </si>
  <si>
    <t>G0020903.JPG</t>
  </si>
  <si>
    <t>G0020904.JPG</t>
  </si>
  <si>
    <t>G0020905.JPG</t>
  </si>
  <si>
    <t>G0020906.JPG</t>
  </si>
  <si>
    <t>G0020907.JPG</t>
  </si>
  <si>
    <t>G0020908.JPG</t>
  </si>
  <si>
    <t>G0020909.JPG</t>
  </si>
  <si>
    <t>G0020910.JPG</t>
  </si>
  <si>
    <t>G0020911.JPG</t>
  </si>
  <si>
    <t>G0020912.JPG</t>
  </si>
  <si>
    <t>G0020913.JPG</t>
  </si>
  <si>
    <t>G0020914.JPG</t>
  </si>
  <si>
    <t>G0020915.JPG</t>
  </si>
  <si>
    <t>G0020916.JPG</t>
  </si>
  <si>
    <t>G0020917.JPG</t>
  </si>
  <si>
    <t>G0020918.JPG</t>
  </si>
  <si>
    <t>G0020919.JPG</t>
  </si>
  <si>
    <t>G0020920.JPG</t>
  </si>
  <si>
    <t>G0020921.JPG</t>
  </si>
  <si>
    <t>G0020922.JPG</t>
  </si>
  <si>
    <t>G0020923.JPG</t>
  </si>
  <si>
    <t>G0020924.JPG</t>
  </si>
  <si>
    <t>G0020925.JPG</t>
  </si>
  <si>
    <t>G0020926.JPG</t>
  </si>
  <si>
    <t>G0020927.JPG</t>
  </si>
  <si>
    <t>G0020928.JPG</t>
  </si>
  <si>
    <t>G0020929.JPG</t>
  </si>
  <si>
    <t>G0020930.JPG</t>
  </si>
  <si>
    <t>G0020931.JPG</t>
  </si>
  <si>
    <t>G0020932.JPG</t>
  </si>
  <si>
    <t>G0020933.JPG</t>
  </si>
  <si>
    <t>G0020934.JPG</t>
  </si>
  <si>
    <t>G0020935.JPG</t>
  </si>
  <si>
    <t>G0020936.JPG</t>
  </si>
  <si>
    <t>G0020937.JPG</t>
  </si>
  <si>
    <t>G0020938.JPG</t>
  </si>
  <si>
    <t>G0020939.JPG</t>
  </si>
  <si>
    <t>G0020940.JPG</t>
  </si>
  <si>
    <t>G0020941.JPG</t>
  </si>
  <si>
    <t>G0020942.JPG</t>
  </si>
  <si>
    <t>G0020943.JPG</t>
  </si>
  <si>
    <t>G0020944.JPG</t>
  </si>
  <si>
    <t>G0020945.JPG</t>
  </si>
  <si>
    <t>G0020946.JPG</t>
  </si>
  <si>
    <t>G0020947.JPG</t>
  </si>
  <si>
    <t>G0020948.JPG</t>
  </si>
  <si>
    <t>G0020949.JPG</t>
  </si>
  <si>
    <t>G0020950.JPG</t>
  </si>
  <si>
    <t>G0020951.JPG</t>
  </si>
  <si>
    <t>G0020952.JPG</t>
  </si>
  <si>
    <t>G0020953.JPG</t>
  </si>
  <si>
    <t>G0020954.JPG</t>
  </si>
  <si>
    <t>G0020955.JPG</t>
  </si>
  <si>
    <t>G0020956.JPG</t>
  </si>
  <si>
    <t>G0020957.JPG</t>
  </si>
  <si>
    <t>G0020958.JPG</t>
  </si>
  <si>
    <t>G0020959.JPG</t>
  </si>
  <si>
    <t>G0020960.JPG</t>
  </si>
  <si>
    <t>G0020961.JPG</t>
  </si>
  <si>
    <t>G0020962.JPG</t>
  </si>
  <si>
    <t>G0020963.JPG</t>
  </si>
  <si>
    <t>G0020964.JPG</t>
  </si>
  <si>
    <t>G0020965.JPG</t>
  </si>
  <si>
    <t>G0020966.JPG</t>
  </si>
  <si>
    <t>G0020967.JPG</t>
  </si>
  <si>
    <t>G0020968.JPG</t>
  </si>
  <si>
    <t>G0020969.JPG</t>
  </si>
  <si>
    <t>G0020970.JPG</t>
  </si>
  <si>
    <t>G0020971.JPG</t>
  </si>
  <si>
    <t>G0020972.JPG</t>
  </si>
  <si>
    <t>G0020973.JPG</t>
  </si>
  <si>
    <t>G0020974.JPG</t>
  </si>
  <si>
    <t>G0020975.JPG</t>
  </si>
  <si>
    <t>G0020976.JPG</t>
  </si>
  <si>
    <t>G0020977.JPG</t>
  </si>
  <si>
    <t>G0020978.JPG</t>
  </si>
  <si>
    <t>G0020979.JPG</t>
  </si>
  <si>
    <t>G0020980.JPG</t>
  </si>
  <si>
    <t>G0020981.JPG</t>
  </si>
  <si>
    <t>G0020982.JPG</t>
  </si>
  <si>
    <t>G0020983.JPG</t>
  </si>
  <si>
    <t>G0020984.JPG</t>
  </si>
  <si>
    <t>G0020985.JPG</t>
  </si>
  <si>
    <t>G0020986.JPG</t>
  </si>
  <si>
    <t>G0020987.JPG</t>
  </si>
  <si>
    <t>G0020988.JPG</t>
  </si>
  <si>
    <t>G0020989.JPG</t>
  </si>
  <si>
    <t>G0020990.JPG</t>
  </si>
  <si>
    <t>G0020991.JPG</t>
  </si>
  <si>
    <t>G0020992.JPG</t>
  </si>
  <si>
    <t>G0020993.JPG</t>
  </si>
  <si>
    <t>G0020994.JPG</t>
  </si>
  <si>
    <t>G0020995.JPG</t>
  </si>
  <si>
    <t>G0020996.JPG</t>
  </si>
  <si>
    <t>G0020997.JPG</t>
  </si>
  <si>
    <t>G0020998.JPG</t>
  </si>
  <si>
    <t>G0020999.JPG</t>
  </si>
  <si>
    <t>G0021000.JPG</t>
  </si>
  <si>
    <t>G0021001.JPG</t>
  </si>
  <si>
    <t>G0021002.JPG</t>
  </si>
  <si>
    <t>G0021003.JPG</t>
  </si>
  <si>
    <t>G0021004.JPG</t>
  </si>
  <si>
    <t>G0021005.JPG</t>
  </si>
  <si>
    <t>G0021006.JPG</t>
  </si>
  <si>
    <t>G0021007.JPG</t>
  </si>
  <si>
    <t>G0021008.JPG</t>
  </si>
  <si>
    <t>G0021009.JPG</t>
  </si>
  <si>
    <t>G0021010.JPG</t>
  </si>
  <si>
    <t>G0021011.JPG</t>
  </si>
  <si>
    <t>G0021012.JPG</t>
  </si>
  <si>
    <t>G0021013.JPG</t>
  </si>
  <si>
    <t>G0021014.JPG</t>
  </si>
  <si>
    <t>G0021015.JPG</t>
  </si>
  <si>
    <t>G0021016.JPG</t>
  </si>
  <si>
    <t>G0021017.JPG</t>
  </si>
  <si>
    <t>G0021018.JPG</t>
  </si>
  <si>
    <t>G0021019.JPG</t>
  </si>
  <si>
    <t>G0021020.JPG</t>
  </si>
  <si>
    <t>G0021021.JPG</t>
  </si>
  <si>
    <t>G0021022.JPG</t>
  </si>
  <si>
    <t>G0021023.JPG</t>
  </si>
  <si>
    <t>G0021024.JPG</t>
  </si>
  <si>
    <t>G0021025.JPG</t>
  </si>
  <si>
    <t>G0021026.JPG</t>
  </si>
  <si>
    <t>G0021027.JPG</t>
  </si>
  <si>
    <t>G0021028.JPG</t>
  </si>
  <si>
    <t>G0021029.JPG</t>
  </si>
  <si>
    <t>G0021030.JPG</t>
  </si>
  <si>
    <t>G0021031.JPG</t>
  </si>
  <si>
    <t>G0021032.JPG</t>
  </si>
  <si>
    <t>G0021033.JPG</t>
  </si>
  <si>
    <t>G0021034.JPG</t>
  </si>
  <si>
    <t>G0021035.JPG</t>
  </si>
  <si>
    <t>G0021036.JPG</t>
  </si>
  <si>
    <t>G0021037.JPG</t>
  </si>
  <si>
    <t>G0021038.JPG</t>
  </si>
  <si>
    <t>G0021039.JPG</t>
  </si>
  <si>
    <t>G0021040.JPG</t>
  </si>
  <si>
    <t>G0021041.JPG</t>
  </si>
  <si>
    <t>G0021042.JPG</t>
  </si>
  <si>
    <t>G0021043.JPG</t>
  </si>
  <si>
    <t>G0021044.JPG</t>
  </si>
  <si>
    <t>G0021045.JPG</t>
  </si>
  <si>
    <t>G0021046.JPG</t>
  </si>
  <si>
    <t>G0021047.JPG</t>
  </si>
  <si>
    <t>G0021048.JPG</t>
  </si>
  <si>
    <t>G0021049.JPG</t>
  </si>
  <si>
    <t>G0021050.JPG</t>
  </si>
  <si>
    <t>G0021051.JPG</t>
  </si>
  <si>
    <t>G0021052.JPG</t>
  </si>
  <si>
    <t>G0021053.JPG</t>
  </si>
  <si>
    <t>G0021054.JPG</t>
  </si>
  <si>
    <t>G0021055.JPG</t>
  </si>
  <si>
    <t>G0021056.JPG</t>
  </si>
  <si>
    <t>G0021057.JPG</t>
  </si>
  <si>
    <t>G0021058.JPG</t>
  </si>
  <si>
    <t>G0021059.JPG</t>
  </si>
  <si>
    <t>G0021060.JPG</t>
  </si>
  <si>
    <t>G0021061.JPG</t>
  </si>
  <si>
    <t>G0021062.JPG</t>
  </si>
  <si>
    <t>G0021063.JPG</t>
  </si>
  <si>
    <t>G0021064.JPG</t>
  </si>
  <si>
    <t>G0021065.JPG</t>
  </si>
  <si>
    <t>G0021066.JPG</t>
  </si>
  <si>
    <t>G0021067.JPG</t>
  </si>
  <si>
    <t>G0021068.JPG</t>
  </si>
  <si>
    <t>G0021069.JPG</t>
  </si>
  <si>
    <t>G0021070.JPG</t>
  </si>
  <si>
    <t>G0021071.JPG</t>
  </si>
  <si>
    <t>G0021072.JPG</t>
  </si>
  <si>
    <t>G0021073.JPG</t>
  </si>
  <si>
    <t>G0021074.JPG</t>
  </si>
  <si>
    <t>G0021075.JPG</t>
  </si>
  <si>
    <t>G0021076.JPG</t>
  </si>
  <si>
    <t>G0021077.JPG</t>
  </si>
  <si>
    <t>G0021078.JPG</t>
  </si>
  <si>
    <t>G0021079.JPG</t>
  </si>
  <si>
    <t>G0021080.JPG</t>
  </si>
  <si>
    <t>G0021081.JPG</t>
  </si>
  <si>
    <t>G0021082.JPG</t>
  </si>
  <si>
    <t>G0021083.JPG</t>
  </si>
  <si>
    <t>G0021084.JPG</t>
  </si>
  <si>
    <t>G0021085.JPG</t>
  </si>
  <si>
    <t>G0021086.JPG</t>
  </si>
  <si>
    <t>G0021087.JPG</t>
  </si>
  <si>
    <t>G0021088.JPG</t>
  </si>
  <si>
    <t>G0021089.JPG</t>
  </si>
  <si>
    <t>G0021090.JPG</t>
  </si>
  <si>
    <t>G0021091.JPG</t>
  </si>
  <si>
    <t>G0021092.JPG</t>
  </si>
  <si>
    <t>G0021093.JPG</t>
  </si>
  <si>
    <t>G0021094.JPG</t>
  </si>
  <si>
    <t>G0021095.JPG</t>
  </si>
  <si>
    <t>G0021096.JPG</t>
  </si>
  <si>
    <t>G0021097.JPG</t>
  </si>
  <si>
    <t>G0021098.JPG</t>
  </si>
  <si>
    <t>G0021099.JPG</t>
  </si>
  <si>
    <t>G0021100.JPG</t>
  </si>
  <si>
    <t>G0021101.JPG</t>
  </si>
  <si>
    <t>G0021102.JPG</t>
  </si>
  <si>
    <t>G0021103.JPG</t>
  </si>
  <si>
    <t>G0021104.JPG</t>
  </si>
  <si>
    <t>G0021105.JPG</t>
  </si>
  <si>
    <t>G0021106.JPG</t>
  </si>
  <si>
    <t>G0021107.JPG</t>
  </si>
  <si>
    <t>G0021108.JPG</t>
  </si>
  <si>
    <t>G0021109.JPG</t>
  </si>
  <si>
    <t>G0021110.JPG</t>
  </si>
  <si>
    <t>G0021111.JPG</t>
  </si>
  <si>
    <t>G0021112.JPG</t>
  </si>
  <si>
    <t>G0021113.JPG</t>
  </si>
  <si>
    <t>G0021114.JPG</t>
  </si>
  <si>
    <t>G0021115.JPG</t>
  </si>
  <si>
    <t>G0021116.JPG</t>
  </si>
  <si>
    <t>G0021117.JPG</t>
  </si>
  <si>
    <t>G0021118.JPG</t>
  </si>
  <si>
    <t>G0021119.JPG</t>
  </si>
  <si>
    <t>G0021120.JPG</t>
  </si>
  <si>
    <t>G0021121.JPG</t>
  </si>
  <si>
    <t>G0021122.JPG</t>
  </si>
  <si>
    <t>G0021123.JPG</t>
  </si>
  <si>
    <t>G0021124.JPG</t>
  </si>
  <si>
    <t>G0021125.JPG</t>
  </si>
  <si>
    <t>G0021126.JPG</t>
  </si>
  <si>
    <t>G0021127.JPG</t>
  </si>
  <si>
    <t>G0021128.JPG</t>
  </si>
  <si>
    <t>G0021129.JPG</t>
  </si>
  <si>
    <t>G0021130.JPG</t>
  </si>
  <si>
    <t>G0021131.JPG</t>
  </si>
  <si>
    <t>G0021132.JPG</t>
  </si>
  <si>
    <t>G0021133.JPG</t>
  </si>
  <si>
    <t>G0021134.JPG</t>
  </si>
  <si>
    <t>G0021135.JPG</t>
  </si>
  <si>
    <t>G0021136.JPG</t>
  </si>
  <si>
    <t>G0021137.JPG</t>
  </si>
  <si>
    <t>G0021138.JPG</t>
  </si>
  <si>
    <t>G0021139.JPG</t>
  </si>
  <si>
    <t>G0021140.JPG</t>
  </si>
  <si>
    <t>G0021141.JPG</t>
  </si>
  <si>
    <t>G0021142.JPG</t>
  </si>
  <si>
    <t>G0021143.JPG</t>
  </si>
  <si>
    <t>G0021144.JPG</t>
  </si>
  <si>
    <t>G0021145.JPG</t>
  </si>
  <si>
    <t>G0021146.JPG</t>
  </si>
  <si>
    <t>G0021147.JPG</t>
  </si>
  <si>
    <t>G0021148.JPG</t>
  </si>
  <si>
    <t>G0021149.JPG</t>
  </si>
  <si>
    <t>G0021150.JPG</t>
  </si>
  <si>
    <t>G0021151.JPG</t>
  </si>
  <si>
    <t>G0021152.JPG</t>
  </si>
  <si>
    <t>G0021153.JPG</t>
  </si>
  <si>
    <t>G0021154.JPG</t>
  </si>
  <si>
    <t>G0021155.JPG</t>
  </si>
  <si>
    <t>G0021156.JPG</t>
  </si>
  <si>
    <t>G0021157.JPG</t>
  </si>
  <si>
    <t>G0021158.JPG</t>
  </si>
  <si>
    <t>G0021159.JPG</t>
  </si>
  <si>
    <t>G0021160.JPG</t>
  </si>
  <si>
    <t>G0021161.JPG</t>
  </si>
  <si>
    <t>G0021162.JPG</t>
  </si>
  <si>
    <t>G0021163.JPG</t>
  </si>
  <si>
    <t>G0021164.JPG</t>
  </si>
  <si>
    <t>G0021165.JPG</t>
  </si>
  <si>
    <t>G0021166.JPG</t>
  </si>
  <si>
    <t>G0021167.JPG</t>
  </si>
  <si>
    <t>G0021168.JPG</t>
  </si>
  <si>
    <t>G0021169.JPG</t>
  </si>
  <si>
    <t>G0021170.JPG</t>
  </si>
  <si>
    <t>G0021171.JPG</t>
  </si>
  <si>
    <t>G0021172.JPG</t>
  </si>
  <si>
    <t>G0021173.JPG</t>
  </si>
  <si>
    <t>G0021174.JPG</t>
  </si>
  <si>
    <t>G0021175.JPG</t>
  </si>
  <si>
    <t>G0021176.JPG</t>
  </si>
  <si>
    <t>G0021177.JPG</t>
  </si>
  <si>
    <t>G0021178.JPG</t>
  </si>
  <si>
    <t>G0021179.JPG</t>
  </si>
  <si>
    <t>G0021180.JPG</t>
  </si>
  <si>
    <t>G0021181.JPG</t>
  </si>
  <si>
    <t>G0021182.JPG</t>
  </si>
  <si>
    <t>G0021183.JPG</t>
  </si>
  <si>
    <t>G0021184.JPG</t>
  </si>
  <si>
    <t>G0021185.JPG</t>
  </si>
  <si>
    <t>G0021186.JPG</t>
  </si>
  <si>
    <t>G0021187.JPG</t>
  </si>
  <si>
    <t>G0021188.JPG</t>
  </si>
  <si>
    <t>G0021189.JPG</t>
  </si>
  <si>
    <t>G0021190.JPG</t>
  </si>
  <si>
    <t>G0021191.JPG</t>
  </si>
  <si>
    <t>G0021192.JPG</t>
  </si>
  <si>
    <t>G0021193.JPG</t>
  </si>
  <si>
    <t>G0021194.JPG</t>
  </si>
  <si>
    <t>G0021195.JPG</t>
  </si>
  <si>
    <t>G0021196.JPG</t>
  </si>
  <si>
    <t>G0021197.JPG</t>
  </si>
  <si>
    <t>G0021198.JPG</t>
  </si>
  <si>
    <t>G0021199.JPG</t>
  </si>
  <si>
    <t>G0021200.JPG</t>
  </si>
  <si>
    <t>G0021201.JPG</t>
  </si>
  <si>
    <t>G0021202.JPG</t>
  </si>
  <si>
    <t>G0021203.JPG</t>
  </si>
  <si>
    <t>G0021204.JPG</t>
  </si>
  <si>
    <t>G0021205.JPG</t>
  </si>
  <si>
    <t>G0021206.JPG</t>
  </si>
  <si>
    <t>G0021207.JPG</t>
  </si>
  <si>
    <t>G0021208.JPG</t>
  </si>
  <si>
    <t>G0021209.JPG</t>
  </si>
  <si>
    <t>G0021210.JPG</t>
  </si>
  <si>
    <t>G0021211.JPG</t>
  </si>
  <si>
    <t>G0021212.JPG</t>
  </si>
  <si>
    <t>G0021213.JPG</t>
  </si>
  <si>
    <t>G0021214.JPG</t>
  </si>
  <si>
    <t>G0021215.JPG</t>
  </si>
  <si>
    <t>G0021216.JPG</t>
  </si>
  <si>
    <t>G0021217.JPG</t>
  </si>
  <si>
    <t>G0021218.JPG</t>
  </si>
  <si>
    <t>G0021219.JPG</t>
  </si>
  <si>
    <t>G0021220.JPG</t>
  </si>
  <si>
    <t>G0021221.JPG</t>
  </si>
  <si>
    <t>G0021222.JPG</t>
  </si>
  <si>
    <t>G0021223.JPG</t>
  </si>
  <si>
    <t>G0021224.JPG</t>
  </si>
  <si>
    <t>G0021225.JPG</t>
  </si>
  <si>
    <t>G0021226.JPG</t>
  </si>
  <si>
    <t>G0021227.JPG</t>
  </si>
  <si>
    <t>G0021228.JPG</t>
  </si>
  <si>
    <t>G0021229.JPG</t>
  </si>
  <si>
    <t>G0021230.JPG</t>
  </si>
  <si>
    <t>G0021231.JPG</t>
  </si>
  <si>
    <t>G0021232.JPG</t>
  </si>
  <si>
    <t>G0021233.JPG</t>
  </si>
  <si>
    <t>G0021234.JPG</t>
  </si>
  <si>
    <t>G0021235.JPG</t>
  </si>
  <si>
    <t>G0021236.JPG</t>
  </si>
  <si>
    <t>G0021237.JPG</t>
  </si>
  <si>
    <t>G0021238.JPG</t>
  </si>
  <si>
    <t>G0021239.JPG</t>
  </si>
  <si>
    <t>G0021240.JPG</t>
  </si>
  <si>
    <t>G0021241.JPG</t>
  </si>
  <si>
    <t>G0021242.JPG</t>
  </si>
  <si>
    <t>G0021243.JPG</t>
  </si>
  <si>
    <t>G0021244.JPG</t>
  </si>
  <si>
    <t>G0021245.JPG</t>
  </si>
  <si>
    <t>G0021246.JPG</t>
  </si>
  <si>
    <t>G0021247.JPG</t>
  </si>
  <si>
    <t>G0021248.JPG</t>
  </si>
  <si>
    <t>G0021249.JPG</t>
  </si>
  <si>
    <t>G0021250.JPG</t>
  </si>
  <si>
    <t>G0021251.JPG</t>
  </si>
  <si>
    <t>G0021252.JPG</t>
  </si>
  <si>
    <t>G0021253.JPG</t>
  </si>
  <si>
    <t>G0021254.JPG</t>
  </si>
  <si>
    <t>G0021255.JPG</t>
  </si>
  <si>
    <t>G0021256.JPG</t>
  </si>
  <si>
    <t>G0021257.JPG</t>
  </si>
  <si>
    <t>G0021258.JPG</t>
  </si>
  <si>
    <t>G0021259.JPG</t>
  </si>
  <si>
    <t>G0021260.JPG</t>
  </si>
  <si>
    <t>G0021261.JPG</t>
  </si>
  <si>
    <t>G0021262.JPG</t>
  </si>
  <si>
    <t>G0021263.JPG</t>
  </si>
  <si>
    <t>G0021264.JPG</t>
  </si>
  <si>
    <t>G0021265.JPG</t>
  </si>
  <si>
    <t>G0021266.JPG</t>
  </si>
  <si>
    <t>G0021267.JPG</t>
  </si>
  <si>
    <t>G0021268.JPG</t>
  </si>
  <si>
    <t>G0021269.JPG</t>
  </si>
  <si>
    <t>G0021270.JPG</t>
  </si>
  <si>
    <t>G0021271.JPG</t>
  </si>
  <si>
    <t>G0021272.JPG</t>
  </si>
  <si>
    <t>G0021273.JPG</t>
  </si>
  <si>
    <t>G0021274.JPG</t>
  </si>
  <si>
    <t>G0021275.JPG</t>
  </si>
  <si>
    <t>G0021276.JPG</t>
  </si>
  <si>
    <t>G0021277.JPG</t>
  </si>
  <si>
    <t>G0021278.JPG</t>
  </si>
  <si>
    <t>G0021279.JPG</t>
  </si>
  <si>
    <t>G0021280.JPG</t>
  </si>
  <si>
    <t>G0021281.JPG</t>
  </si>
  <si>
    <t>G0021282.JPG</t>
  </si>
  <si>
    <t>G0021283.JPG</t>
  </si>
  <si>
    <t>G0021284.JPG</t>
  </si>
  <si>
    <t>G0021285.JPG</t>
  </si>
  <si>
    <t>G0021286.JPG</t>
  </si>
  <si>
    <t>G0021287.JPG</t>
  </si>
  <si>
    <t>G0021288.JPG</t>
  </si>
  <si>
    <t>G0021289.JPG</t>
  </si>
  <si>
    <t>G0021290.JPG</t>
  </si>
  <si>
    <t>G0021291.JPG</t>
  </si>
  <si>
    <t>G0021292.JPG</t>
  </si>
  <si>
    <t>G0021293.JPG</t>
  </si>
  <si>
    <t>G0021294.JPG</t>
  </si>
  <si>
    <t>G0021295.JPG</t>
  </si>
  <si>
    <t>G0021296.JPG</t>
  </si>
  <si>
    <t>G0021297.JPG</t>
  </si>
  <si>
    <t>G0021298.JPG</t>
  </si>
  <si>
    <t>G0021299.JPG</t>
  </si>
  <si>
    <t>G0021300.JPG</t>
  </si>
  <si>
    <t>G0021301.JPG</t>
  </si>
  <si>
    <t>G0021302.JPG</t>
  </si>
  <si>
    <t>G0021303.JPG</t>
  </si>
  <si>
    <t>G0021304.JPG</t>
  </si>
  <si>
    <t>G0021305.JPG</t>
  </si>
  <si>
    <t>G0021306.JPG</t>
  </si>
  <si>
    <t>G0021307.JPG</t>
  </si>
  <si>
    <t>G0021308.JPG</t>
  </si>
  <si>
    <t>G0021309.JPG</t>
  </si>
  <si>
    <t>G0021310.JPG</t>
  </si>
  <si>
    <t>G0021311.JPG</t>
  </si>
  <si>
    <t>G0021312.JPG</t>
  </si>
  <si>
    <t>G0021313.JPG</t>
  </si>
  <si>
    <t>G0021314.JPG</t>
  </si>
  <si>
    <t>G0021315.JPG</t>
  </si>
  <si>
    <t>G0021316.JPG</t>
  </si>
  <si>
    <t>G0021317.JPG</t>
  </si>
  <si>
    <t>G0021318.JPG</t>
  </si>
  <si>
    <t>G0021319.JPG</t>
  </si>
  <si>
    <t>G0021320.JPG</t>
  </si>
  <si>
    <t>G0021321.JPG</t>
  </si>
  <si>
    <t>G0021322.JPG</t>
  </si>
  <si>
    <t>G0021323.JPG</t>
  </si>
  <si>
    <t>G0021324.JPG</t>
  </si>
  <si>
    <t>G0021325.JPG</t>
  </si>
  <si>
    <t>G0021326.JPG</t>
  </si>
  <si>
    <t>G0021327.JPG</t>
  </si>
  <si>
    <t>G0021328.JPG</t>
  </si>
  <si>
    <t>G0021329.JPG</t>
  </si>
  <si>
    <t>G0021330.JPG</t>
  </si>
  <si>
    <t>G0021331.JPG</t>
  </si>
  <si>
    <t>G0021332.JPG</t>
  </si>
  <si>
    <t>G0021333.JPG</t>
  </si>
  <si>
    <t>G0021334.JPG</t>
  </si>
  <si>
    <t>G0021335.JPG</t>
  </si>
  <si>
    <t>G0021336.JPG</t>
  </si>
  <si>
    <t>G0021337.JPG</t>
  </si>
  <si>
    <t>G0021338.JPG</t>
  </si>
  <si>
    <t>G0021339.JPG</t>
  </si>
  <si>
    <t>G0021340.JPG</t>
  </si>
  <si>
    <t>G0021341.JPG</t>
  </si>
  <si>
    <t>G0021342.JPG</t>
  </si>
  <si>
    <t>G0021343.JPG</t>
  </si>
  <si>
    <t>G0021344.JPG</t>
  </si>
  <si>
    <t>G0021345.JPG</t>
  </si>
  <si>
    <t>G0021346.JPG</t>
  </si>
  <si>
    <t>G0021347.JPG</t>
  </si>
  <si>
    <t>G0021348.JPG</t>
  </si>
  <si>
    <t>G0021349.JPG</t>
  </si>
  <si>
    <t>G0021350.JPG</t>
  </si>
  <si>
    <t>G0021351.JPG</t>
  </si>
  <si>
    <t>G0021352.JPG</t>
  </si>
  <si>
    <t>G0021353.JPG</t>
  </si>
  <si>
    <t>G0021354.JPG</t>
  </si>
  <si>
    <t>G0021355.JPG</t>
  </si>
  <si>
    <t>G0021356.JPG</t>
  </si>
  <si>
    <t>G0021357.JPG</t>
  </si>
  <si>
    <t>G0021358.JPG</t>
  </si>
  <si>
    <t>G0021359.JPG</t>
  </si>
  <si>
    <t>G0021360.JPG</t>
  </si>
  <si>
    <t>G0021361.JPG</t>
  </si>
  <si>
    <t>G0021362.JPG</t>
  </si>
  <si>
    <t>G0021363.JPG</t>
  </si>
  <si>
    <t>G0021364.JPG</t>
  </si>
  <si>
    <t>G0021365.JPG</t>
  </si>
  <si>
    <t>G0021366.JPG</t>
  </si>
  <si>
    <t>G0021367.JPG</t>
  </si>
  <si>
    <t>G0021368.JPG</t>
  </si>
  <si>
    <t>G0021369.JPG</t>
  </si>
  <si>
    <t>G0021370.JPG</t>
  </si>
  <si>
    <t>G0021371.JPG</t>
  </si>
  <si>
    <t>G0021372.JPG</t>
  </si>
  <si>
    <t>G0021373.JPG</t>
  </si>
  <si>
    <t>G0021374.JPG</t>
  </si>
  <si>
    <t>G0021375.JPG</t>
  </si>
  <si>
    <t>G0021376.JPG</t>
  </si>
  <si>
    <t>G0021377.JPG</t>
  </si>
  <si>
    <t>G0021378.JPG</t>
  </si>
  <si>
    <t>G0021379.JPG</t>
  </si>
  <si>
    <t>G0021380.JPG</t>
  </si>
  <si>
    <t>G0021381.JPG</t>
  </si>
  <si>
    <t>G0021382.JPG</t>
  </si>
  <si>
    <t>G0021383.JPG</t>
  </si>
  <si>
    <t>G0021384.JPG</t>
  </si>
  <si>
    <t>G0021385.JPG</t>
  </si>
  <si>
    <t>G0021386.JPG</t>
  </si>
  <si>
    <t>G0021387.JPG</t>
  </si>
  <si>
    <t>G0021388.JPG</t>
  </si>
  <si>
    <t>G0021389.JPG</t>
  </si>
  <si>
    <t>G0021390.JPG</t>
  </si>
  <si>
    <t>G0021391.JPG</t>
  </si>
  <si>
    <t>G0021392.JPG</t>
  </si>
  <si>
    <t>G0021393.JPG</t>
  </si>
  <si>
    <t>G0021394.JPG</t>
  </si>
  <si>
    <t>G0021395.JPG</t>
  </si>
  <si>
    <t>G0021396.JPG</t>
  </si>
  <si>
    <t>G0021397.JPG</t>
  </si>
  <si>
    <t>G0021398.JPG</t>
  </si>
  <si>
    <t>G0021399.JPG</t>
  </si>
  <si>
    <t>G0021400.JPG</t>
  </si>
  <si>
    <t>G0021401.JPG</t>
  </si>
  <si>
    <t>G0021402.JPG</t>
  </si>
  <si>
    <t>G0021403.JPG</t>
  </si>
  <si>
    <t>G0021404.JPG</t>
  </si>
  <si>
    <t>G0021405.JPG</t>
  </si>
  <si>
    <t>G0021406.JPG</t>
  </si>
  <si>
    <t>G0021407.JPG</t>
  </si>
  <si>
    <t>G0021408.JPG</t>
  </si>
  <si>
    <t>G0021409.JPG</t>
  </si>
  <si>
    <t>G0021410.JPG</t>
  </si>
  <si>
    <t>G0021411.JPG</t>
  </si>
  <si>
    <t>G0021412.JPG</t>
  </si>
  <si>
    <t>G0021413.JPG</t>
  </si>
  <si>
    <t>G0021414.JPG</t>
  </si>
  <si>
    <t>G0021415.JPG</t>
  </si>
  <si>
    <t>G0021416.JPG</t>
  </si>
  <si>
    <t>G0021417.JPG</t>
  </si>
  <si>
    <t>G0021418.JPG</t>
  </si>
  <si>
    <t>G0021419.JPG</t>
  </si>
  <si>
    <t>G0021420.JPG</t>
  </si>
  <si>
    <t>G0021421.JPG</t>
  </si>
  <si>
    <t>G0021422.JPG</t>
  </si>
  <si>
    <t>G0021423.JPG</t>
  </si>
  <si>
    <t>G0021424.JPG</t>
  </si>
  <si>
    <t>G0021425.JPG</t>
  </si>
  <si>
    <t>G0021426.JPG</t>
  </si>
  <si>
    <t>G0021427.JPG</t>
  </si>
  <si>
    <t>G0021428.JPG</t>
  </si>
  <si>
    <t>G0021429.JPG</t>
  </si>
  <si>
    <t>G0021430.JPG</t>
  </si>
  <si>
    <t>G0021431.JPG</t>
  </si>
  <si>
    <t>G0021432.JPG</t>
  </si>
  <si>
    <t>G0021433.JPG</t>
  </si>
  <si>
    <t>G0021434.JPG</t>
  </si>
  <si>
    <t>G0021435.JPG</t>
  </si>
  <si>
    <t>G0021436.JPG</t>
  </si>
  <si>
    <t>G0021437.JPG</t>
  </si>
  <si>
    <t>G0021438.JPG</t>
  </si>
  <si>
    <t>G0021439.JPG</t>
  </si>
  <si>
    <t>G0021440.JPG</t>
  </si>
  <si>
    <t>G0021441.JPG</t>
  </si>
  <si>
    <t>G0021442.JPG</t>
  </si>
  <si>
    <t>G0021443.JPG</t>
  </si>
  <si>
    <t>G0021444.JPG</t>
  </si>
  <si>
    <t>G0021445.JPG</t>
  </si>
  <si>
    <t>G0021446.JPG</t>
  </si>
  <si>
    <t>G0021447.JPG</t>
  </si>
  <si>
    <t>G0021448.JPG</t>
  </si>
  <si>
    <t>G0021449.JPG</t>
  </si>
  <si>
    <t>G0021450.JPG</t>
  </si>
  <si>
    <t>G0021451.JPG</t>
  </si>
  <si>
    <t>G0021452.JPG</t>
  </si>
  <si>
    <t>G0021453.JPG</t>
  </si>
  <si>
    <t>G0021454.JPG</t>
  </si>
  <si>
    <t>G0021455.JPG</t>
  </si>
  <si>
    <t>G0021456.JPG</t>
  </si>
  <si>
    <t>G0021457.JPG</t>
  </si>
  <si>
    <t>G0021458.JPG</t>
  </si>
  <si>
    <t>G0021459.JPG</t>
  </si>
  <si>
    <t>G0021460.JPG</t>
  </si>
  <si>
    <t>G0021461.JPG</t>
  </si>
  <si>
    <t>G0021462.JPG</t>
  </si>
  <si>
    <t>G0021463.JPG</t>
  </si>
  <si>
    <t>G0021464.JPG</t>
  </si>
  <si>
    <t>G0021465.JPG</t>
  </si>
  <si>
    <t>G0021466.JPG</t>
  </si>
  <si>
    <t>G0021467.JPG</t>
  </si>
  <si>
    <t>G0021468.JPG</t>
  </si>
  <si>
    <t>G0021469.JPG</t>
  </si>
  <si>
    <t>G0021470.JPG</t>
  </si>
  <si>
    <t>G0021471.JPG</t>
  </si>
  <si>
    <t>G0021472.JPG</t>
  </si>
  <si>
    <t>G0021473.JPG</t>
  </si>
  <si>
    <t>G0021474.JPG</t>
  </si>
  <si>
    <t>G0021475.JPG</t>
  </si>
  <si>
    <t>G0021476.JPG</t>
  </si>
  <si>
    <t>G0021477.JPG</t>
  </si>
  <si>
    <t>G0021478.JPG</t>
  </si>
  <si>
    <t>G0021479.JPG</t>
  </si>
  <si>
    <t>G0021480.JPG</t>
  </si>
  <si>
    <t>G0021481.JPG</t>
  </si>
  <si>
    <t>G0021482.JPG</t>
  </si>
  <si>
    <t>G0021483.JPG</t>
  </si>
  <si>
    <t>G0021484.JPG</t>
  </si>
  <si>
    <t>G0021485.JPG</t>
  </si>
  <si>
    <t>G0021486.JPG</t>
  </si>
  <si>
    <t>G0021487.JPG</t>
  </si>
  <si>
    <t>G0021488.JPG</t>
  </si>
  <si>
    <t>G0021489.JPG</t>
  </si>
  <si>
    <t>G0021490.JPG</t>
  </si>
  <si>
    <t>G0021491.JPG</t>
  </si>
  <si>
    <t>G0021492.JPG</t>
  </si>
  <si>
    <t>G0021493.JPG</t>
  </si>
  <si>
    <t>G0021494.JPG</t>
  </si>
  <si>
    <t>G0021495.JPG</t>
  </si>
  <si>
    <t>G0021496.JPG</t>
  </si>
  <si>
    <t>G0021497.JPG</t>
  </si>
  <si>
    <t>G0021498.JPG</t>
  </si>
  <si>
    <t>G0021499.JPG</t>
  </si>
  <si>
    <t>G0021500.JPG</t>
  </si>
  <si>
    <t>G0021501.JPG</t>
  </si>
  <si>
    <t>G0021502.JPG</t>
  </si>
  <si>
    <t>G0021503.JPG</t>
  </si>
  <si>
    <t>G0021504.JPG</t>
  </si>
  <si>
    <t>G0021505.JPG</t>
  </si>
  <si>
    <t>G0021506.JPG</t>
  </si>
  <si>
    <t>G0021507.JPG</t>
  </si>
  <si>
    <t>G0021508.JPG</t>
  </si>
  <si>
    <t>G0021509.JPG</t>
  </si>
  <si>
    <t>G0021510.JPG</t>
  </si>
  <si>
    <t>G0021511.JPG</t>
  </si>
  <si>
    <t>G0021512.JPG</t>
  </si>
  <si>
    <t>G0021513.JPG</t>
  </si>
  <si>
    <t>G0021514.JPG</t>
  </si>
  <si>
    <t>G0021515.JPG</t>
  </si>
  <si>
    <t>G0021516.JPG</t>
  </si>
  <si>
    <t>G0021517.JPG</t>
  </si>
  <si>
    <t>G0021518.JPG</t>
  </si>
  <si>
    <t>G0021519.JPG</t>
  </si>
  <si>
    <t>G0021520.JPG</t>
  </si>
  <si>
    <t>G0021521.JPG</t>
  </si>
  <si>
    <t>G0021522.JPG</t>
  </si>
  <si>
    <t>G0021523.JPG</t>
  </si>
  <si>
    <t>G0021524.JPG</t>
  </si>
  <si>
    <t>G0021525.JPG</t>
  </si>
  <si>
    <t>G0021526.JPG</t>
  </si>
  <si>
    <t>G0021527.JPG</t>
  </si>
  <si>
    <t>G0021528.JPG</t>
  </si>
  <si>
    <t>G0021529.JPG</t>
  </si>
  <si>
    <t>G0021530.JPG</t>
  </si>
  <si>
    <t>G0021531.JPG</t>
  </si>
  <si>
    <t>G0021532.JPG</t>
  </si>
  <si>
    <t>G0021533.JPG</t>
  </si>
  <si>
    <t>G0021534.JPG</t>
  </si>
  <si>
    <t>G0021535.JPG</t>
  </si>
  <si>
    <t>G0021536.JPG</t>
  </si>
  <si>
    <t>G0021537.JPG</t>
  </si>
  <si>
    <t>G0021538.JPG</t>
  </si>
  <si>
    <t>G0021539.JPG</t>
  </si>
  <si>
    <t>G0021540.JPG</t>
  </si>
  <si>
    <t>G0021541.JPG</t>
  </si>
  <si>
    <t>G0021542.JPG</t>
  </si>
  <si>
    <t>G0021543.JPG</t>
  </si>
  <si>
    <t>G0021544.JPG</t>
  </si>
  <si>
    <t>G0021545.JPG</t>
  </si>
  <si>
    <t>G0021546.JPG</t>
  </si>
  <si>
    <t>G0021547.JPG</t>
  </si>
  <si>
    <t>G0021548.JPG</t>
  </si>
  <si>
    <t>G0021549.JPG</t>
  </si>
  <si>
    <t>G0021550.JPG</t>
  </si>
  <si>
    <t>G0021551.JPG</t>
  </si>
  <si>
    <t>G0021552.JPG</t>
  </si>
  <si>
    <t>G0021553.JPG</t>
  </si>
  <si>
    <t>G0021554.JPG</t>
  </si>
  <si>
    <t>G0021555.JPG</t>
  </si>
  <si>
    <t>G0021556.JPG</t>
  </si>
  <si>
    <t>G0021557.JPG</t>
  </si>
  <si>
    <t>G0021558.JPG</t>
  </si>
  <si>
    <t>G0021559.JPG</t>
  </si>
  <si>
    <t>G0021560.JPG</t>
  </si>
  <si>
    <t>G0021561.JPG</t>
  </si>
  <si>
    <t>G0021562.JPG</t>
  </si>
  <si>
    <t>G0021563.JPG</t>
  </si>
  <si>
    <t>G0021564.JPG</t>
  </si>
  <si>
    <t>G0021565.JPG</t>
  </si>
  <si>
    <t>G0021566.JPG</t>
  </si>
  <si>
    <t>G0021567.JPG</t>
  </si>
  <si>
    <t>G0021568.JPG</t>
  </si>
  <si>
    <t>G0021569.JPG</t>
  </si>
  <si>
    <t>G0021570.JPG</t>
  </si>
  <si>
    <t>G0021571.JPG</t>
  </si>
  <si>
    <t>G0021572.JPG</t>
  </si>
  <si>
    <t>G0021573.JPG</t>
  </si>
  <si>
    <t>G0021574.JPG</t>
  </si>
  <si>
    <t>G0021575.JPG</t>
  </si>
  <si>
    <t>G0021576.JPG</t>
  </si>
  <si>
    <t>G0021577.JPG</t>
  </si>
  <si>
    <t>G0021578.JPG</t>
  </si>
  <si>
    <t>G0021579.JPG</t>
  </si>
  <si>
    <t>G0021580.JPG</t>
  </si>
  <si>
    <t>G0021581.JPG</t>
  </si>
  <si>
    <t>G0021582.JPG</t>
  </si>
  <si>
    <t>G0021583.JPG</t>
  </si>
  <si>
    <t>G0021584.JPG</t>
  </si>
  <si>
    <t>G0021585.JPG</t>
  </si>
  <si>
    <t>G0021586.JPG</t>
  </si>
  <si>
    <t>G0021587.JPG</t>
  </si>
  <si>
    <t>G0021588.JPG</t>
  </si>
  <si>
    <t>G0021589.JPG</t>
  </si>
  <si>
    <t>G0021590.JPG</t>
  </si>
  <si>
    <t>G0021591.JPG</t>
  </si>
  <si>
    <t>G0021592.JPG</t>
  </si>
  <si>
    <t>G0021593.JPG</t>
  </si>
  <si>
    <t>G0021594.JPG</t>
  </si>
  <si>
    <t>G0021595.JPG</t>
  </si>
  <si>
    <t>G0021596.JPG</t>
  </si>
  <si>
    <t>G0021597.JPG</t>
  </si>
  <si>
    <t>G0021598.JPG</t>
  </si>
  <si>
    <t>G0021599.JPG</t>
  </si>
  <si>
    <t>G0021600.JPG</t>
  </si>
  <si>
    <t>G0021601.JPG</t>
  </si>
  <si>
    <t>G0021602.JPG</t>
  </si>
  <si>
    <t>G0021603.JPG</t>
  </si>
  <si>
    <t>G0021604.JPG</t>
  </si>
  <si>
    <t>G0021605.JPG</t>
  </si>
  <si>
    <t>G0021606.JPG</t>
  </si>
  <si>
    <t>G0021607.JPG</t>
  </si>
  <si>
    <t>G0021608.JPG</t>
  </si>
  <si>
    <t>G0021609.JPG</t>
  </si>
  <si>
    <t>G0021610.JPG</t>
  </si>
  <si>
    <t>G0021611.JPG</t>
  </si>
  <si>
    <t>G0021612.JPG</t>
  </si>
  <si>
    <t>G0021613.JPG</t>
  </si>
  <si>
    <t>G0021614.JPG</t>
  </si>
  <si>
    <t>G0021615.JPG</t>
  </si>
  <si>
    <t>G0021616.JPG</t>
  </si>
  <si>
    <t>G0021617.JPG</t>
  </si>
  <si>
    <t>G0021618.JPG</t>
  </si>
  <si>
    <t>G0021619.JPG</t>
  </si>
  <si>
    <t>G0021620.JPG</t>
  </si>
  <si>
    <t>G0021621.JPG</t>
  </si>
  <si>
    <t>G0021622.JPG</t>
  </si>
  <si>
    <t>G0021623.JPG</t>
  </si>
  <si>
    <t>G0021624.JPG</t>
  </si>
  <si>
    <t>G0021625.JPG</t>
  </si>
  <si>
    <t>G0021626.JPG</t>
  </si>
  <si>
    <t>G0021627.JPG</t>
  </si>
  <si>
    <t>G0021628.JPG</t>
  </si>
  <si>
    <t>G0021629.JPG</t>
  </si>
  <si>
    <t>G0021630.JPG</t>
  </si>
  <si>
    <t>G0021631.JPG</t>
  </si>
  <si>
    <t>G0021632.JPG</t>
  </si>
  <si>
    <t>G0021633.JPG</t>
  </si>
  <si>
    <t>G0021634.JPG</t>
  </si>
  <si>
    <t>G0021635.JPG</t>
  </si>
  <si>
    <t>G0021636.JPG</t>
  </si>
  <si>
    <t>G0021637.JPG</t>
  </si>
  <si>
    <t>G0021638.JPG</t>
  </si>
  <si>
    <t>G0021639.JPG</t>
  </si>
  <si>
    <t>G0021640.JPG</t>
  </si>
  <si>
    <t>G0021641.JPG</t>
  </si>
  <si>
    <t>G0021642.JPG</t>
  </si>
  <si>
    <t>G0021643.JPG</t>
  </si>
  <si>
    <t>G0021644.JPG</t>
  </si>
  <si>
    <t>G0021645.JPG</t>
  </si>
  <si>
    <t>G0021646.JPG</t>
  </si>
  <si>
    <t>G0021647.JPG</t>
  </si>
  <si>
    <t>G0021648.JPG</t>
  </si>
  <si>
    <t>G0021649.JPG</t>
  </si>
  <si>
    <t>G0021650.JPG</t>
  </si>
  <si>
    <t>G0021651.JPG</t>
  </si>
  <si>
    <t>G0021652.JPG</t>
  </si>
  <si>
    <t>G0021653.JPG</t>
  </si>
  <si>
    <t>G0021654.JPG</t>
  </si>
  <si>
    <t>G0021655.JPG</t>
  </si>
  <si>
    <t>G0021656.JPG</t>
  </si>
  <si>
    <t>G0021657.JPG</t>
  </si>
  <si>
    <t>G0021658.JPG</t>
  </si>
  <si>
    <t>G0021659.JPG</t>
  </si>
  <si>
    <t>G0021660.JPG</t>
  </si>
  <si>
    <t>G0021661.JPG</t>
  </si>
  <si>
    <t>G0021662.JPG</t>
  </si>
  <si>
    <t>G0021663.JPG</t>
  </si>
  <si>
    <t>G0021664.JPG</t>
  </si>
  <si>
    <t>G0021665.JPG</t>
  </si>
  <si>
    <t>G0021666.JPG</t>
  </si>
  <si>
    <t>G0021667.JPG</t>
  </si>
  <si>
    <t>G0021668.JPG</t>
  </si>
  <si>
    <t>G0021669.JPG</t>
  </si>
  <si>
    <t>G0021670.JPG</t>
  </si>
  <si>
    <t>G0021671.JPG</t>
  </si>
  <si>
    <t>G0021672.JPG</t>
  </si>
  <si>
    <t>G0021673.JPG</t>
  </si>
  <si>
    <t>G0021674.JPG</t>
  </si>
  <si>
    <t>G0021675.JPG</t>
  </si>
  <si>
    <t>G0021676.JPG</t>
  </si>
  <si>
    <t>G0021677.JPG</t>
  </si>
  <si>
    <t>G0021678.JPG</t>
  </si>
  <si>
    <t>G0021679.JPG</t>
  </si>
  <si>
    <t>G0021680.JPG</t>
  </si>
  <si>
    <t>G0021681.JPG</t>
  </si>
  <si>
    <t>G0021682.JPG</t>
  </si>
  <si>
    <t>G0021683.JPG</t>
  </si>
  <si>
    <t>G0021684.JPG</t>
  </si>
  <si>
    <t>G0021685.JPG</t>
  </si>
  <si>
    <t>G0021686.JPG</t>
  </si>
  <si>
    <t>G0021687.JPG</t>
  </si>
  <si>
    <t>G0021688.JPG</t>
  </si>
  <si>
    <t>G0021689.JPG</t>
  </si>
  <si>
    <t>G0021690.JPG</t>
  </si>
  <si>
    <t>G0021691.JPG</t>
  </si>
  <si>
    <t>G0021692.JPG</t>
  </si>
  <si>
    <t>G0021693.JPG</t>
  </si>
  <si>
    <t>G0021694.JPG</t>
  </si>
  <si>
    <t>G0021695.JPG</t>
  </si>
  <si>
    <t>G0021696.JPG</t>
  </si>
  <si>
    <t>G0021697.JPG</t>
  </si>
  <si>
    <t>G0021698.JPG</t>
  </si>
  <si>
    <t>G0021699.JPG</t>
  </si>
  <si>
    <t>G0021700.JPG</t>
  </si>
  <si>
    <t>G0021701.JPG</t>
  </si>
  <si>
    <t>G0021702.JPG</t>
  </si>
  <si>
    <t>G0021703.JPG</t>
  </si>
  <si>
    <t>G0021704.JPG</t>
  </si>
  <si>
    <t>G0021705.JPG</t>
  </si>
  <si>
    <t>G0021706.JPG</t>
  </si>
  <si>
    <t>G0021707.JPG</t>
  </si>
  <si>
    <t>G0021708.JPG</t>
  </si>
  <si>
    <t>G0021709.JPG</t>
  </si>
  <si>
    <t>G0021710.JPG</t>
  </si>
  <si>
    <t>G0021711.JPG</t>
  </si>
  <si>
    <t>G0021712.JPG</t>
  </si>
  <si>
    <t>G0021713.JPG</t>
  </si>
  <si>
    <t>G0021714.JPG</t>
  </si>
  <si>
    <t>G0021715.JPG</t>
  </si>
  <si>
    <t>G0021716.JPG</t>
  </si>
  <si>
    <t>G0021717.JPG</t>
  </si>
  <si>
    <t>G0021718.JPG</t>
  </si>
  <si>
    <t>G0021719.JPG</t>
  </si>
  <si>
    <t>G0021720.JPG</t>
  </si>
  <si>
    <t>G0021721.JPG</t>
  </si>
  <si>
    <t>G0021722.JPG</t>
  </si>
  <si>
    <t>G0021723.JPG</t>
  </si>
  <si>
    <t>G0021724.JPG</t>
  </si>
  <si>
    <t>G0021725.JPG</t>
  </si>
  <si>
    <t>G0021726.JPG</t>
  </si>
  <si>
    <t>G0021727.JPG</t>
  </si>
  <si>
    <t>G0021728.JPG</t>
  </si>
  <si>
    <t>G0021729.JPG</t>
  </si>
  <si>
    <t>G0021730.JPG</t>
  </si>
  <si>
    <t>G0021731.JPG</t>
  </si>
  <si>
    <t>G0021732.JPG</t>
  </si>
  <si>
    <t>G0021733.JPG</t>
  </si>
  <si>
    <t>G0021734.JPG</t>
  </si>
  <si>
    <t>G0021735.JPG</t>
  </si>
  <si>
    <t>G0021736.JPG</t>
  </si>
  <si>
    <t>G0021737.JPG</t>
  </si>
  <si>
    <t>G0021738.JPG</t>
  </si>
  <si>
    <t>G0021739.JPG</t>
  </si>
  <si>
    <t>G0021740.JPG</t>
  </si>
  <si>
    <t>G0021741.JPG</t>
  </si>
  <si>
    <t>G0021742.JPG</t>
  </si>
  <si>
    <t>G0021743.JPG</t>
  </si>
  <si>
    <t>G0021744.JPG</t>
  </si>
  <si>
    <t>G0021745.JPG</t>
  </si>
  <si>
    <t>G0021746.JPG</t>
  </si>
  <si>
    <t>G0021747.JPG</t>
  </si>
  <si>
    <t>G0021748.JPG</t>
  </si>
  <si>
    <t>G0021749.JPG</t>
  </si>
  <si>
    <t>G0021750.JPG</t>
  </si>
  <si>
    <t>G0021751.JPG</t>
  </si>
  <si>
    <t>G0021752.JPG</t>
  </si>
  <si>
    <t>G0021753.JPG</t>
  </si>
  <si>
    <t>G0021754.JPG</t>
  </si>
  <si>
    <t>G0021755.JPG</t>
  </si>
  <si>
    <t>G0021756.JPG</t>
  </si>
  <si>
    <t>G0021757.JPG</t>
  </si>
  <si>
    <t>G0021758.JPG</t>
  </si>
  <si>
    <t>G0021759.JPG</t>
  </si>
  <si>
    <t>G0021760.JPG</t>
  </si>
  <si>
    <t>G0021761.JPG</t>
  </si>
  <si>
    <t>G0021762.JPG</t>
  </si>
  <si>
    <t>G0021763.JPG</t>
  </si>
  <si>
    <t>G0021764.JPG</t>
  </si>
  <si>
    <t>G0021765.JPG</t>
  </si>
  <si>
    <t>G0021766.JPG</t>
  </si>
  <si>
    <t>G0021767.JPG</t>
  </si>
  <si>
    <t>G0021768.JPG</t>
  </si>
  <si>
    <t>G0021769.JPG</t>
  </si>
  <si>
    <t>G0021770.JPG</t>
  </si>
  <si>
    <t>G0021771.JPG</t>
  </si>
  <si>
    <t>G0021772.JPG</t>
  </si>
  <si>
    <t>G0021773.JPG</t>
  </si>
  <si>
    <t>G0021774.JPG</t>
  </si>
  <si>
    <t>G0021775.JPG</t>
  </si>
  <si>
    <t>G0021776.JPG</t>
  </si>
  <si>
    <t>G0021777.JPG</t>
  </si>
  <si>
    <t>G0021778.JPG</t>
  </si>
  <si>
    <t>G0021779.JPG</t>
  </si>
  <si>
    <t>G0021780.JPG</t>
  </si>
  <si>
    <t>G0021781.JPG</t>
  </si>
  <si>
    <t>G0021782.JPG</t>
  </si>
  <si>
    <t>G0021783.JPG</t>
  </si>
  <si>
    <t>G0021784.JPG</t>
  </si>
  <si>
    <t>G0021785.JPG</t>
  </si>
  <si>
    <t>G0021786.JPG</t>
  </si>
  <si>
    <t>G0021787.JPG</t>
  </si>
  <si>
    <t>G0021788.JPG</t>
  </si>
  <si>
    <t>G0021789.JPG</t>
  </si>
  <si>
    <t>G0021790.JPG</t>
  </si>
  <si>
    <t>G0021791.JPG</t>
  </si>
  <si>
    <t>G0021792.JPG</t>
  </si>
  <si>
    <t>G0021793.JPG</t>
  </si>
  <si>
    <t>G0021794.JPG</t>
  </si>
  <si>
    <t>G0021795.JPG</t>
  </si>
  <si>
    <t>G0021796.JPG</t>
  </si>
  <si>
    <t>G0021797.JPG</t>
  </si>
  <si>
    <t>G0021798.JPG</t>
  </si>
  <si>
    <t>G0021799.JPG</t>
  </si>
  <si>
    <t>G0021800.JPG</t>
  </si>
  <si>
    <t>G0021801.JPG</t>
  </si>
  <si>
    <t>G0021802.JPG</t>
  </si>
  <si>
    <t>G0021803.JPG</t>
  </si>
  <si>
    <t>G0021804.JPG</t>
  </si>
  <si>
    <t>G0021805.JPG</t>
  </si>
  <si>
    <t>G0021806.JPG</t>
  </si>
  <si>
    <t>G0021807.JPG</t>
  </si>
  <si>
    <t>G0021808.JPG</t>
  </si>
  <si>
    <t>G0021809.JPG</t>
  </si>
  <si>
    <t>G0021810.JPG</t>
  </si>
  <si>
    <t>G0021811.JPG</t>
  </si>
  <si>
    <t>G0021812.JPG</t>
  </si>
  <si>
    <t>G0021813.JPG</t>
  </si>
  <si>
    <t>G0021814.JPG</t>
  </si>
  <si>
    <t>G0021815.JPG</t>
  </si>
  <si>
    <t>G0021816.JPG</t>
  </si>
  <si>
    <t>G0021817.JPG</t>
  </si>
  <si>
    <t>G0021818.JPG</t>
  </si>
  <si>
    <t>G0021819.JPG</t>
  </si>
  <si>
    <t>G0021820.JPG</t>
  </si>
  <si>
    <t>G0021821.JPG</t>
  </si>
  <si>
    <t>G0021822.JPG</t>
  </si>
  <si>
    <t>G0021823.JPG</t>
  </si>
  <si>
    <t>G0021824.JPG</t>
  </si>
  <si>
    <t>G0021825.JPG</t>
  </si>
  <si>
    <t>G0021826.JPG</t>
  </si>
  <si>
    <t>G0021827.JPG</t>
  </si>
  <si>
    <t>G0021828.JPG</t>
  </si>
  <si>
    <t>G0021829.JPG</t>
  </si>
  <si>
    <t>G0021830.JPG</t>
  </si>
  <si>
    <t>G0021831.JPG</t>
  </si>
  <si>
    <t>G0021832.JPG</t>
  </si>
  <si>
    <t>G0021833.JPG</t>
  </si>
  <si>
    <t>G0021834.JPG</t>
  </si>
  <si>
    <t>G0021835.JPG</t>
  </si>
  <si>
    <t>G0021836.JPG</t>
  </si>
  <si>
    <t>G0021837.JPG</t>
  </si>
  <si>
    <t>G0021838.JPG</t>
  </si>
  <si>
    <t>G0021839.JPG</t>
  </si>
  <si>
    <t>G0021840.JPG</t>
  </si>
  <si>
    <t>G0021841.JPG</t>
  </si>
  <si>
    <t>G0021842.JPG</t>
  </si>
  <si>
    <t>G0021843.JPG</t>
  </si>
  <si>
    <t>G0021844.JPG</t>
  </si>
  <si>
    <t>G0021845.JPG</t>
  </si>
  <si>
    <t>G0021846.JPG</t>
  </si>
  <si>
    <t>G0021847.JPG</t>
  </si>
  <si>
    <t>G0021848.JPG</t>
  </si>
  <si>
    <t>G0021849.JPG</t>
  </si>
  <si>
    <t>G0021850.JPG</t>
  </si>
  <si>
    <t>G0021851.JPG</t>
  </si>
  <si>
    <t>G0021852.JPG</t>
  </si>
  <si>
    <t>G0021853.JPG</t>
  </si>
  <si>
    <t>G0021854.JPG</t>
  </si>
  <si>
    <t>G0021855.JPG</t>
  </si>
  <si>
    <t>G0021856.JPG</t>
  </si>
  <si>
    <t>G0021857.JPG</t>
  </si>
  <si>
    <t>G0021858.JPG</t>
  </si>
  <si>
    <t>G0021859.JPG</t>
  </si>
  <si>
    <t>G0021860.JPG</t>
  </si>
  <si>
    <t>G0021861.JPG</t>
  </si>
  <si>
    <t>G0021862.JPG</t>
  </si>
  <si>
    <t>G0021863.JPG</t>
  </si>
  <si>
    <t>G0021864.JPG</t>
  </si>
  <si>
    <t>G0021865.JPG</t>
  </si>
  <si>
    <t>G0021866.JPG</t>
  </si>
  <si>
    <t>G0021867.JPG</t>
  </si>
  <si>
    <t>G0021868.JPG</t>
  </si>
  <si>
    <t>G0021869.JPG</t>
  </si>
  <si>
    <t>G0021870.JPG</t>
  </si>
  <si>
    <t>G0021871.JPG</t>
  </si>
  <si>
    <t>G0021872.JPG</t>
  </si>
  <si>
    <t>G0021873.JPG</t>
  </si>
  <si>
    <t>G0021874.JPG</t>
  </si>
  <si>
    <t>G0021875.JPG</t>
  </si>
  <si>
    <t>G0021876.JPG</t>
  </si>
  <si>
    <t>G0021877.JPG</t>
  </si>
  <si>
    <t>G0021878.JPG</t>
  </si>
  <si>
    <t>G0021879.JPG</t>
  </si>
  <si>
    <t>G0021880.JPG</t>
  </si>
  <si>
    <t>G0021881.JPG</t>
  </si>
  <si>
    <t>G0021882.JPG</t>
  </si>
  <si>
    <t>G0021883.JPG</t>
  </si>
  <si>
    <t>G0021884.JPG</t>
  </si>
  <si>
    <t>G0021885.JPG</t>
  </si>
  <si>
    <t>G0021886.JPG</t>
  </si>
  <si>
    <t>G0021887.JPG</t>
  </si>
  <si>
    <t>G0021888.JPG</t>
  </si>
  <si>
    <t>G0021889.JPG</t>
  </si>
  <si>
    <t>G0021890.JPG</t>
  </si>
  <si>
    <t>G0021891.JPG</t>
  </si>
  <si>
    <t>G0021892.JPG</t>
  </si>
  <si>
    <t>G0021893.JPG</t>
  </si>
  <si>
    <t>G0021894.JPG</t>
  </si>
  <si>
    <t>G0021895.JPG</t>
  </si>
  <si>
    <t>G0021896.JPG</t>
  </si>
  <si>
    <t>G0021897.JPG</t>
  </si>
  <si>
    <t>G0021898.JPG</t>
  </si>
  <si>
    <t>G0021899.JPG</t>
  </si>
  <si>
    <t>G0021900.JPG</t>
  </si>
  <si>
    <t>G0021901.JPG</t>
  </si>
  <si>
    <t>G0021902.JPG</t>
  </si>
  <si>
    <t>G0021903.JPG</t>
  </si>
  <si>
    <t>G0021904.JPG</t>
  </si>
  <si>
    <t>G0021905.JPG</t>
  </si>
  <si>
    <t>G0021906.JPG</t>
  </si>
  <si>
    <t>G0021907.JPG</t>
  </si>
  <si>
    <t>G0021908.JPG</t>
  </si>
  <si>
    <t>G0021909.JPG</t>
  </si>
  <si>
    <t>G0021910.JPG</t>
  </si>
  <si>
    <t>G0021911.JPG</t>
  </si>
  <si>
    <t>G0021912.JPG</t>
  </si>
  <si>
    <t>G0021913.JPG</t>
  </si>
  <si>
    <t>G0021914.JPG</t>
  </si>
  <si>
    <t>G0021915.JPG</t>
  </si>
  <si>
    <t>G0021916.JPG</t>
  </si>
  <si>
    <t>G0021917.JPG</t>
  </si>
  <si>
    <t>G0021918.JPG</t>
  </si>
  <si>
    <t>G0021919.JPG</t>
  </si>
  <si>
    <t>G0021920.JPG</t>
  </si>
  <si>
    <t>G0021921.JPG</t>
  </si>
  <si>
    <t>G0021922.JPG</t>
  </si>
  <si>
    <t>G0021923.JPG</t>
  </si>
  <si>
    <t>G0021924.JPG</t>
  </si>
  <si>
    <t>G0021925.JPG</t>
  </si>
  <si>
    <t>G0021926.JPG</t>
  </si>
  <si>
    <t>G0021927.JPG</t>
  </si>
  <si>
    <t>G0021928.JPG</t>
  </si>
  <si>
    <t>G0021929.JPG</t>
  </si>
  <si>
    <t>G0021930.JPG</t>
  </si>
  <si>
    <t>G0021931.JPG</t>
  </si>
  <si>
    <t>G0021932.JPG</t>
  </si>
  <si>
    <t>G0021933.JPG</t>
  </si>
  <si>
    <t>G0021934.JPG</t>
  </si>
  <si>
    <t>G0021935.JPG</t>
  </si>
  <si>
    <t>G0021936.JPG</t>
  </si>
  <si>
    <t>G0021937.JPG</t>
  </si>
  <si>
    <t>G0021938.JPG</t>
  </si>
  <si>
    <t>G0021939.JPG</t>
  </si>
  <si>
    <t>G0021940.JPG</t>
  </si>
  <si>
    <t>G0021941.JPG</t>
  </si>
  <si>
    <t>G0021942.JPG</t>
  </si>
  <si>
    <t>G0021943.JPG</t>
  </si>
  <si>
    <t>G0021944.JPG</t>
  </si>
  <si>
    <t>G0021945.JPG</t>
  </si>
  <si>
    <t>G0021946.JPG</t>
  </si>
  <si>
    <t>G0021947.JPG</t>
  </si>
  <si>
    <t>G0021948.JPG</t>
  </si>
  <si>
    <t>G0021949.JPG</t>
  </si>
  <si>
    <t>G0021950.JPG</t>
  </si>
  <si>
    <t>G0021951.JPG</t>
  </si>
  <si>
    <t>G0021952.JPG</t>
  </si>
  <si>
    <t>G0021953.JPG</t>
  </si>
  <si>
    <t>G0021954.JPG</t>
  </si>
  <si>
    <t>G0021955.JPG</t>
  </si>
  <si>
    <t>G0021956.JPG</t>
  </si>
  <si>
    <t>G0021957.JPG</t>
  </si>
  <si>
    <t>G0021958.JPG</t>
  </si>
  <si>
    <t>G0021959.JPG</t>
  </si>
  <si>
    <t>G0021960.JPG</t>
  </si>
  <si>
    <t>G0021961.JPG</t>
  </si>
  <si>
    <t>G0021962.JPG</t>
  </si>
  <si>
    <t>G0021963.JPG</t>
  </si>
  <si>
    <t>G0021964.JPG</t>
  </si>
  <si>
    <t>G0021965.JPG</t>
  </si>
  <si>
    <t>G0021966.JPG</t>
  </si>
  <si>
    <t>G0021967.JPG</t>
  </si>
  <si>
    <t>G0021968.JPG</t>
  </si>
  <si>
    <t>G0021969.JPG</t>
  </si>
  <si>
    <t>G0021970.JPG</t>
  </si>
  <si>
    <t>G0021971.JPG</t>
  </si>
  <si>
    <t>G0021972.JPG</t>
  </si>
  <si>
    <t>G0021973.JPG</t>
  </si>
  <si>
    <t>G0021974.JPG</t>
  </si>
  <si>
    <t>G0021975.JPG</t>
  </si>
  <si>
    <t>G0021976.JPG</t>
  </si>
  <si>
    <t>G0021977.JPG</t>
  </si>
  <si>
    <t>G0021978.JPG</t>
  </si>
  <si>
    <t>G0021979.JPG</t>
  </si>
  <si>
    <t>G0021980.JPG</t>
  </si>
  <si>
    <t>G0021981.JPG</t>
  </si>
  <si>
    <t>G0021982.JPG</t>
  </si>
  <si>
    <t>G0021983.JPG</t>
  </si>
  <si>
    <t>G0021984.JPG</t>
  </si>
  <si>
    <t>G0021985.JPG</t>
  </si>
  <si>
    <t>G0021986.JPG</t>
  </si>
  <si>
    <t>G0021987.JPG</t>
  </si>
  <si>
    <t>G0021988.JPG</t>
  </si>
  <si>
    <t>G0021989.JPG</t>
  </si>
  <si>
    <t>G0021990.JPG</t>
  </si>
  <si>
    <t>G0021991.JPG</t>
  </si>
  <si>
    <t>G0021992.JPG</t>
  </si>
  <si>
    <t>G0021993.JPG</t>
  </si>
  <si>
    <t>G0021994.JPG</t>
  </si>
  <si>
    <t>G0021995.JPG</t>
  </si>
  <si>
    <t>G0021996.JPG</t>
  </si>
  <si>
    <t>G0021997.JPG</t>
  </si>
  <si>
    <t>G0021998.JPG</t>
  </si>
  <si>
    <t>G0021999.JPG</t>
  </si>
  <si>
    <t>G0022000.JPG</t>
  </si>
  <si>
    <t>G0022001.JPG</t>
  </si>
  <si>
    <t>G0022002.JPG</t>
  </si>
  <si>
    <t>G0022003.JPG</t>
  </si>
  <si>
    <t>G0022004.JPG</t>
  </si>
  <si>
    <t>G0022005.JPG</t>
  </si>
  <si>
    <t>G0022006.JPG</t>
  </si>
  <si>
    <t>G0022007.JPG</t>
  </si>
  <si>
    <t>G0022008.JPG</t>
  </si>
  <si>
    <t>G0022009.JPG</t>
  </si>
  <si>
    <t>G0022010.JPG</t>
  </si>
  <si>
    <t>G0022011.JPG</t>
  </si>
  <si>
    <t>G0022012.JPG</t>
  </si>
  <si>
    <t>G0022013.JPG</t>
  </si>
  <si>
    <t>G0022014.JPG</t>
  </si>
  <si>
    <t>G0022015.JPG</t>
  </si>
  <si>
    <t>G0022016.JPG</t>
  </si>
  <si>
    <t>G0022017.JPG</t>
  </si>
  <si>
    <t>G0022018.JPG</t>
  </si>
  <si>
    <t>G0022019.JPG</t>
  </si>
  <si>
    <t>G0022020.JPG</t>
  </si>
  <si>
    <t>G0022021.JPG</t>
  </si>
  <si>
    <t>G0022022.JPG</t>
  </si>
  <si>
    <t>G0022023.JPG</t>
  </si>
  <si>
    <t>G0022024.JPG</t>
  </si>
  <si>
    <t>G0022025.JPG</t>
  </si>
  <si>
    <t>G0022026.JPG</t>
  </si>
  <si>
    <t>G0022027.JPG</t>
  </si>
  <si>
    <t>G0022028.JPG</t>
  </si>
  <si>
    <t>G0022029.JPG</t>
  </si>
  <si>
    <t>G0022030.JPG</t>
  </si>
  <si>
    <t>G0022031.JPG</t>
  </si>
  <si>
    <t>G0022032.JPG</t>
  </si>
  <si>
    <t>G0022033.JPG</t>
  </si>
  <si>
    <t>G0022034.JPG</t>
  </si>
  <si>
    <t>G0022035.JPG</t>
  </si>
  <si>
    <t>G0022036.JPG</t>
  </si>
  <si>
    <t>G0022037.JPG</t>
  </si>
  <si>
    <t>G0022038.JPG</t>
  </si>
  <si>
    <t>G0022039.JPG</t>
  </si>
  <si>
    <t>G0022040.JPG</t>
  </si>
  <si>
    <t>G0022041.JPG</t>
  </si>
  <si>
    <t>G0022042.JPG</t>
  </si>
  <si>
    <t>G0022043.JPG</t>
  </si>
  <si>
    <t>G0022044.JPG</t>
  </si>
  <si>
    <t>G0022045.JPG</t>
  </si>
  <si>
    <t>G0022046.JPG</t>
  </si>
  <si>
    <t>G0022047.JPG</t>
  </si>
  <si>
    <t>G0022048.JPG</t>
  </si>
  <si>
    <t>G0022049.JPG</t>
  </si>
  <si>
    <t>G0022050.JPG</t>
  </si>
  <si>
    <t>G0022051.JPG</t>
  </si>
  <si>
    <t>G0022052.JPG</t>
  </si>
  <si>
    <t>G0022053.JPG</t>
  </si>
  <si>
    <t>G0022054.JPG</t>
  </si>
  <si>
    <t>G0022055.JPG</t>
  </si>
  <si>
    <t>G0022056.JPG</t>
  </si>
  <si>
    <t>G0022057.JPG</t>
  </si>
  <si>
    <t>G0022058.JPG</t>
  </si>
  <si>
    <t>G0022059.JPG</t>
  </si>
  <si>
    <t>G0022060.JPG</t>
  </si>
  <si>
    <t>G0022061.JPG</t>
  </si>
  <si>
    <t>G0022062.JPG</t>
  </si>
  <si>
    <t>G0022063.JPG</t>
  </si>
  <si>
    <t>G0022064.JPG</t>
  </si>
  <si>
    <t>G0022065.JPG</t>
  </si>
  <si>
    <t>G0022066.JPG</t>
  </si>
  <si>
    <t>G0022067.JPG</t>
  </si>
  <si>
    <t>G0022068.JPG</t>
  </si>
  <si>
    <t>G0022069.JPG</t>
  </si>
  <si>
    <t>G0022070.JPG</t>
  </si>
  <si>
    <t>G0022071.JPG</t>
  </si>
  <si>
    <t>G0022072.JPG</t>
  </si>
  <si>
    <t>G0022073.JPG</t>
  </si>
  <si>
    <t>G0022074.JPG</t>
  </si>
  <si>
    <t>G0022075.JPG</t>
  </si>
  <si>
    <t>G0022076.JPG</t>
  </si>
  <si>
    <t>G0022077.JPG</t>
  </si>
  <si>
    <t>G0022078.JPG</t>
  </si>
  <si>
    <t>G0022079.JPG</t>
  </si>
  <si>
    <t>G0022080.JPG</t>
  </si>
  <si>
    <t>G0022081.JPG</t>
  </si>
  <si>
    <t>G0022082.JPG</t>
  </si>
  <si>
    <t>G0022083.JPG</t>
  </si>
  <si>
    <t>G0022084.JPG</t>
  </si>
  <si>
    <t>G0022085.JPG</t>
  </si>
  <si>
    <t>G0022086.JPG</t>
  </si>
  <si>
    <t>G0022087.JPG</t>
  </si>
  <si>
    <t>G0022088.JPG</t>
  </si>
  <si>
    <t>G0022089.JPG</t>
  </si>
  <si>
    <t>G0022090.JPG</t>
  </si>
  <si>
    <t>G0022091.JPG</t>
  </si>
  <si>
    <t>G0022092.JPG</t>
  </si>
  <si>
    <t>G0022093.JPG</t>
  </si>
  <si>
    <t>G0022094.JPG</t>
  </si>
  <si>
    <t>G0022095.JPG</t>
  </si>
  <si>
    <t>G0022096.JPG</t>
  </si>
  <si>
    <t>G0022097.JPG</t>
  </si>
  <si>
    <t>G0022098.JPG</t>
  </si>
  <si>
    <t>G0022099.JPG</t>
  </si>
  <si>
    <t>G0022100.JPG</t>
  </si>
  <si>
    <t>G0022101.JPG</t>
  </si>
  <si>
    <t>G0022102.JPG</t>
  </si>
  <si>
    <t>G0022103.JPG</t>
  </si>
  <si>
    <t>G0022104.JPG</t>
  </si>
  <si>
    <t>G0022105.JPG</t>
  </si>
  <si>
    <t>G0022106.JPG</t>
  </si>
  <si>
    <t>G0022107.JPG</t>
  </si>
  <si>
    <t>G0022108.JPG</t>
  </si>
  <si>
    <t>G0022109.JPG</t>
  </si>
  <si>
    <t>G0022110.JPG</t>
  </si>
  <si>
    <t>G0022111.JPG</t>
  </si>
  <si>
    <t>G0022112.JPG</t>
  </si>
  <si>
    <t>G0022113.JPG</t>
  </si>
  <si>
    <t>G0022114.JPG</t>
  </si>
  <si>
    <t>G0022115.JPG</t>
  </si>
  <si>
    <t>G0022116.JPG</t>
  </si>
  <si>
    <t>G0022117.JPG</t>
  </si>
  <si>
    <t>G0022118.JPG</t>
  </si>
  <si>
    <t>G0022119.JPG</t>
  </si>
  <si>
    <t>G0022120.JPG</t>
  </si>
  <si>
    <t>G0022121.JPG</t>
  </si>
  <si>
    <t>G0022122.JPG</t>
  </si>
  <si>
    <t>G0022123.JPG</t>
  </si>
  <si>
    <t>G0022124.JPG</t>
  </si>
  <si>
    <t>G0022125.JPG</t>
  </si>
  <si>
    <t>G0022126.JPG</t>
  </si>
  <si>
    <t>G0022127.JPG</t>
  </si>
  <si>
    <t>G0022128.JPG</t>
  </si>
  <si>
    <t>G0022129.JPG</t>
  </si>
  <si>
    <t>G0022130.JPG</t>
  </si>
  <si>
    <t>G0022131.JPG</t>
  </si>
  <si>
    <t>G0022132.JPG</t>
  </si>
  <si>
    <t>G0022133.JPG</t>
  </si>
  <si>
    <t>G0022134.JPG</t>
  </si>
  <si>
    <t>G0022135.JPG</t>
  </si>
  <si>
    <t>G0022136.JPG</t>
  </si>
  <si>
    <t>G0022137.JPG</t>
  </si>
  <si>
    <t>G0022138.JPG</t>
  </si>
  <si>
    <t>G0022139.JPG</t>
  </si>
  <si>
    <t>G0022140.JPG</t>
  </si>
  <si>
    <t>G0022141.JPG</t>
  </si>
  <si>
    <t>G0022142.JPG</t>
  </si>
  <si>
    <t>G0022143.JPG</t>
  </si>
  <si>
    <t>G0022144.JPG</t>
  </si>
  <si>
    <t>COLOR SAMPLE</t>
  </si>
  <si>
    <t>G0022145.JPG</t>
  </si>
  <si>
    <t>G0022146.JPG</t>
  </si>
  <si>
    <t>G0022147.JPG</t>
  </si>
  <si>
    <t>G0022148.JPG</t>
  </si>
  <si>
    <t>G0022149.JPG</t>
  </si>
  <si>
    <t>G0022150.JPG</t>
  </si>
  <si>
    <t>G0022151.JPG</t>
  </si>
  <si>
    <t>G0022152.JPG</t>
  </si>
  <si>
    <t>G0022153.JPG</t>
  </si>
  <si>
    <t>G0022154.JPG</t>
  </si>
  <si>
    <t>G0022155.JPG</t>
  </si>
  <si>
    <t>G0022156.JPG</t>
  </si>
  <si>
    <t>G0022157.JPG</t>
  </si>
  <si>
    <t>G0022158.JPG</t>
  </si>
  <si>
    <t>G0022159.JPG</t>
  </si>
  <si>
    <t>G0022160.JPG</t>
  </si>
  <si>
    <t>G0022161.JPG</t>
  </si>
  <si>
    <t>G0022162.JPG</t>
  </si>
  <si>
    <t>G0022163.JPG</t>
  </si>
  <si>
    <t>G0022164.JPG</t>
  </si>
  <si>
    <t>G0022165.JPG</t>
  </si>
  <si>
    <t>G0022166.JPG</t>
  </si>
  <si>
    <t>G0022167.JPG</t>
  </si>
  <si>
    <t>G0022168.JPG</t>
  </si>
  <si>
    <t>G0022169.JPG</t>
  </si>
  <si>
    <t>G0022170.JPG</t>
  </si>
  <si>
    <t>G0022171.JPG</t>
  </si>
  <si>
    <t>G0022172.JPG</t>
  </si>
  <si>
    <t>G0022173.JPG</t>
  </si>
  <si>
    <t>G0022174.JPG</t>
  </si>
  <si>
    <t>G0022175.JPG</t>
  </si>
  <si>
    <t>G0022176.JPG</t>
  </si>
  <si>
    <t>G0022177.JPG</t>
  </si>
  <si>
    <t>G0022178.JPG</t>
  </si>
  <si>
    <t>G0022179.JPG</t>
  </si>
  <si>
    <t>G0022180.JPG</t>
  </si>
  <si>
    <t>G0022181.JPG</t>
  </si>
  <si>
    <t>G0022182.JPG</t>
  </si>
  <si>
    <t>G0022183.JPG</t>
  </si>
  <si>
    <t>G0022184.JPG</t>
  </si>
  <si>
    <t>G0022185.JPG</t>
  </si>
  <si>
    <t>G0022186.JPG</t>
  </si>
  <si>
    <t>G0022187.JPG</t>
  </si>
  <si>
    <t>G0022188.JPG</t>
  </si>
  <si>
    <t>G0022189.JPG</t>
  </si>
  <si>
    <t>G0022190.JPG</t>
  </si>
  <si>
    <t>G0022191.JPG</t>
  </si>
  <si>
    <t>G0022192.JPG</t>
  </si>
  <si>
    <t>G0022193.JPG</t>
  </si>
  <si>
    <t>G0022194.JPG</t>
  </si>
  <si>
    <t>G0022195.JPG</t>
  </si>
  <si>
    <t>G0022196.JPG</t>
  </si>
  <si>
    <t>G0022197.JPG</t>
  </si>
  <si>
    <t>G0022198.JPG</t>
  </si>
  <si>
    <t>G0022199.JPG</t>
  </si>
  <si>
    <t>G0022200.JPG</t>
  </si>
  <si>
    <t>G0022201.JPG</t>
  </si>
  <si>
    <t>G0022202.JPG</t>
  </si>
  <si>
    <t>G0022203.JPG</t>
  </si>
  <si>
    <t>G0022204.JPG</t>
  </si>
  <si>
    <t>G0022205.JPG</t>
  </si>
  <si>
    <t>G0022206.JPG</t>
  </si>
  <si>
    <t>G0022207.JPG</t>
  </si>
  <si>
    <t>G0022208.JPG</t>
  </si>
  <si>
    <t>G0022209.JPG</t>
  </si>
  <si>
    <t>G0022210.JPG</t>
  </si>
  <si>
    <t>G0022211.JPG</t>
  </si>
  <si>
    <t>G0022212.JPG</t>
  </si>
  <si>
    <t>G0022213.JPG</t>
  </si>
  <si>
    <t>G0022214.JPG</t>
  </si>
  <si>
    <t>G0022215.JPG</t>
  </si>
  <si>
    <t>G0022216.JPG</t>
  </si>
  <si>
    <t>G0022217.JPG</t>
  </si>
  <si>
    <t>G0022218.JPG</t>
  </si>
  <si>
    <t>G0022219.JPG</t>
  </si>
  <si>
    <t>G0022220.JPG</t>
  </si>
  <si>
    <t>G0022221.JPG</t>
  </si>
  <si>
    <t>G0022222.JPG</t>
  </si>
  <si>
    <t>G0022223.JPG</t>
  </si>
  <si>
    <t>G0022224.JPG</t>
  </si>
  <si>
    <t>G0022225.JPG</t>
  </si>
  <si>
    <t>G0022226.JPG</t>
  </si>
  <si>
    <t>G0022227.JPG</t>
  </si>
  <si>
    <t>G0022228.JPG</t>
  </si>
  <si>
    <t>G0022229.JPG</t>
  </si>
  <si>
    <t>G0022230.JPG</t>
  </si>
  <si>
    <t>G0022231.JPG</t>
  </si>
  <si>
    <t>G0022232.JPG</t>
  </si>
  <si>
    <t>G0022233.JPG</t>
  </si>
  <si>
    <t>G0022234.JPG</t>
  </si>
  <si>
    <t>G0022235.JPG</t>
  </si>
  <si>
    <t>G0022236.JPG</t>
  </si>
  <si>
    <t>G0022237.JPG</t>
  </si>
  <si>
    <t>G0022238.JPG</t>
  </si>
  <si>
    <t>G0022239.JPG</t>
  </si>
  <si>
    <t>G0022240.JPG</t>
  </si>
  <si>
    <t>G0022241.JPG</t>
  </si>
  <si>
    <t>G0022242.JPG</t>
  </si>
  <si>
    <t>G0022243.JPG</t>
  </si>
  <si>
    <t>G0022244.JPG</t>
  </si>
  <si>
    <t>G0022245.JPG</t>
  </si>
  <si>
    <t>G0022246.JPG</t>
  </si>
  <si>
    <t>G0022247.JPG</t>
  </si>
  <si>
    <t>G0022248.JPG</t>
  </si>
  <si>
    <t>G0022249.JPG</t>
  </si>
  <si>
    <t>G0022250.JPG</t>
  </si>
  <si>
    <t>G0022251.JPG</t>
  </si>
  <si>
    <t>G0022252.JPG</t>
  </si>
  <si>
    <t>G0022253.JPG</t>
  </si>
  <si>
    <t>G0022254.JPG</t>
  </si>
  <si>
    <t>G0022255.JPG</t>
  </si>
  <si>
    <t>G0022256.JPG</t>
  </si>
  <si>
    <t>G0022257.JPG</t>
  </si>
  <si>
    <t>G0022258.JPG</t>
  </si>
  <si>
    <t>G0022259.JPG</t>
  </si>
  <si>
    <t>G0022260.JPG</t>
  </si>
  <si>
    <t>G0022261.JPG</t>
  </si>
  <si>
    <t>G0022262.JPG</t>
  </si>
  <si>
    <t>G0022263.JPG</t>
  </si>
  <si>
    <t>G0022264.JPG</t>
  </si>
  <si>
    <t>G0022265.JPG</t>
  </si>
  <si>
    <t>G0022266.JPG</t>
  </si>
  <si>
    <t>G0022267.JPG</t>
  </si>
  <si>
    <t>G0022268.JPG</t>
  </si>
  <si>
    <t>G0022269.JPG</t>
  </si>
  <si>
    <t>G0022270.JPG</t>
  </si>
  <si>
    <t>G0022271.JPG</t>
  </si>
  <si>
    <t>G0022272.JPG</t>
  </si>
  <si>
    <t>G0022273.JPG</t>
  </si>
  <si>
    <t>G0022274.JPG</t>
  </si>
  <si>
    <t>G0022275.JPG</t>
  </si>
  <si>
    <t>G0022276.JPG</t>
  </si>
  <si>
    <t>G0022277.JPG</t>
  </si>
  <si>
    <t>G0022278.JPG</t>
  </si>
  <si>
    <t>G0022279.JPG</t>
  </si>
  <si>
    <t>G0022280.JPG</t>
  </si>
  <si>
    <t>G0022281.JPG</t>
  </si>
  <si>
    <t>G0022282.JPG</t>
  </si>
  <si>
    <t>G0022283.JPG</t>
  </si>
  <si>
    <t>G0022284.JPG</t>
  </si>
  <si>
    <t>G0022285.JPG</t>
  </si>
  <si>
    <t>G0022286.JPG</t>
  </si>
  <si>
    <t>G0022287.JPG</t>
  </si>
  <si>
    <t>G0022288.JPG</t>
  </si>
  <si>
    <t>G0022289.JPG</t>
  </si>
  <si>
    <t>G0022290.JPG</t>
  </si>
  <si>
    <t>G0022291.JPG</t>
  </si>
  <si>
    <t>G0022292.JPG</t>
  </si>
  <si>
    <t>G0022293.JPG</t>
  </si>
  <si>
    <t>G0022294.JPG</t>
  </si>
  <si>
    <t>G0022295.JPG</t>
  </si>
  <si>
    <t>G0022296.JPG</t>
  </si>
  <si>
    <t>G0022297.JPG</t>
  </si>
  <si>
    <t>G0022298.JPG</t>
  </si>
  <si>
    <t>G0022299.JPG</t>
  </si>
  <si>
    <t>G0022300.JPG</t>
  </si>
  <si>
    <t>G0022301.JPG</t>
  </si>
  <si>
    <t>G0022302.JPG</t>
  </si>
  <si>
    <t>G0022303.JPG</t>
  </si>
  <si>
    <t>G0022304.JPG</t>
  </si>
  <si>
    <t>G0022305.JPG</t>
  </si>
  <si>
    <t>G0022306.JPG</t>
  </si>
  <si>
    <t>G0022307.JPG</t>
  </si>
  <si>
    <t>G0022308.JPG</t>
  </si>
  <si>
    <t>G0022309.JPG</t>
  </si>
  <si>
    <t>G0022310.JPG</t>
  </si>
  <si>
    <t>G0022311.JPG</t>
  </si>
  <si>
    <t>G0022312.JPG</t>
  </si>
  <si>
    <t>G0022313.JPG</t>
  </si>
  <si>
    <t>G0022314.JPG</t>
  </si>
  <si>
    <t>G0022315.JPG</t>
  </si>
  <si>
    <t>G0022316.JPG</t>
  </si>
  <si>
    <t>G0022317.JPG</t>
  </si>
  <si>
    <t>G0022318.JPG</t>
  </si>
  <si>
    <t>G0022319.JPG</t>
  </si>
  <si>
    <t>G0022320.JPG</t>
  </si>
  <si>
    <t>G0022321.JPG</t>
  </si>
  <si>
    <t>G0022322.JPG</t>
  </si>
  <si>
    <t>G0022323.JPG</t>
  </si>
  <si>
    <t>G0022324.JPG</t>
  </si>
  <si>
    <t>G0022325.JPG</t>
  </si>
  <si>
    <t>G0022326.JPG</t>
  </si>
  <si>
    <t>G0022327.JPG</t>
  </si>
  <si>
    <t>G0022328.JPG</t>
  </si>
  <si>
    <t>G0022329.JPG</t>
  </si>
  <si>
    <t>G0022330.JPG</t>
  </si>
  <si>
    <t>G0022331.JPG</t>
  </si>
  <si>
    <t>G0022332.JPG</t>
  </si>
  <si>
    <t>G0022333.JPG</t>
  </si>
  <si>
    <t>G0022334.JPG</t>
  </si>
  <si>
    <t>G0022335.JPG</t>
  </si>
  <si>
    <t>G0022336.JPG</t>
  </si>
  <si>
    <t>G0022337.JPG</t>
  </si>
  <si>
    <t>G0022338.JPG</t>
  </si>
  <si>
    <t>G0022339.JPG</t>
  </si>
  <si>
    <t>G0022340.JPG</t>
  </si>
  <si>
    <t>G0022341.JPG</t>
  </si>
  <si>
    <t>G0022342.JPG</t>
  </si>
  <si>
    <t>G0022343.JPG</t>
  </si>
  <si>
    <t>G0022344.JPG</t>
  </si>
  <si>
    <t>G0022345.JPG</t>
  </si>
  <si>
    <t>G0022346.JPG</t>
  </si>
  <si>
    <t>G0022347.JPG</t>
  </si>
  <si>
    <t>G0022348.JPG</t>
  </si>
  <si>
    <t>G0022349.JPG</t>
  </si>
  <si>
    <t>G0022350.JPG</t>
  </si>
  <si>
    <t>G0022351.JPG</t>
  </si>
  <si>
    <t>G0022352.JPG</t>
  </si>
  <si>
    <t>G0022353.JPG</t>
  </si>
  <si>
    <t>G0022354.JPG</t>
  </si>
  <si>
    <t>G0022355.JPG</t>
  </si>
  <si>
    <t>G0022356.JPG</t>
  </si>
  <si>
    <t>G0022357.JPG</t>
  </si>
  <si>
    <t>G0022358.JPG</t>
  </si>
  <si>
    <t>G0022359.JPG</t>
  </si>
  <si>
    <t>G0022360.JPG</t>
  </si>
  <si>
    <t>G0022361.JPG</t>
  </si>
  <si>
    <t>G0022362.JPG</t>
  </si>
  <si>
    <t>G0022363.JPG</t>
  </si>
  <si>
    <t>G0022364.JPG</t>
  </si>
  <si>
    <t>G0022365.JPG</t>
  </si>
  <si>
    <t>G0022366.JPG</t>
  </si>
  <si>
    <t>G0022367.JPG</t>
  </si>
  <si>
    <t>G0022368.JPG</t>
  </si>
  <si>
    <t>G0022369.JPG</t>
  </si>
  <si>
    <t>G0022370.JPG</t>
  </si>
  <si>
    <t>G0022371.JPG</t>
  </si>
  <si>
    <t>G0022372.JPG</t>
  </si>
  <si>
    <t>G0022373.JPG</t>
  </si>
  <si>
    <t>G0022374.JPG</t>
  </si>
  <si>
    <t>G0022375.JPG</t>
  </si>
  <si>
    <t>G0022376.JPG</t>
  </si>
  <si>
    <t>G0022377.JPG</t>
  </si>
  <si>
    <t>G0022378.JPG</t>
  </si>
  <si>
    <t>G0022379.JPG</t>
  </si>
  <si>
    <t>G0022380.JPG</t>
  </si>
  <si>
    <t>G0022381.JPG</t>
  </si>
  <si>
    <t>G0022382.JPG</t>
  </si>
  <si>
    <t>G0022383.JPG</t>
  </si>
  <si>
    <t>G0022384.JPG</t>
  </si>
  <si>
    <t>G0022385.JPG</t>
  </si>
  <si>
    <t>G0022386.JPG</t>
  </si>
  <si>
    <t>G0022387.JPG</t>
  </si>
  <si>
    <t>G0022388.JPG</t>
  </si>
  <si>
    <t>G0022389.JPG</t>
  </si>
  <si>
    <t>G0022390.JPG</t>
  </si>
  <si>
    <t>G0022391.JPG</t>
  </si>
  <si>
    <t>G0022392.JPG</t>
  </si>
  <si>
    <t>G0022393.JPG</t>
  </si>
  <si>
    <t>G0022394.JPG</t>
  </si>
  <si>
    <t>G0022395.JPG</t>
  </si>
  <si>
    <t>G0022396.JPG</t>
  </si>
  <si>
    <t>G0022397.JPG</t>
  </si>
  <si>
    <t>G0022398.JPG</t>
  </si>
  <si>
    <t>G0022399.JPG</t>
  </si>
  <si>
    <t>G0022400.JPG</t>
  </si>
  <si>
    <t>G0022401.JPG</t>
  </si>
  <si>
    <t>G0022402.JPG</t>
  </si>
  <si>
    <t>G0022403.JPG</t>
  </si>
  <si>
    <t>G0022404.JPG</t>
  </si>
  <si>
    <t>G0022405.JPG</t>
  </si>
  <si>
    <t>G0022406.JPG</t>
  </si>
  <si>
    <t>G0022407.JPG</t>
  </si>
  <si>
    <t>G0022408.JPG</t>
  </si>
  <si>
    <t>G0022409.JPG</t>
  </si>
  <si>
    <t>G0022410.JPG</t>
  </si>
  <si>
    <t>G0022411.JPG</t>
  </si>
  <si>
    <t>G0022412.JPG</t>
  </si>
  <si>
    <t>G0022413.JPG</t>
  </si>
  <si>
    <t>G0022414.JPG</t>
  </si>
  <si>
    <t>G0022415.JPG</t>
  </si>
  <si>
    <t>G0022416.JPG</t>
  </si>
  <si>
    <t>G0022417.JPG</t>
  </si>
  <si>
    <t>G0022418.JPG</t>
  </si>
  <si>
    <t>G0022419.JPG</t>
  </si>
  <si>
    <t>G0022420.JPG</t>
  </si>
  <si>
    <t>G0022421.JPG</t>
  </si>
  <si>
    <t>G0022422.JPG</t>
  </si>
  <si>
    <t>G0022423.JPG</t>
  </si>
  <si>
    <t>G0022424.JPG</t>
  </si>
  <si>
    <t>G0022425.JPG</t>
  </si>
  <si>
    <t>G0022426.JPG</t>
  </si>
  <si>
    <t>G0022427.JPG</t>
  </si>
  <si>
    <t>G0022428.JPG</t>
  </si>
  <si>
    <t>G0022429.JPG</t>
  </si>
  <si>
    <t>G0022430.JPG</t>
  </si>
  <si>
    <t>G0022431.JPG</t>
  </si>
  <si>
    <t>G0022432.JPG</t>
  </si>
  <si>
    <t>G0022433.JPG</t>
  </si>
  <si>
    <t>G0022434.JPG</t>
  </si>
  <si>
    <t>G0022435.JPG</t>
  </si>
  <si>
    <t>G0022436.JPG</t>
  </si>
  <si>
    <t>G0022437.JPG</t>
  </si>
  <si>
    <t>G0022438.JPG</t>
  </si>
  <si>
    <t>G0022439.JPG</t>
  </si>
  <si>
    <t>G0022440.JPG</t>
  </si>
  <si>
    <t>G0022441.JPG</t>
  </si>
  <si>
    <t>G0022442.JPG</t>
  </si>
  <si>
    <t>G0022443.JPG</t>
  </si>
  <si>
    <t>G0022444.JPG</t>
  </si>
  <si>
    <t>G0022445.JPG</t>
  </si>
  <si>
    <t>G0022446.JPG</t>
  </si>
  <si>
    <t>G0022447.JPG</t>
  </si>
  <si>
    <t>G0022448.JPG</t>
  </si>
  <si>
    <t>G0022449.JPG</t>
  </si>
  <si>
    <t>G0022450.JPG</t>
  </si>
  <si>
    <t>G0022451.JPG</t>
  </si>
  <si>
    <t>G0022452.JPG</t>
  </si>
  <si>
    <t>G0022453.JPG</t>
  </si>
  <si>
    <t>G0022454.JPG</t>
  </si>
  <si>
    <t>G0022455.JPG</t>
  </si>
  <si>
    <t>G0022456.JPG</t>
  </si>
  <si>
    <t>G0022457.JPG</t>
  </si>
  <si>
    <t>G0022458.JPG</t>
  </si>
  <si>
    <t>G0022459.JPG</t>
  </si>
  <si>
    <t>G0022460.JPG</t>
  </si>
  <si>
    <t>G0022461.JPG</t>
  </si>
  <si>
    <t>G0022462.JPG</t>
  </si>
  <si>
    <t>G0022463.JPG</t>
  </si>
  <si>
    <t>G0022464.JPG</t>
  </si>
  <si>
    <t>G0022465.JPG</t>
  </si>
  <si>
    <t>G0022466.JPG</t>
  </si>
  <si>
    <t>G0022467.JPG</t>
  </si>
  <si>
    <t>G0022468.JPG</t>
  </si>
  <si>
    <t>G0022469.JPG</t>
  </si>
  <si>
    <t>G0022470.JPG</t>
  </si>
  <si>
    <t>G0022471.JPG</t>
  </si>
  <si>
    <t>G0022472.JPG</t>
  </si>
  <si>
    <t>G0022473.JPG</t>
  </si>
  <si>
    <t>G0022474.JPG</t>
  </si>
  <si>
    <t>G0022475.JPG</t>
  </si>
  <si>
    <t>G0022476.JPG</t>
  </si>
  <si>
    <t>G0022477.JPG</t>
  </si>
  <si>
    <t>G0022478.JPG</t>
  </si>
  <si>
    <t>G0022479.JPG</t>
  </si>
  <si>
    <t>G0022480.JPG</t>
  </si>
  <si>
    <t>G0022481.JPG</t>
  </si>
  <si>
    <t>G0022482.JPG</t>
  </si>
  <si>
    <t>G0022483.JPG</t>
  </si>
  <si>
    <t>G0022484.JPG</t>
  </si>
  <si>
    <t>G0022485.JPG</t>
  </si>
  <si>
    <t>G0022486.JPG</t>
  </si>
  <si>
    <t>G0022487.JPG</t>
  </si>
  <si>
    <t>G0022488.JPG</t>
  </si>
  <si>
    <t>G0022489.JPG</t>
  </si>
  <si>
    <t>G0022490.JPG</t>
  </si>
  <si>
    <t>G0022491.JPG</t>
  </si>
  <si>
    <t>G0022492.JPG</t>
  </si>
  <si>
    <t>G0022493.JPG</t>
  </si>
  <si>
    <t>G0022494.JPG</t>
  </si>
  <si>
    <t>G0022495.JPG</t>
  </si>
  <si>
    <t>G0022496.JPG</t>
  </si>
  <si>
    <t>G0022497.JPG</t>
  </si>
  <si>
    <t>G0022498.JPG</t>
  </si>
  <si>
    <t>G0022499.JPG</t>
  </si>
  <si>
    <t>G0022500.JPG</t>
  </si>
  <si>
    <t>G0022501.JPG</t>
  </si>
  <si>
    <t>G0022502.JPG</t>
  </si>
  <si>
    <t>G0022503.JPG</t>
  </si>
  <si>
    <t>G0022504.JPG</t>
  </si>
  <si>
    <t>G0022505.JPG</t>
  </si>
  <si>
    <t>G0022506.JPG</t>
  </si>
  <si>
    <t>G0022507.JPG</t>
  </si>
  <si>
    <t>G0022508.JPG</t>
  </si>
  <si>
    <t>G0022509.JPG</t>
  </si>
  <si>
    <t>G0022510.JPG</t>
  </si>
  <si>
    <t>G0022511.JPG</t>
  </si>
  <si>
    <t>G0022512.JPG</t>
  </si>
  <si>
    <t>G0022513.JPG</t>
  </si>
  <si>
    <t>G0022514.JPG</t>
  </si>
  <si>
    <t>G0022515.JPG</t>
  </si>
  <si>
    <t>G0022516.JPG</t>
  </si>
  <si>
    <t>G0022517.JPG</t>
  </si>
  <si>
    <t>G0022518.JPG</t>
  </si>
  <si>
    <t>G0022519.JPG</t>
  </si>
  <si>
    <t>G0022520.JPG</t>
  </si>
  <si>
    <t>G0022521.JPG</t>
  </si>
  <si>
    <t>G0022522.JPG</t>
  </si>
  <si>
    <t>G0022523.JPG</t>
  </si>
  <si>
    <t>G0022524.JPG</t>
  </si>
  <si>
    <t>G0022525.JPG</t>
  </si>
  <si>
    <t>G0022526.JPG</t>
  </si>
  <si>
    <t>G0022527.JPG</t>
  </si>
  <si>
    <t>G0022528.JPG</t>
  </si>
  <si>
    <t>G0022529.JPG</t>
  </si>
  <si>
    <t>G0022530.JPG</t>
  </si>
  <si>
    <t>G0022531.JPG</t>
  </si>
  <si>
    <t>G0022532.JPG</t>
  </si>
  <si>
    <t>G0022533.JPG</t>
  </si>
  <si>
    <t>G0022534.JPG</t>
  </si>
  <si>
    <t>G0022535.JPG</t>
  </si>
  <si>
    <t>G0022536.JPG</t>
  </si>
  <si>
    <t>G0022537.JPG</t>
  </si>
  <si>
    <t>G0022538.JPG</t>
  </si>
  <si>
    <t>G0022539.JPG</t>
  </si>
  <si>
    <t>G0022540.JPG</t>
  </si>
  <si>
    <t>G0022541.JPG</t>
  </si>
  <si>
    <t>G0022542.JPG</t>
  </si>
  <si>
    <t>G0022543.JPG</t>
  </si>
  <si>
    <t>G0022544.JPG</t>
  </si>
  <si>
    <t>G0022545.JPG</t>
  </si>
  <si>
    <t>G0022546.JPG</t>
  </si>
  <si>
    <t>G0022547.JPG</t>
  </si>
  <si>
    <t>G0022548.JPG</t>
  </si>
  <si>
    <t>G0022549.JPG</t>
  </si>
  <si>
    <t>G0022550.JPG</t>
  </si>
  <si>
    <t>G0022551.JPG</t>
  </si>
  <si>
    <t>G0022552.JPG</t>
  </si>
  <si>
    <t>G0022553.JPG</t>
  </si>
  <si>
    <t>G0022554.JPG</t>
  </si>
  <si>
    <t>G0022555.JPG</t>
  </si>
  <si>
    <t>G0022556.JPG</t>
  </si>
  <si>
    <t>G0022557.JPG</t>
  </si>
  <si>
    <t>G0022558.JPG</t>
  </si>
  <si>
    <t>G0022559.JPG</t>
  </si>
  <si>
    <t>G0022560.JPG</t>
  </si>
  <si>
    <t>G0022561.JPG</t>
  </si>
  <si>
    <t>G0022562.JPG</t>
  </si>
  <si>
    <t>G0022563.JPG</t>
  </si>
  <si>
    <t>G0022564.JPG</t>
  </si>
  <si>
    <t>G0022565.JPG</t>
  </si>
  <si>
    <t>G0022566.JPG</t>
  </si>
  <si>
    <t>G0022567.JPG</t>
  </si>
  <si>
    <t>G0022568.JPG</t>
  </si>
  <si>
    <t>G0022569.JPG</t>
  </si>
  <si>
    <t>G0022570.JPG</t>
  </si>
  <si>
    <t>G0022571.JPG</t>
  </si>
  <si>
    <t>G0022572.JPG</t>
  </si>
  <si>
    <t>G0022573.JPG</t>
  </si>
  <si>
    <t>G0022574.JPG</t>
  </si>
  <si>
    <t>G0022575.JPG</t>
  </si>
  <si>
    <t>G0022576.JPG</t>
  </si>
  <si>
    <t>G0022577.JPG</t>
  </si>
  <si>
    <t>G0022578.JPG</t>
  </si>
  <si>
    <t>G0022579.JPG</t>
  </si>
  <si>
    <t>G0022580.JPG</t>
  </si>
  <si>
    <t>G0022581.JPG</t>
  </si>
  <si>
    <t>G0022582.JPG</t>
  </si>
  <si>
    <t>G0022583.JPG</t>
  </si>
  <si>
    <t>G0022584.JPG</t>
  </si>
  <si>
    <t>G0022585.JPG</t>
  </si>
  <si>
    <t>G0022586.JPG</t>
  </si>
  <si>
    <t>G0022587.JPG</t>
  </si>
  <si>
    <t>G0022588.JPG</t>
  </si>
  <si>
    <t>G0022589.JPG</t>
  </si>
  <si>
    <t>G0022590.JPG</t>
  </si>
  <si>
    <t>G0022591.JPG</t>
  </si>
  <si>
    <t>G0022592.JPG</t>
  </si>
  <si>
    <t>G0022593.JPG</t>
  </si>
  <si>
    <t>G0022594.JPG</t>
  </si>
  <si>
    <t>G0022595.JPG</t>
  </si>
  <si>
    <t>G0022596.JPG</t>
  </si>
  <si>
    <t>G0022597.JPG</t>
  </si>
  <si>
    <t>G0022598.JPG</t>
  </si>
  <si>
    <t>G0022599.JPG</t>
  </si>
  <si>
    <t>G0022600.JPG</t>
  </si>
  <si>
    <t>G0022601.JPG</t>
  </si>
  <si>
    <t>G0022602.JPG</t>
  </si>
  <si>
    <t>G0022603.JPG</t>
  </si>
  <si>
    <t>G0022604.JPG</t>
  </si>
  <si>
    <t>G0022605.JPG</t>
  </si>
  <si>
    <t>G0022606.JPG</t>
  </si>
  <si>
    <t>G0022607.JPG</t>
  </si>
  <si>
    <t>G0022608.JPG</t>
  </si>
  <si>
    <t>G0022609.JPG</t>
  </si>
  <si>
    <t>G0022610.JPG</t>
  </si>
  <si>
    <t>G0022611.JPG</t>
  </si>
  <si>
    <t>G0022612.JPG</t>
  </si>
  <si>
    <t>G0022613.JPG</t>
  </si>
  <si>
    <t>G0022614.JPG</t>
  </si>
  <si>
    <t>G0022615.JPG</t>
  </si>
  <si>
    <t>G0022616.JPG</t>
  </si>
  <si>
    <t>G0022617.JPG</t>
  </si>
  <si>
    <t>G0022618.JPG</t>
  </si>
  <si>
    <t>G0022619.JPG</t>
  </si>
  <si>
    <t>G0022620.JPG</t>
  </si>
  <si>
    <t>G0022621.JPG</t>
  </si>
  <si>
    <t>G0022622.JPG</t>
  </si>
  <si>
    <t>G0022623.JPG</t>
  </si>
  <si>
    <t>G0022624.JPG</t>
  </si>
  <si>
    <t>G0022625.JPG</t>
  </si>
  <si>
    <t>G0022626.JPG</t>
  </si>
  <si>
    <t>G0022627.JPG</t>
  </si>
  <si>
    <t>G0022628.JPG</t>
  </si>
  <si>
    <t>G0022629.JPG</t>
  </si>
  <si>
    <t>G0022630.JPG</t>
  </si>
  <si>
    <t>G0022631.JPG</t>
  </si>
  <si>
    <t>G0022632.JPG</t>
  </si>
  <si>
    <t>G0022633.JPG</t>
  </si>
  <si>
    <t>G0022634.JPG</t>
  </si>
  <si>
    <t>G0022635.JPG</t>
  </si>
  <si>
    <t>G0022636.JPG</t>
  </si>
  <si>
    <t>G0022637.JPG</t>
  </si>
  <si>
    <t>G0022638.JPG</t>
  </si>
  <si>
    <t>G0022639.JPG</t>
  </si>
  <si>
    <t>G0022640.JPG</t>
  </si>
  <si>
    <t>G0022641.JPG</t>
  </si>
  <si>
    <t>G0022642.JPG</t>
  </si>
  <si>
    <t>G0022643.JPG</t>
  </si>
  <si>
    <t>G0022644.JPG</t>
  </si>
  <si>
    <t>G0022645.JPG</t>
  </si>
  <si>
    <t>G0022646.JPG</t>
  </si>
  <si>
    <t>G0022647.JPG</t>
  </si>
  <si>
    <t>G0022648.JPG</t>
  </si>
  <si>
    <t>G0022649.JPG</t>
  </si>
  <si>
    <t>G0022650.JPG</t>
  </si>
  <si>
    <t>G0022651.JPG</t>
  </si>
  <si>
    <t>G0022652.JPG</t>
  </si>
  <si>
    <t>G0022653.JPG</t>
  </si>
  <si>
    <t>G0022654.JPG</t>
  </si>
  <si>
    <t>G0022655.JPG</t>
  </si>
  <si>
    <t>G0022656.JPG</t>
  </si>
  <si>
    <t>G0022657.JPG</t>
  </si>
  <si>
    <t>G0022658.JPG</t>
  </si>
  <si>
    <t>G0022659.JPG</t>
  </si>
  <si>
    <t>G0022660.JPG</t>
  </si>
  <si>
    <t>G0022661.JPG</t>
  </si>
  <si>
    <t>G0022662.JPG</t>
  </si>
  <si>
    <t>G0022663.JPG</t>
  </si>
  <si>
    <t>G0022664.JPG</t>
  </si>
  <si>
    <t>G0022665.JPG</t>
  </si>
  <si>
    <t>G0022666.JPG</t>
  </si>
  <si>
    <t>G0022667.JPG</t>
  </si>
  <si>
    <t>G0022668.JPG</t>
  </si>
  <si>
    <t>G0022669.JPG</t>
  </si>
  <si>
    <t>G0022670.JPG</t>
  </si>
  <si>
    <t>G0022671.JPG</t>
  </si>
  <si>
    <t>G0022672.JPG</t>
  </si>
  <si>
    <t>G0022673.JPG</t>
  </si>
  <si>
    <t>G0022674.JPG</t>
  </si>
  <si>
    <t>G0022675.JPG</t>
  </si>
  <si>
    <t>G0022676.JPG</t>
  </si>
  <si>
    <t>G0022677.JPG</t>
  </si>
  <si>
    <t>G0022678.JPG</t>
  </si>
  <si>
    <t>G0022679.JPG</t>
  </si>
  <si>
    <t>G0022680.JPG</t>
  </si>
  <si>
    <t>G0022681.JPG</t>
  </si>
  <si>
    <t>G0022682.JPG</t>
  </si>
  <si>
    <t>G0022683.JPG</t>
  </si>
  <si>
    <t>G0022684.JPG</t>
  </si>
  <si>
    <t>G0022685.JPG</t>
  </si>
  <si>
    <t>G0022686.JPG</t>
  </si>
  <si>
    <t>G0022687.JPG</t>
  </si>
  <si>
    <t>G0022688.JPG</t>
  </si>
  <si>
    <t>G0022689.JPG</t>
  </si>
  <si>
    <t>G0022690.JPG</t>
  </si>
  <si>
    <t>G0022691.JPG</t>
  </si>
  <si>
    <t>G0022692.JPG</t>
  </si>
  <si>
    <t>G0022693.JPG</t>
  </si>
  <si>
    <t>G0022694.JPG</t>
  </si>
  <si>
    <t>G0022695.JPG</t>
  </si>
  <si>
    <t>G0022696.JPG</t>
  </si>
  <si>
    <t>G0022697.JPG</t>
  </si>
  <si>
    <t>G0022698.JPG</t>
  </si>
  <si>
    <t>G0022699.JPG</t>
  </si>
  <si>
    <t>G0022700.JPG</t>
  </si>
  <si>
    <t>G0022701.JPG</t>
  </si>
  <si>
    <t>G0022702.JPG</t>
  </si>
  <si>
    <t>G0022703.JPG</t>
  </si>
  <si>
    <t>G0022704.JPG</t>
  </si>
  <si>
    <t>G0022705.JPG</t>
  </si>
  <si>
    <t>G0022706.JPG</t>
  </si>
  <si>
    <t>G0022707.JPG</t>
  </si>
  <si>
    <t>G0022708.JPG</t>
  </si>
  <si>
    <t>G0022709.JPG</t>
  </si>
  <si>
    <t>G0022710.JPG</t>
  </si>
  <si>
    <t>G0022711.JPG</t>
  </si>
  <si>
    <t>G0022712.JPG</t>
  </si>
  <si>
    <t>G0022713.JPG</t>
  </si>
  <si>
    <t>G0022714.JPG</t>
  </si>
  <si>
    <t>G0022715.JPG</t>
  </si>
  <si>
    <t>G0022716.JPG</t>
  </si>
  <si>
    <t>G0022717.JPG</t>
  </si>
  <si>
    <t>G0022718.JPG</t>
  </si>
  <si>
    <t>G0022719.JPG</t>
  </si>
  <si>
    <t>G0022720.JPG</t>
  </si>
  <si>
    <t>G0022721.JPG</t>
  </si>
  <si>
    <t>G0022722.JPG</t>
  </si>
  <si>
    <t>G0022723.JPG</t>
  </si>
  <si>
    <t>G0022724.JPG</t>
  </si>
  <si>
    <t>G0022725.JPG</t>
  </si>
  <si>
    <t>G0022726.JPG</t>
  </si>
  <si>
    <t>G0022727.JPG</t>
  </si>
  <si>
    <t>G0022728.JPG</t>
  </si>
  <si>
    <t>G0022729.JPG</t>
  </si>
  <si>
    <t>G0022730.JPG</t>
  </si>
  <si>
    <t>G0022731.JPG</t>
  </si>
  <si>
    <t>G0022732.JPG</t>
  </si>
  <si>
    <t>G0022733.JPG</t>
  </si>
  <si>
    <t>G0022734.JPG</t>
  </si>
  <si>
    <t>G0022735.JPG</t>
  </si>
  <si>
    <t>G0022736.JPG</t>
  </si>
  <si>
    <t>G0022737.JPG</t>
  </si>
  <si>
    <t>G0022738.JPG</t>
  </si>
  <si>
    <t>G0022739.JPG</t>
  </si>
  <si>
    <t>G0022740.JPG</t>
  </si>
  <si>
    <t>G0022741.JPG</t>
  </si>
  <si>
    <t>G0022742.JPG</t>
  </si>
  <si>
    <t>G0022743.JPG</t>
  </si>
  <si>
    <t>G0022744.JPG</t>
  </si>
  <si>
    <t>G0022745.JPG</t>
  </si>
  <si>
    <t>G0022746.JPG</t>
  </si>
  <si>
    <t>G0022747.JPG</t>
  </si>
  <si>
    <t>G0022748.JPG</t>
  </si>
  <si>
    <t>G0022749.JPG</t>
  </si>
  <si>
    <t>G0022750.JPG</t>
  </si>
  <si>
    <t>G0022751.JPG</t>
  </si>
  <si>
    <t>G0022752.JPG</t>
  </si>
  <si>
    <t>G0022753.JPG</t>
  </si>
  <si>
    <t>G0022754.JPG</t>
  </si>
  <si>
    <t>G0022755.JPG</t>
  </si>
  <si>
    <t>G0022756.JPG</t>
  </si>
  <si>
    <t>G0022757.JPG</t>
  </si>
  <si>
    <t>G0022758.JPG</t>
  </si>
  <si>
    <t>G0022759.JPG</t>
  </si>
  <si>
    <t>G0022760.JPG</t>
  </si>
  <si>
    <t>G0022761.JPG</t>
  </si>
  <si>
    <t>G0022762.JPG</t>
  </si>
  <si>
    <t>G0022763.JPG</t>
  </si>
  <si>
    <t>G0022764.JPG</t>
  </si>
  <si>
    <t>G0022765.JPG</t>
  </si>
  <si>
    <t>G0022766.JPG</t>
  </si>
  <si>
    <t>G0022767.JPG</t>
  </si>
  <si>
    <t>G0022768.JPG</t>
  </si>
  <si>
    <t>G0022769.JPG</t>
  </si>
  <si>
    <t>G0022770.JPG</t>
  </si>
  <si>
    <t>G0022771.JPG</t>
  </si>
  <si>
    <t>G0022772.JPG</t>
  </si>
  <si>
    <t>G0022773.JPG</t>
  </si>
  <si>
    <t>G0022774.JPG</t>
  </si>
  <si>
    <t>G0022775.JPG</t>
  </si>
  <si>
    <t>G0022776.JPG</t>
  </si>
  <si>
    <t>G0022777.JPG</t>
  </si>
  <si>
    <t>G0022778.JPG</t>
  </si>
  <si>
    <t>G0022779.JPG</t>
  </si>
  <si>
    <t>G0022780.JPG</t>
  </si>
  <si>
    <t>G0022781.JPG</t>
  </si>
  <si>
    <t>G0022782.JPG</t>
  </si>
  <si>
    <t>G0022783.JPG</t>
  </si>
  <si>
    <t>G0022784.JPG</t>
  </si>
  <si>
    <t>G0022785.JPG</t>
  </si>
  <si>
    <t>G0022786.JPG</t>
  </si>
  <si>
    <t>G0022787.JPG</t>
  </si>
  <si>
    <t>G0022788.JPG</t>
  </si>
  <si>
    <t>G0022789.JPG</t>
  </si>
  <si>
    <t>G0022790.JPG</t>
  </si>
  <si>
    <t>G0022791.JPG</t>
  </si>
  <si>
    <t>G0022792.JPG</t>
  </si>
  <si>
    <t>G0022793.JPG</t>
  </si>
  <si>
    <t>G0022794.JPG</t>
  </si>
  <si>
    <t>G0022795.JPG</t>
  </si>
  <si>
    <t>G0022796.JPG</t>
  </si>
  <si>
    <t>G0022797.JPG</t>
  </si>
  <si>
    <t>G0022798.JPG</t>
  </si>
  <si>
    <t>G0022799.JPG</t>
  </si>
  <si>
    <t>G0022800.JPG</t>
  </si>
  <si>
    <t>G0022801.JPG</t>
  </si>
  <si>
    <t>G0022802.JPG</t>
  </si>
  <si>
    <t>G0022803.JPG</t>
  </si>
  <si>
    <t>G0022804.JPG</t>
  </si>
  <si>
    <t>G0022805.JPG</t>
  </si>
  <si>
    <t>G0022806.JPG</t>
  </si>
  <si>
    <t>G0022807.JPG</t>
  </si>
  <si>
    <t>G0022808.JPG</t>
  </si>
  <si>
    <t>G0022809.JPG</t>
  </si>
  <si>
    <t>G0022810.JPG</t>
  </si>
  <si>
    <t>G0022811.JPG</t>
  </si>
  <si>
    <t>G0022812.JPG</t>
  </si>
  <si>
    <t>G0022813.JPG</t>
  </si>
  <si>
    <t>G0022814.JPG</t>
  </si>
  <si>
    <t>G0022815.JPG</t>
  </si>
  <si>
    <t>G0022816.JPG</t>
  </si>
  <si>
    <t>G0022817.JPG</t>
  </si>
  <si>
    <t>G0022818.JPG</t>
  </si>
  <si>
    <t>G0022819.JPG</t>
  </si>
  <si>
    <t>G0022820.JPG</t>
  </si>
  <si>
    <t>G0022821.JPG</t>
  </si>
  <si>
    <t>G0022822.JPG</t>
  </si>
  <si>
    <t>G0022823.JPG</t>
  </si>
  <si>
    <t>G0022824.JPG</t>
  </si>
  <si>
    <t>G0022825.JPG</t>
  </si>
  <si>
    <t>G0022826.JPG</t>
  </si>
  <si>
    <t>G0022827.JPG</t>
  </si>
  <si>
    <t>G0022828.JPG</t>
  </si>
  <si>
    <t>G0022829.JPG</t>
  </si>
  <si>
    <t>G0022830.JPG</t>
  </si>
  <si>
    <t>G0022831.JPG</t>
  </si>
  <si>
    <t>G0022832.JPG</t>
  </si>
  <si>
    <t>G0022833.JPG</t>
  </si>
  <si>
    <t>G0022834.JPG</t>
  </si>
  <si>
    <t>G0022835.JPG</t>
  </si>
  <si>
    <t>G0022836.JPG</t>
  </si>
  <si>
    <t>G0022837.JPG</t>
  </si>
  <si>
    <t>G0022838.JPG</t>
  </si>
  <si>
    <t>G0022839.JPG</t>
  </si>
  <si>
    <t>G0022840.JPG</t>
  </si>
  <si>
    <t>G0022841.JPG</t>
  </si>
  <si>
    <t>G0022842.JPG</t>
  </si>
  <si>
    <t>G0022843.JPG</t>
  </si>
  <si>
    <t>G0022844.JPG</t>
  </si>
  <si>
    <t>G0022845.JPG</t>
  </si>
  <si>
    <t>G0022846.JPG</t>
  </si>
  <si>
    <t>G0022847.JPG</t>
  </si>
  <si>
    <t>G0022848.JPG</t>
  </si>
  <si>
    <t>G0022849.JPG</t>
  </si>
  <si>
    <t>G0022850.JPG</t>
  </si>
  <si>
    <t>G0022851.JPG</t>
  </si>
  <si>
    <t>G0022852.JPG</t>
  </si>
  <si>
    <t>G0022853.JPG</t>
  </si>
  <si>
    <t>G0022854.JPG</t>
  </si>
  <si>
    <t>G0022855.JPG</t>
  </si>
  <si>
    <t>G0022856.JPG</t>
  </si>
  <si>
    <t>G0022857.JPG</t>
  </si>
  <si>
    <t>G0022858.JPG</t>
  </si>
  <si>
    <t>G0022859.JPG</t>
  </si>
  <si>
    <t>G0022860.JPG</t>
  </si>
  <si>
    <t>G0022861.JPG</t>
  </si>
  <si>
    <t>G0022862.JPG</t>
  </si>
  <si>
    <t>G0022863.JPG</t>
  </si>
  <si>
    <t>G0022864.JPG</t>
  </si>
  <si>
    <t>G0022865.JPG</t>
  </si>
  <si>
    <t>G0022866.JPG</t>
  </si>
  <si>
    <t>G0022867.JPG</t>
  </si>
  <si>
    <t>G0022868.JPG</t>
  </si>
  <si>
    <t>G0022869.JPG</t>
  </si>
  <si>
    <t>G0022870.JPG</t>
  </si>
  <si>
    <t>G0022871.JPG</t>
  </si>
  <si>
    <t>G0022872.JPG</t>
  </si>
  <si>
    <t>G0022873.JPG</t>
  </si>
  <si>
    <t>G0022874.JPG</t>
  </si>
  <si>
    <t>G0022875.JPG</t>
  </si>
  <si>
    <t>G0022876.JPG</t>
  </si>
  <si>
    <t>G0022877.JPG</t>
  </si>
  <si>
    <t>G0022878.JPG</t>
  </si>
  <si>
    <t>G0022879.JPG</t>
  </si>
  <si>
    <t>G0022880.JPG</t>
  </si>
  <si>
    <t>G0022881.JPG</t>
  </si>
  <si>
    <t>G0022882.JPG</t>
  </si>
  <si>
    <t>G0022883.JPG</t>
  </si>
  <si>
    <t>G0022884.JPG</t>
  </si>
  <si>
    <t>G0022885.JPG</t>
  </si>
  <si>
    <t>G0022886.JPG</t>
  </si>
  <si>
    <t>G0022887.JPG</t>
  </si>
  <si>
    <t>G0022888.JPG</t>
  </si>
  <si>
    <t>G0022889.JPG</t>
  </si>
  <si>
    <t>G0022890.JPG</t>
  </si>
  <si>
    <t>G0022891.JPG</t>
  </si>
  <si>
    <t>G0022892.JPG</t>
  </si>
  <si>
    <t>G0022893.JPG</t>
  </si>
  <si>
    <t>G0022894.JPG</t>
  </si>
  <si>
    <t>G0022895.JPG</t>
  </si>
  <si>
    <t>G0022896.JPG</t>
  </si>
  <si>
    <t>G0022897.JPG</t>
  </si>
  <si>
    <t>G0022898.JPG</t>
  </si>
  <si>
    <t>G0022899.JPG</t>
  </si>
  <si>
    <t>G0022900.JPG</t>
  </si>
  <si>
    <t>G0022901.JPG</t>
  </si>
  <si>
    <t>G0022902.JPG</t>
  </si>
  <si>
    <t>G0022903.JPG</t>
  </si>
  <si>
    <t>G0022904.JPG</t>
  </si>
  <si>
    <t>G0022905.JPG</t>
  </si>
  <si>
    <t>G0022906.JPG</t>
  </si>
  <si>
    <t>G0022907.JPG</t>
  </si>
  <si>
    <t>G0022908.JPG</t>
  </si>
  <si>
    <t>G0022909.JPG</t>
  </si>
  <si>
    <t>G0022910.JPG</t>
  </si>
  <si>
    <t>G0022911.JPG</t>
  </si>
  <si>
    <t>G0022912.JPG</t>
  </si>
  <si>
    <t>G0022913.JPG</t>
  </si>
  <si>
    <t>G0022914.JPG</t>
  </si>
  <si>
    <t>G0022915.JPG</t>
  </si>
  <si>
    <t>G0022916.JPG</t>
  </si>
  <si>
    <t>G0022917.JPG</t>
  </si>
  <si>
    <t>G0022918.JPG</t>
  </si>
  <si>
    <t>G0022919.JPG</t>
  </si>
  <si>
    <t>G0022920.JPG</t>
  </si>
  <si>
    <t>G0022921.JPG</t>
  </si>
  <si>
    <t>G0022922.JPG</t>
  </si>
  <si>
    <t>G0022923.JPG</t>
  </si>
  <si>
    <t>G0022924.JPG</t>
  </si>
  <si>
    <t>G0022925.JPG</t>
  </si>
  <si>
    <t>G0022926.JPG</t>
  </si>
  <si>
    <t>G0022927.JPG</t>
  </si>
  <si>
    <t>G0022928.JPG</t>
  </si>
  <si>
    <t>G0022929.JPG</t>
  </si>
  <si>
    <t>G0022930.JPG</t>
  </si>
  <si>
    <t>G0022931.JPG</t>
  </si>
  <si>
    <t>G0022932.JPG</t>
  </si>
  <si>
    <t>G0022933.JPG</t>
  </si>
  <si>
    <t>G0022934.JPG</t>
  </si>
  <si>
    <t>G0022935.JPG</t>
  </si>
  <si>
    <t>G0022936.JPG</t>
  </si>
  <si>
    <t>G0022937.JPG</t>
  </si>
  <si>
    <t>G0022938.JPG</t>
  </si>
  <si>
    <t>G0022939.JPG</t>
  </si>
  <si>
    <t>G0022940.JPG</t>
  </si>
  <si>
    <t>G0022941.JPG</t>
  </si>
  <si>
    <t>G0022942.JPG</t>
  </si>
  <si>
    <t>G0022943.JPG</t>
  </si>
  <si>
    <t>G0022944.JPG</t>
  </si>
  <si>
    <t>G0022945.JPG</t>
  </si>
  <si>
    <t>G0022946.JPG</t>
  </si>
  <si>
    <t>G0022947.JPG</t>
  </si>
  <si>
    <t>G0022948.JPG</t>
  </si>
  <si>
    <t>G0022949.JPG</t>
  </si>
  <si>
    <t>G0022950.JPG</t>
  </si>
  <si>
    <t>G0022951.JPG</t>
  </si>
  <si>
    <t>G0022952.JPG</t>
  </si>
  <si>
    <t>G0022953.JPG</t>
  </si>
  <si>
    <t>G0022954.JPG</t>
  </si>
  <si>
    <t>G0022955.JPG</t>
  </si>
  <si>
    <t>G0022956.JPG</t>
  </si>
  <si>
    <t>G0022957.JPG</t>
  </si>
  <si>
    <t>G0022958.JPG</t>
  </si>
  <si>
    <t>G0022959.JPG</t>
  </si>
  <si>
    <t>G0022960.JPG</t>
  </si>
  <si>
    <t>G0022961.JPG</t>
  </si>
  <si>
    <t>G0022962.JPG</t>
  </si>
  <si>
    <t>G0022963.JPG</t>
  </si>
  <si>
    <t>G0022964.JPG</t>
  </si>
  <si>
    <t>G0022965.JPG</t>
  </si>
  <si>
    <t>G0022966.JPG</t>
  </si>
  <si>
    <t>G0022967.JPG</t>
  </si>
  <si>
    <t>G0022968.JPG</t>
  </si>
  <si>
    <t>G0022969.JPG</t>
  </si>
  <si>
    <t>G0022970.JPG</t>
  </si>
  <si>
    <t>G0022971.JPG</t>
  </si>
  <si>
    <t>G0022972.JPG</t>
  </si>
  <si>
    <t>G0022973.JPG</t>
  </si>
  <si>
    <t>G0022974.JPG</t>
  </si>
  <si>
    <t>G0022975.JPG</t>
  </si>
  <si>
    <t>G0022976.JPG</t>
  </si>
  <si>
    <t>G0022977.JPG</t>
  </si>
  <si>
    <t>G0022978.JPG</t>
  </si>
  <si>
    <t>G0022979.JPG</t>
  </si>
  <si>
    <t>G0022980.JPG</t>
  </si>
  <si>
    <t>G0022981.JPG</t>
  </si>
  <si>
    <t>G0022982.JPG</t>
  </si>
  <si>
    <t>G0022983.JPG</t>
  </si>
  <si>
    <t>G0022984.JPG</t>
  </si>
  <si>
    <t>G0022985.JPG</t>
  </si>
  <si>
    <t>G0022986.JPG</t>
  </si>
  <si>
    <t>G0022987.JPG</t>
  </si>
  <si>
    <t>G0022988.JPG</t>
  </si>
  <si>
    <t>G0022989.JPG</t>
  </si>
  <si>
    <t>G0022990.JPG</t>
  </si>
  <si>
    <t>G0022991.JPG</t>
  </si>
  <si>
    <t>G0022992.JPG</t>
  </si>
  <si>
    <t>G0022993.JPG</t>
  </si>
  <si>
    <t>G0022994.JPG</t>
  </si>
  <si>
    <t>G0022995.JPG</t>
  </si>
  <si>
    <t>G0022996.JPG</t>
  </si>
  <si>
    <t>G0022997.JPG</t>
  </si>
  <si>
    <t>G0022998.JPG</t>
  </si>
  <si>
    <t>G0022999.JPG</t>
  </si>
  <si>
    <t>G0023000.JPG</t>
  </si>
  <si>
    <t>G0023001.JPG</t>
  </si>
  <si>
    <t>G0023002.JPG</t>
  </si>
  <si>
    <t>G0023003.JPG</t>
  </si>
  <si>
    <t>G0023004.JPG</t>
  </si>
  <si>
    <t>G0023005.JPG</t>
  </si>
  <si>
    <t>G0023006.JPG</t>
  </si>
  <si>
    <t>G0023007.JPG</t>
  </si>
  <si>
    <t>G0023008.JPG</t>
  </si>
  <si>
    <t>G0023009.JPG</t>
  </si>
  <si>
    <t>G0023010.JPG</t>
  </si>
  <si>
    <t>G0023011.JPG</t>
  </si>
  <si>
    <t>G0023012.JPG</t>
  </si>
  <si>
    <t>G0023013.JPG</t>
  </si>
  <si>
    <t>G0023014.JPG</t>
  </si>
  <si>
    <t>G0023015.JPG</t>
  </si>
  <si>
    <t>G0023016.JPG</t>
  </si>
  <si>
    <t>G0023017.JPG</t>
  </si>
  <si>
    <t>G0023018.JPG</t>
  </si>
  <si>
    <t>G0023019.JPG</t>
  </si>
  <si>
    <t>G0023020.JPG</t>
  </si>
  <si>
    <t>G0023021.JPG</t>
  </si>
  <si>
    <t>G0023022.JPG</t>
  </si>
  <si>
    <t>G0023023.JPG</t>
  </si>
  <si>
    <t>G0023024.JPG</t>
  </si>
  <si>
    <t>G0023025.JPG</t>
  </si>
  <si>
    <t>G0023026.JPG</t>
  </si>
  <si>
    <t>G0023027.JPG</t>
  </si>
  <si>
    <t>G0023028.JPG</t>
  </si>
  <si>
    <t>G0023029.JPG</t>
  </si>
  <si>
    <t>G0023030.JPG</t>
  </si>
  <si>
    <t>G0023031.JPG</t>
  </si>
  <si>
    <t>G0023032.JPG</t>
  </si>
  <si>
    <t>G0023033.JPG</t>
  </si>
  <si>
    <t>G0023034.JPG</t>
  </si>
  <si>
    <t>G0023035.JPG</t>
  </si>
  <si>
    <t>G0023036.JPG</t>
  </si>
  <si>
    <t>G0023037.JPG</t>
  </si>
  <si>
    <t>G0023038.JPG</t>
  </si>
  <si>
    <t>G0023039.JPG</t>
  </si>
  <si>
    <t>G0023040.JPG</t>
  </si>
  <si>
    <t>G0023041.JPG</t>
  </si>
  <si>
    <t>G0023042.JPG</t>
  </si>
  <si>
    <t>G0023043.JPG</t>
  </si>
  <si>
    <t>G0023044.JPG</t>
  </si>
  <si>
    <t>G0023045.JPG</t>
  </si>
  <si>
    <t>G0023046.JPG</t>
  </si>
  <si>
    <t>G0023047.JPG</t>
  </si>
  <si>
    <t>G0023048.JPG</t>
  </si>
  <si>
    <t>G0023049.JPG</t>
  </si>
  <si>
    <t>G0023050.JPG</t>
  </si>
  <si>
    <t>G0023051.JPG</t>
  </si>
  <si>
    <t>G0023052.JPG</t>
  </si>
  <si>
    <t>G0023053.JPG</t>
  </si>
  <si>
    <t>G0023054.JPG</t>
  </si>
  <si>
    <t>G0023055.JPG</t>
  </si>
  <si>
    <t>G0023056.JPG</t>
  </si>
  <si>
    <t>G0023057.JPG</t>
  </si>
  <si>
    <t>G0023058.JPG</t>
  </si>
  <si>
    <t>G0023059.JPG</t>
  </si>
  <si>
    <t>G0023060.JPG</t>
  </si>
  <si>
    <t>G0023061.JPG</t>
  </si>
  <si>
    <t>G0023062.JPG</t>
  </si>
  <si>
    <t>G0023063.JPG</t>
  </si>
  <si>
    <t>G0023064.JPG</t>
  </si>
  <si>
    <t>G0023065.JPG</t>
  </si>
  <si>
    <t>G0023066.JPG</t>
  </si>
  <si>
    <t>G0023067.JPG</t>
  </si>
  <si>
    <t>G0023068.JPG</t>
  </si>
  <si>
    <t>G0023069.JPG</t>
  </si>
  <si>
    <t>G0023070.JPG</t>
  </si>
  <si>
    <t>G0023071.JPG</t>
  </si>
  <si>
    <t>G0023072.JPG</t>
  </si>
  <si>
    <t>G0023073.JPG</t>
  </si>
  <si>
    <t>G0023074.JPG</t>
  </si>
  <si>
    <t>G0023075.JPG</t>
  </si>
  <si>
    <t>G0023076.JPG</t>
  </si>
  <si>
    <t>G0023077.JPG</t>
  </si>
  <si>
    <t>G0023078.JPG</t>
  </si>
  <si>
    <t>G0023079.JPG</t>
  </si>
  <si>
    <t>G0023080.JPG</t>
  </si>
  <si>
    <t>G0023081.JPG</t>
  </si>
  <si>
    <t>G0023082.JPG</t>
  </si>
  <si>
    <t>G0023083.JPG</t>
  </si>
  <si>
    <t>G0023084.JPG</t>
  </si>
  <si>
    <t>G0023085.JPG</t>
  </si>
  <si>
    <t>G0023086.JPG</t>
  </si>
  <si>
    <t>G0023087.JPG</t>
  </si>
  <si>
    <t>G0023088.JPG</t>
  </si>
  <si>
    <t>G0023089.JPG</t>
  </si>
  <si>
    <t>G0023090.JPG</t>
  </si>
  <si>
    <t>G0023091.JPG</t>
  </si>
  <si>
    <t>G0023092.JPG</t>
  </si>
  <si>
    <t>G0023093.JPG</t>
  </si>
  <si>
    <t>G0023094.JPG</t>
  </si>
  <si>
    <t>G0023095.JPG</t>
  </si>
  <si>
    <t>G0023096.JPG</t>
  </si>
  <si>
    <t>G0023097.JPG</t>
  </si>
  <si>
    <t>G0023098.JPG</t>
  </si>
  <si>
    <t>G0023099.JPG</t>
  </si>
  <si>
    <t>G0023100.JPG</t>
  </si>
  <si>
    <t>G0023101.JPG</t>
  </si>
  <si>
    <t>G0023102.JPG</t>
  </si>
  <si>
    <t>G0023103.JPG</t>
  </si>
  <si>
    <t>G0023104.JPG</t>
  </si>
  <si>
    <t>G0023105.JPG</t>
  </si>
  <si>
    <t>G0023106.JPG</t>
  </si>
  <si>
    <t>G0023107.JPG</t>
  </si>
  <si>
    <t>G0023108.JPG</t>
  </si>
  <si>
    <t>G0023109.JPG</t>
  </si>
  <si>
    <t>G0023110.JPG</t>
  </si>
  <si>
    <t>G0023111.JPG</t>
  </si>
  <si>
    <t>G0023112.JPG</t>
  </si>
  <si>
    <t>G0023113.JPG</t>
  </si>
  <si>
    <t>G0023114.JPG</t>
  </si>
  <si>
    <t>G0023115.JPG</t>
  </si>
  <si>
    <t>G0023116.JPG</t>
  </si>
  <si>
    <t>G0023117.JPG</t>
  </si>
  <si>
    <t>G0023118.JPG</t>
  </si>
  <si>
    <t>G0023119.JPG</t>
  </si>
  <si>
    <t>G0023120.JPG</t>
  </si>
  <si>
    <t>G0023121.JPG</t>
  </si>
  <si>
    <t>G0023122.JPG</t>
  </si>
  <si>
    <t>G0023123.JPG</t>
  </si>
  <si>
    <t>G0023124.JPG</t>
  </si>
  <si>
    <t>G0023125.JPG</t>
  </si>
  <si>
    <t>G0023126.JPG</t>
  </si>
  <si>
    <t>G0023127.JPG</t>
  </si>
  <si>
    <t>G0023128.JPG</t>
  </si>
  <si>
    <t>G0023129.JPG</t>
  </si>
  <si>
    <t>G0023130.JPG</t>
  </si>
  <si>
    <t>G0023131.JPG</t>
  </si>
  <si>
    <t>G0023132.JPG</t>
  </si>
  <si>
    <t>G0023133.JPG</t>
  </si>
  <si>
    <t>G0023134.JPG</t>
  </si>
  <si>
    <t>G0023135.JPG</t>
  </si>
  <si>
    <t>G0023136.JPG</t>
  </si>
  <si>
    <t>G0023137.JPG</t>
  </si>
  <si>
    <t>G0023138.JPG</t>
  </si>
  <si>
    <t>G0023139.JPG</t>
  </si>
  <si>
    <t>G0023140.JPG</t>
  </si>
  <si>
    <t>G0023141.JPG</t>
  </si>
  <si>
    <t>G0023142.JPG</t>
  </si>
  <si>
    <t>G0023143.JPG</t>
  </si>
  <si>
    <t>G0023144.JPG</t>
  </si>
  <si>
    <t>G0023145.JPG</t>
  </si>
  <si>
    <t>G0023146.JPG</t>
  </si>
  <si>
    <t>G0023147.JPG</t>
  </si>
  <si>
    <t>G0023148.JPG</t>
  </si>
  <si>
    <t>G0023149.JPG</t>
  </si>
  <si>
    <t>G0023150.JPG</t>
  </si>
  <si>
    <t>G0023151.JPG</t>
  </si>
  <si>
    <t>G0023152.JPG</t>
  </si>
  <si>
    <t>G0023153.JPG</t>
  </si>
  <si>
    <t>G0023154.JPG</t>
  </si>
  <si>
    <t>G0023155.JPG</t>
  </si>
  <si>
    <t>G0023156.JPG</t>
  </si>
  <si>
    <t>G0023157.JPG</t>
  </si>
  <si>
    <t>G0023158.JPG</t>
  </si>
  <si>
    <t>G0023159.JPG</t>
  </si>
  <si>
    <t>G0023160.JPG</t>
  </si>
  <si>
    <t>G0023161.JPG</t>
  </si>
  <si>
    <t>G0023162.JPG</t>
  </si>
  <si>
    <t>G0023163.JPG</t>
  </si>
  <si>
    <t>G0023164.JPG</t>
  </si>
  <si>
    <t>G0023165.JPG</t>
  </si>
  <si>
    <t>G0023166.JPG</t>
  </si>
  <si>
    <t>G0023167.JPG</t>
  </si>
  <si>
    <t>G0023168.JPG</t>
  </si>
  <si>
    <t>G0023169.JPG</t>
  </si>
  <si>
    <t>G0023170.JPG</t>
  </si>
  <si>
    <t>G0023171.JPG</t>
  </si>
  <si>
    <t>G0023172.JPG</t>
  </si>
  <si>
    <t>G0023173.JPG</t>
  </si>
  <si>
    <t>G0023174.JPG</t>
  </si>
  <si>
    <t>G0023175.JPG</t>
  </si>
  <si>
    <t>G0023176.JPG</t>
  </si>
  <si>
    <t>G0023177.JPG</t>
  </si>
  <si>
    <t>G0023178.JPG</t>
  </si>
  <si>
    <t>G0023179.JPG</t>
  </si>
  <si>
    <t>G0023180.JPG</t>
  </si>
  <si>
    <t>G0023181.JPG</t>
  </si>
  <si>
    <t>G0023182.JPG</t>
  </si>
  <si>
    <t>G0023183.JPG</t>
  </si>
  <si>
    <t>G0023184.JPG</t>
  </si>
  <si>
    <t>G0023185.JPG</t>
  </si>
  <si>
    <t>G0023186.JPG</t>
  </si>
  <si>
    <t>G0023187.JPG</t>
  </si>
  <si>
    <t>G0023188.JPG</t>
  </si>
  <si>
    <t>G0023189.JPG</t>
  </si>
  <si>
    <t>G0023190.JPG</t>
  </si>
  <si>
    <t>G0023191.JPG</t>
  </si>
  <si>
    <t>G0023192.JPG</t>
  </si>
  <si>
    <t>G0023193.JPG</t>
  </si>
  <si>
    <t>G0023194.JPG</t>
  </si>
  <si>
    <t>G0023195.JPG</t>
  </si>
  <si>
    <t>G0023196.JPG</t>
  </si>
  <si>
    <t>G0023197.JPG</t>
  </si>
  <si>
    <t>G0023198.JPG</t>
  </si>
  <si>
    <t>G0023199.JPG</t>
  </si>
  <si>
    <t>G0023200.JPG</t>
  </si>
  <si>
    <t>G0023201.JPG</t>
  </si>
  <si>
    <t>G0023202.JPG</t>
  </si>
  <si>
    <t>G0023203.JPG</t>
  </si>
  <si>
    <t>G0023204.JPG</t>
  </si>
  <si>
    <t>G0023205.JPG</t>
  </si>
  <si>
    <t>G0023206.JPG</t>
  </si>
  <si>
    <t>G0023207.JPG</t>
  </si>
  <si>
    <t>G0023208.JPG</t>
  </si>
  <si>
    <t>G0023209.JPG</t>
  </si>
  <si>
    <t>G0023210.JPG</t>
  </si>
  <si>
    <t>G0023211.JPG</t>
  </si>
  <si>
    <t>G0023212.JPG</t>
  </si>
  <si>
    <t>G0023213.JPG</t>
  </si>
  <si>
    <t>G0023214.JPG</t>
  </si>
  <si>
    <t>G0023215.JPG</t>
  </si>
  <si>
    <t>G0023216.JPG</t>
  </si>
  <si>
    <t>G0023217.JPG</t>
  </si>
  <si>
    <t>G0023218.JPG</t>
  </si>
  <si>
    <t>G0023219.JPG</t>
  </si>
  <si>
    <t>G0023220.JPG</t>
  </si>
  <si>
    <t>G0023221.JPG</t>
  </si>
  <si>
    <t>G0023222.JPG</t>
  </si>
  <si>
    <t>G0023223.JPG</t>
  </si>
  <si>
    <t>G0023224.JPG</t>
  </si>
  <si>
    <t>G0023225.JPG</t>
  </si>
  <si>
    <t>G0023226.JPG</t>
  </si>
  <si>
    <t>G0023227.JPG</t>
  </si>
  <si>
    <t>G0023228.JPG</t>
  </si>
  <si>
    <t>G0023229.JPG</t>
  </si>
  <si>
    <t>G0023230.JPG</t>
  </si>
  <si>
    <t>G0023231.JPG</t>
  </si>
  <si>
    <t>G0023232.JPG</t>
  </si>
  <si>
    <t>G0023233.JPG</t>
  </si>
  <si>
    <t>G0023234.JPG</t>
  </si>
  <si>
    <t>G0023235.JPG</t>
  </si>
  <si>
    <t>G0023236.JPG</t>
  </si>
  <si>
    <t>G0023237.JPG</t>
  </si>
  <si>
    <t>G0023238.JPG</t>
  </si>
  <si>
    <t>G0023239.JPG</t>
  </si>
  <si>
    <t>G0023240.JPG</t>
  </si>
  <si>
    <t>G0023241.JPG</t>
  </si>
  <si>
    <t>G0023242.JPG</t>
  </si>
  <si>
    <t>G0023243.JPG</t>
  </si>
  <si>
    <t>G0023244.JPG</t>
  </si>
  <si>
    <t>G0023245.JPG</t>
  </si>
  <si>
    <t>G0023246.JPG</t>
  </si>
  <si>
    <t>G0023247.JPG</t>
  </si>
  <si>
    <t>G0023248.JPG</t>
  </si>
  <si>
    <t>G0023249.JPG</t>
  </si>
  <si>
    <t>G0023250.JPG</t>
  </si>
  <si>
    <t>G0023251.JPG</t>
  </si>
  <si>
    <t>G0023252.JPG</t>
  </si>
  <si>
    <t>G0023253.JPG</t>
  </si>
  <si>
    <t>G0023254.JPG</t>
  </si>
  <si>
    <t>G0023255.JPG</t>
  </si>
  <si>
    <t>G0023256.JPG</t>
  </si>
  <si>
    <t>G0023257.JPG</t>
  </si>
  <si>
    <t>G0023258.JPG</t>
  </si>
  <si>
    <t>G0023259.JPG</t>
  </si>
  <si>
    <t>G0023260.JPG</t>
  </si>
  <si>
    <t>G0023261.JPG</t>
  </si>
  <si>
    <t>G0023262.JPG</t>
  </si>
  <si>
    <t>G0023263.JPG</t>
  </si>
  <si>
    <t>G0023264.JPG</t>
  </si>
  <si>
    <t>G0023265.JPG</t>
  </si>
  <si>
    <t>G0023266.JPG</t>
  </si>
  <si>
    <t>G0023267.JPG</t>
  </si>
  <si>
    <t>G0023268.JPG</t>
  </si>
  <si>
    <t>G0023269.JPG</t>
  </si>
  <si>
    <t>G0023270.JPG</t>
  </si>
  <si>
    <t>G0023271.JPG</t>
  </si>
  <si>
    <t>G0023272.JPG</t>
  </si>
  <si>
    <t>G0023273.JPG</t>
  </si>
  <si>
    <t>G0023274.JPG</t>
  </si>
  <si>
    <t>G0023275.JPG</t>
  </si>
  <si>
    <t>G0023276.JPG</t>
  </si>
  <si>
    <t>G0023277.JPG</t>
  </si>
  <si>
    <t>G0023278.JPG</t>
  </si>
  <si>
    <t>G0023279.JPG</t>
  </si>
  <si>
    <t>G0023280.JPG</t>
  </si>
  <si>
    <t>G0023281.JPG</t>
  </si>
  <si>
    <t>G0023282.JPG</t>
  </si>
  <si>
    <t>G0023283.JPG</t>
  </si>
  <si>
    <t>G0023284.JPG</t>
  </si>
  <si>
    <t>G0023285.JPG</t>
  </si>
  <si>
    <t>G0023286.JPG</t>
  </si>
  <si>
    <t>G0023287.JPG</t>
  </si>
  <si>
    <t>G0023288.JPG</t>
  </si>
  <si>
    <t>G0023289.JPG</t>
  </si>
  <si>
    <t>G0023290.JPG</t>
  </si>
  <si>
    <t>G0023291.JPG</t>
  </si>
  <si>
    <t>G0023292.JPG</t>
  </si>
  <si>
    <t>G0023293.JPG</t>
  </si>
  <si>
    <t>G0023294.JPG</t>
  </si>
  <si>
    <t>G0023295.JPG</t>
  </si>
  <si>
    <t>G0023296.JPG</t>
  </si>
  <si>
    <t>G0023297.JPG</t>
  </si>
  <si>
    <t>G0023298.JPG</t>
  </si>
  <si>
    <t>G0023299.JPG</t>
  </si>
  <si>
    <t>G0023300.JPG</t>
  </si>
  <si>
    <t>G0023301.JPG</t>
  </si>
  <si>
    <t>G0023302.JPG</t>
  </si>
  <si>
    <t>G0023303.JPG</t>
  </si>
  <si>
    <t>G0023304.JPG</t>
  </si>
  <si>
    <t>G0023305.JPG</t>
  </si>
  <si>
    <t>G0023306.JPG</t>
  </si>
  <si>
    <t>G0023307.JPG</t>
  </si>
  <si>
    <t>G0023308.JPG</t>
  </si>
  <si>
    <t>G0023309.JPG</t>
  </si>
  <si>
    <t>G0023310.JPG</t>
  </si>
  <si>
    <t>G0023311.JPG</t>
  </si>
  <si>
    <t>G0023312.JPG</t>
  </si>
  <si>
    <t>G0023313.JPG</t>
  </si>
  <si>
    <t>G0023314.JPG</t>
  </si>
  <si>
    <t>G0033319.JPG</t>
  </si>
  <si>
    <t>TRAVEL BACK</t>
  </si>
  <si>
    <t>G0033320.JPG</t>
  </si>
  <si>
    <t>G0033321.JPG</t>
  </si>
  <si>
    <t>G0033322.JPG</t>
  </si>
  <si>
    <t>G0033323.JPG</t>
  </si>
  <si>
    <t>G0033324.JPG</t>
  </si>
  <si>
    <t>G0033325.JPG</t>
  </si>
  <si>
    <t>G0033326.JPG</t>
  </si>
  <si>
    <t>G0033327.JPG</t>
  </si>
  <si>
    <t>G0033328.JPG</t>
  </si>
  <si>
    <t>G0033329.JPG</t>
  </si>
  <si>
    <t>G0033330.JPG</t>
  </si>
  <si>
    <t>G0033331.JPG</t>
  </si>
  <si>
    <t>G0033332.JPG</t>
  </si>
  <si>
    <t>G0033333.JPG</t>
  </si>
  <si>
    <t>G0033334.JPG</t>
  </si>
  <si>
    <t>G0033335.JPG</t>
  </si>
  <si>
    <t>G0033336.JPG</t>
  </si>
  <si>
    <t>G0033337.JPG</t>
  </si>
  <si>
    <t>G0033338.JPG</t>
  </si>
  <si>
    <t>G0033339.JPG</t>
  </si>
  <si>
    <t>G0033340.JPG</t>
  </si>
  <si>
    <t>G0033341.JPG</t>
  </si>
  <si>
    <t>G0033342.JPG</t>
  </si>
  <si>
    <t>G0033343.JPG</t>
  </si>
  <si>
    <t>G0033344.JPG</t>
  </si>
  <si>
    <t>G0033345.JPG</t>
  </si>
  <si>
    <t>G0033346.JPG</t>
  </si>
  <si>
    <t>G0033347.JPG</t>
  </si>
  <si>
    <t>G0033348.JPG</t>
  </si>
  <si>
    <t>G0033349.JPG</t>
  </si>
  <si>
    <t>G0033350.JPG</t>
  </si>
  <si>
    <t>G0033351.JPG</t>
  </si>
  <si>
    <t>G0033352.JPG</t>
  </si>
  <si>
    <t>G0033353.JPG</t>
  </si>
  <si>
    <t>G0033354.JPG</t>
  </si>
  <si>
    <t>G0033355.JPG</t>
  </si>
  <si>
    <t>G0033356.JPG</t>
  </si>
  <si>
    <t>G0033357.JPG</t>
  </si>
  <si>
    <t>G0033358.JPG</t>
  </si>
  <si>
    <t>G0033359.JPG</t>
  </si>
  <si>
    <t>G0033360.JPG</t>
  </si>
  <si>
    <t>G0033361.JPG</t>
  </si>
  <si>
    <t>G0033362.JPG</t>
  </si>
  <si>
    <t>G0033363.JPG</t>
  </si>
  <si>
    <t>G0033364.JPG</t>
  </si>
  <si>
    <t>G0033365.JPG</t>
  </si>
  <si>
    <t>G0033366.JPG</t>
  </si>
  <si>
    <t>G0033367.JPG</t>
  </si>
  <si>
    <t>G0033368.JPG</t>
  </si>
  <si>
    <t>G0033369.JPG</t>
  </si>
  <si>
    <t>G0033370.JPG</t>
  </si>
  <si>
    <t>G0033371.JPG</t>
  </si>
  <si>
    <t>G0033372.JPG</t>
  </si>
  <si>
    <t>G0033373.JPG</t>
  </si>
  <si>
    <t>G0033374.JPG</t>
  </si>
  <si>
    <t>G0033375.JPG</t>
  </si>
  <si>
    <t>G0033376.JPG</t>
  </si>
  <si>
    <t>G0033377.JPG</t>
  </si>
  <si>
    <t>G0033378.JPG</t>
  </si>
  <si>
    <t>G0033379.JPG</t>
  </si>
  <si>
    <t>G0033380.JPG</t>
  </si>
  <si>
    <t>G0033381.JPG</t>
  </si>
  <si>
    <t>G0033382.JPG</t>
  </si>
  <si>
    <t>G0033383.JPG</t>
  </si>
  <si>
    <t>G0033384.JPG</t>
  </si>
  <si>
    <t>G0033385.JPG</t>
  </si>
  <si>
    <t>G0033386.JPG</t>
  </si>
  <si>
    <t>G0033387.JPG</t>
  </si>
  <si>
    <t>G0033388.JPG</t>
  </si>
  <si>
    <t>G0033389.JPG</t>
  </si>
  <si>
    <t>G0033390.JPG</t>
  </si>
  <si>
    <t>G0033391.JPG</t>
  </si>
  <si>
    <t>G0033392.JPG</t>
  </si>
  <si>
    <t>G0033393.JPG</t>
  </si>
  <si>
    <t>G0033394.JPG</t>
  </si>
  <si>
    <t>G0033395.JPG</t>
  </si>
  <si>
    <t>G0033396.JPG</t>
  </si>
  <si>
    <t>G0033397.JPG</t>
  </si>
  <si>
    <t>G0033398.JPG</t>
  </si>
  <si>
    <t>G0033399.JPG</t>
  </si>
  <si>
    <t>G0033400.JPG</t>
  </si>
  <si>
    <t>G0033401.JPG</t>
  </si>
  <si>
    <t>G0033402.JPG</t>
  </si>
  <si>
    <t>G0033403.JPG</t>
  </si>
  <si>
    <t>G0033404.JPG</t>
  </si>
  <si>
    <t>G0033405.JPG</t>
  </si>
  <si>
    <t>G0033406.JPG</t>
  </si>
  <si>
    <t>G0033407.JPG</t>
  </si>
  <si>
    <t>G0033408.JPG</t>
  </si>
  <si>
    <t>G0033409.JPG</t>
  </si>
  <si>
    <t>G0033410.JPG</t>
  </si>
  <si>
    <t>G0033411.JPG</t>
  </si>
  <si>
    <t>G0033412.JPG</t>
  </si>
  <si>
    <t>G0033413.JPG</t>
  </si>
  <si>
    <t>G0033414.JPG</t>
  </si>
  <si>
    <t>G0033415.JPG</t>
  </si>
  <si>
    <t>G0033416.JPG</t>
  </si>
  <si>
    <t>G0033417.JPG</t>
  </si>
  <si>
    <t>G0033418.JPG</t>
  </si>
  <si>
    <t>G0033419.JPG</t>
  </si>
  <si>
    <t>G0033420.JPG</t>
  </si>
  <si>
    <t>G0033421.JPG</t>
  </si>
  <si>
    <t>G0033422.JPG</t>
  </si>
  <si>
    <t>G0033423.JPG</t>
  </si>
  <si>
    <t>G0033424.JPG</t>
  </si>
  <si>
    <t>G0033425.JPG</t>
  </si>
  <si>
    <t>G0033426.JPG</t>
  </si>
  <si>
    <t>G0033427.JPG</t>
  </si>
  <si>
    <t>G0033428.JPG</t>
  </si>
  <si>
    <t>G0033429.JPG</t>
  </si>
  <si>
    <t>G0033430.JPG</t>
  </si>
  <si>
    <t>G0033431.JPG</t>
  </si>
  <si>
    <t>G0033432.JPG</t>
  </si>
  <si>
    <t>G0033433.JPG</t>
  </si>
  <si>
    <t>G0033434.JPG</t>
  </si>
  <si>
    <t>G0033435.JPG</t>
  </si>
  <si>
    <t>G0033436.JPG</t>
  </si>
  <si>
    <t>G0033437.JPG</t>
  </si>
  <si>
    <t>G0033438.JPG</t>
  </si>
  <si>
    <t>G0033439.JPG</t>
  </si>
  <si>
    <t>G0033440.JPG</t>
  </si>
  <si>
    <t>G0033441.JPG</t>
  </si>
  <si>
    <t>G0033442.JPG</t>
  </si>
  <si>
    <t>G0033443.JPG</t>
  </si>
  <si>
    <t>G0033444.JPG</t>
  </si>
  <si>
    <t>G0033445.JPG</t>
  </si>
  <si>
    <t>G0033446.JPG</t>
  </si>
  <si>
    <t>G0033447.JPG</t>
  </si>
  <si>
    <t>G0033448.JPG</t>
  </si>
  <si>
    <t>G0033449.JPG</t>
  </si>
  <si>
    <t>G0033450.JPG</t>
  </si>
  <si>
    <t>G0033451.JPG</t>
  </si>
  <si>
    <t>G0033452.JPG</t>
  </si>
  <si>
    <t>G0033453.JPG</t>
  </si>
  <si>
    <t>G0033454.JPG</t>
  </si>
  <si>
    <t>G0033455.JPG</t>
  </si>
  <si>
    <t>G0033456.JPG</t>
  </si>
  <si>
    <t>G0033457.JPG</t>
  </si>
  <si>
    <t>G0033458.JPG</t>
  </si>
  <si>
    <t>G0033459.JPG</t>
  </si>
  <si>
    <t>G0033460.JPG</t>
  </si>
  <si>
    <t>G0033461.JPG</t>
  </si>
  <si>
    <t>G0033462.JPG</t>
  </si>
  <si>
    <t>G0033463.JPG</t>
  </si>
  <si>
    <t>G0033464.JPG</t>
  </si>
  <si>
    <t>G0033465.JPG</t>
  </si>
  <si>
    <t>G0033466.JPG</t>
  </si>
  <si>
    <t>G0033467.JPG</t>
  </si>
  <si>
    <t>G0033468.JPG</t>
  </si>
  <si>
    <t>G0033469.JPG</t>
  </si>
  <si>
    <t>G0033470.JPG</t>
  </si>
  <si>
    <t>G0033471.JPG</t>
  </si>
  <si>
    <t>G0043472.JPG</t>
  </si>
  <si>
    <t>G0043473.JPG</t>
  </si>
  <si>
    <t>G0043474.JPG</t>
  </si>
  <si>
    <t>G0043475.JPG</t>
  </si>
  <si>
    <t>G0043476.JPG</t>
  </si>
  <si>
    <t>G0043477.JPG</t>
  </si>
  <si>
    <t>G0043478.JPG</t>
  </si>
  <si>
    <t>G0053479.JPG</t>
  </si>
  <si>
    <t>G0053480.JPG</t>
  </si>
  <si>
    <t>G0053481.JPG</t>
  </si>
  <si>
    <t>G0053482.JPG</t>
  </si>
  <si>
    <t>G0053483.JPG</t>
  </si>
  <si>
    <t>G0053484.JPG</t>
  </si>
  <si>
    <t>G0053485.JPG</t>
  </si>
  <si>
    <t>G0053486.JPG</t>
  </si>
  <si>
    <t>G0053487.JPG</t>
  </si>
  <si>
    <t>G0053488.JPG</t>
  </si>
  <si>
    <t>G0053489.JPG</t>
  </si>
  <si>
    <t>G0053490.JPG</t>
  </si>
  <si>
    <t>G0053491.JPG</t>
  </si>
  <si>
    <t>G0053492.JPG</t>
  </si>
  <si>
    <t>G0053493.JPG</t>
  </si>
  <si>
    <t>G0053494.JPG</t>
  </si>
  <si>
    <t>G0053495.JPG</t>
  </si>
  <si>
    <t>G0053496.JPG</t>
  </si>
  <si>
    <t>G0053497.JPG</t>
  </si>
  <si>
    <t>G0053498.JPG</t>
  </si>
  <si>
    <t>G0053499.JPG</t>
  </si>
  <si>
    <t>G0053500.JPG</t>
  </si>
  <si>
    <t>G0053501.JPG</t>
  </si>
  <si>
    <t>G0053502.JPG</t>
  </si>
  <si>
    <t>G0053503.JPG</t>
  </si>
  <si>
    <t>G0053504.JPG</t>
  </si>
  <si>
    <t>G0053505.JPG</t>
  </si>
  <si>
    <t>G0053506.JPG</t>
  </si>
  <si>
    <t>G0053507.JPG</t>
  </si>
  <si>
    <t>G0053508.JPG</t>
  </si>
  <si>
    <t>G0053509.JPG</t>
  </si>
  <si>
    <t>G0053510.JPG</t>
  </si>
  <si>
    <t>G0053511.JPG</t>
  </si>
  <si>
    <t>G0053512.JPG</t>
  </si>
  <si>
    <t>G0053513.JPG</t>
  </si>
  <si>
    <t>G0053514.JPG</t>
  </si>
  <si>
    <t>G0053515.JPG</t>
  </si>
  <si>
    <t>G0053516.JPG</t>
  </si>
  <si>
    <t>G0053517.JPG</t>
  </si>
  <si>
    <t>G0053518.JPG</t>
  </si>
  <si>
    <t>G0053519.JPG</t>
  </si>
  <si>
    <t>G0053520.JPG</t>
  </si>
  <si>
    <t>G0053521.JPG</t>
  </si>
  <si>
    <t>G0053522.JPG</t>
  </si>
  <si>
    <t>G0053523.JPG</t>
  </si>
  <si>
    <t>G0053524.JPG</t>
  </si>
  <si>
    <t>G0053525.JPG</t>
  </si>
  <si>
    <t>G0053526.JPG</t>
  </si>
  <si>
    <t>G0053527.JPG</t>
  </si>
  <si>
    <t>G0053528.JPG</t>
  </si>
  <si>
    <t>G0053529.JPG</t>
  </si>
  <si>
    <t>G0053530.JPG</t>
  </si>
  <si>
    <t>G0053531.JPG</t>
  </si>
  <si>
    <t>G0053532.JPG</t>
  </si>
  <si>
    <t>G0053533.JPG</t>
  </si>
  <si>
    <t>G0053534.JPG</t>
  </si>
  <si>
    <t>G0053535.JPG</t>
  </si>
  <si>
    <t>G0053536.JPG</t>
  </si>
  <si>
    <t>G0053537.JPG</t>
  </si>
  <si>
    <t>G0053538.JPG</t>
  </si>
  <si>
    <t>G0053539.JPG</t>
  </si>
  <si>
    <t>G0053540.JPG</t>
  </si>
  <si>
    <t>G0053541.JPG</t>
  </si>
  <si>
    <t>G0053542.JPG</t>
  </si>
  <si>
    <t>G0053543.JPG</t>
  </si>
  <si>
    <t>G0053544.JPG</t>
  </si>
  <si>
    <t>G0053545.JPG</t>
  </si>
  <si>
    <t>G0053546.JPG</t>
  </si>
  <si>
    <t>G0053547.JPG</t>
  </si>
  <si>
    <t>G0053548.JPG</t>
  </si>
  <si>
    <t>G0053549.JPG</t>
  </si>
  <si>
    <t>G0053550.JPG</t>
  </si>
  <si>
    <t>G0053551.JPG</t>
  </si>
  <si>
    <t>G0053552.JPG</t>
  </si>
  <si>
    <t>G0053553.JPG</t>
  </si>
  <si>
    <t>G0053554.JPG</t>
  </si>
  <si>
    <t>G0053555.JPG</t>
  </si>
  <si>
    <t>G0053556.JPG</t>
  </si>
  <si>
    <t>G0053557.JPG</t>
  </si>
  <si>
    <t>G0053558.JPG</t>
  </si>
  <si>
    <t>G0053559.JPG</t>
  </si>
  <si>
    <t>G0053560.JPG</t>
  </si>
  <si>
    <t>G0053561.JPG</t>
  </si>
  <si>
    <t>G0053562.JPG</t>
  </si>
  <si>
    <t>G0053563.JPG</t>
  </si>
  <si>
    <t>G0053564.JPG</t>
  </si>
  <si>
    <t>G0053565.JPG</t>
  </si>
  <si>
    <t>G0053566.JPG</t>
  </si>
  <si>
    <t>G0053567.JPG</t>
  </si>
  <si>
    <t>G0053568.JPG</t>
  </si>
  <si>
    <t>G0053569.JPG</t>
  </si>
  <si>
    <t>G0053570.JPG</t>
  </si>
  <si>
    <t>G0053571.JPG</t>
  </si>
  <si>
    <t>G0053572.JPG</t>
  </si>
  <si>
    <t>G0053573.JPG</t>
  </si>
  <si>
    <t>G0053574.JPG</t>
  </si>
  <si>
    <t>G0053575.JPG</t>
  </si>
  <si>
    <t>G0053576.JPG</t>
  </si>
  <si>
    <t>G0053577.JPG</t>
  </si>
  <si>
    <t>G0053578.JPG</t>
  </si>
  <si>
    <t>G0053579.JPG</t>
  </si>
  <si>
    <t>G0053580.JPG</t>
  </si>
  <si>
    <t>G0053581.JPG</t>
  </si>
  <si>
    <t>G0053582.JPG</t>
  </si>
  <si>
    <t>G0053583.JPG</t>
  </si>
  <si>
    <t>G0053584.JPG</t>
  </si>
  <si>
    <t>G0053585.JPG</t>
  </si>
  <si>
    <t>G0053586.JPG</t>
  </si>
  <si>
    <t>G0053587.JPG</t>
  </si>
  <si>
    <t>G0053588.JPG</t>
  </si>
  <si>
    <t>G0053589.JPG</t>
  </si>
  <si>
    <t>G0053590.JPG</t>
  </si>
  <si>
    <t>G0053591.JPG</t>
  </si>
  <si>
    <t>G0053592.JPG</t>
  </si>
  <si>
    <t>G0053593.JPG</t>
  </si>
  <si>
    <t>G0053594.JPG</t>
  </si>
  <si>
    <t>G0053595.JPG</t>
  </si>
  <si>
    <t>G0053596.JPG</t>
  </si>
  <si>
    <t>G0053597.JPG</t>
  </si>
  <si>
    <t>G0053598.JPG</t>
  </si>
  <si>
    <t>G0053599.JPG</t>
  </si>
  <si>
    <t>G0053600.JPG</t>
  </si>
  <si>
    <t>G0053601.JPG</t>
  </si>
  <si>
    <t>G0053602.JPG</t>
  </si>
  <si>
    <t>G0053603.JPG</t>
  </si>
  <si>
    <t>G0053604.JPG</t>
  </si>
  <si>
    <t>G0053605.JPG</t>
  </si>
  <si>
    <t>G0053606.JPG</t>
  </si>
  <si>
    <t>G0053607.JPG</t>
  </si>
  <si>
    <t>G0053608.JPG</t>
  </si>
  <si>
    <t>G0053609.JPG</t>
  </si>
  <si>
    <t>G0053610.JPG</t>
  </si>
  <si>
    <t>G0053611.JPG</t>
  </si>
  <si>
    <t>G0053612.JPG</t>
  </si>
  <si>
    <t>G0053613.JPG</t>
  </si>
  <si>
    <t>G0053614.JPG</t>
  </si>
  <si>
    <t>G0053615.JPG</t>
  </si>
  <si>
    <t>G0053616.JPG</t>
  </si>
  <si>
    <t>G0053617.JPG</t>
  </si>
  <si>
    <t>G0053618.JPG</t>
  </si>
  <si>
    <t>G0053619.JPG</t>
  </si>
  <si>
    <t>G0053620.JPG</t>
  </si>
  <si>
    <t>G0053621.JPG</t>
  </si>
  <si>
    <t>G0053622.JPG</t>
  </si>
  <si>
    <t>G0053623.JPG</t>
  </si>
  <si>
    <t>G0053624.JPG</t>
  </si>
  <si>
    <t>G0053625.JPG</t>
  </si>
  <si>
    <t>G0053626.JPG</t>
  </si>
  <si>
    <t>G0053627.JPG</t>
  </si>
  <si>
    <t>G0053628.JPG</t>
  </si>
  <si>
    <t>G0053629.JPG</t>
  </si>
  <si>
    <t>G0053630.JPG</t>
  </si>
  <si>
    <t>G0053631.JPG</t>
  </si>
  <si>
    <t>G0053632.JPG</t>
  </si>
  <si>
    <t>G0053633.JPG</t>
  </si>
  <si>
    <t>G0053634.JPG</t>
  </si>
  <si>
    <t>G0053635.JPG</t>
  </si>
  <si>
    <t>G0053636.JPG</t>
  </si>
  <si>
    <t>G0053637.JPG</t>
  </si>
  <si>
    <t>G0053638.JPG</t>
  </si>
  <si>
    <t>G0053639.JPG</t>
  </si>
  <si>
    <t>G0053640.JPG</t>
  </si>
  <si>
    <t>G0053641.JPG</t>
  </si>
  <si>
    <t>G0053642.JPG</t>
  </si>
  <si>
    <t>G0053643.JPG</t>
  </si>
  <si>
    <t>G0053644.JPG</t>
  </si>
  <si>
    <t>G0053645.JPG</t>
  </si>
  <si>
    <t>G0053646.JPG</t>
  </si>
  <si>
    <t>G0053647.JPG</t>
  </si>
  <si>
    <t>G0053648.JPG</t>
  </si>
  <si>
    <t>G0053649.JPG</t>
  </si>
  <si>
    <t>G0053650.JPG</t>
  </si>
  <si>
    <t>G0053651.JPG</t>
  </si>
  <si>
    <t>G0053652.JPG</t>
  </si>
  <si>
    <t>G0053653.JPG</t>
  </si>
  <si>
    <t>G0053654.JPG</t>
  </si>
  <si>
    <t>G0053655.JPG</t>
  </si>
  <si>
    <t>G0053656.JPG</t>
  </si>
  <si>
    <t>G0053657.JPG</t>
  </si>
  <si>
    <t>G0053658.JPG</t>
  </si>
  <si>
    <t>G0053659.JPG</t>
  </si>
  <si>
    <t>G0053660.JPG</t>
  </si>
  <si>
    <t>G0053661.JPG</t>
  </si>
  <si>
    <t>G0053662.JPG</t>
  </si>
  <si>
    <t>G0053663.JPG</t>
  </si>
  <si>
    <t>G0053664.JPG</t>
  </si>
  <si>
    <t>G0053665.JPG</t>
  </si>
  <si>
    <t>G0053666.JPG</t>
  </si>
  <si>
    <t>G0053667.JPG</t>
  </si>
  <si>
    <t>G0053668.JPG</t>
  </si>
  <si>
    <t>G0053669.JPG</t>
  </si>
  <si>
    <t>G0053670.JPG</t>
  </si>
  <si>
    <t>G0053671.JPG</t>
  </si>
  <si>
    <t>G0053672.JPG</t>
  </si>
  <si>
    <t>G0053673.JPG</t>
  </si>
  <si>
    <t>G0053674.JPG</t>
  </si>
  <si>
    <t>G0053675.JPG</t>
  </si>
  <si>
    <t>G0053676.JPG</t>
  </si>
  <si>
    <t>G0053677.JPG</t>
  </si>
  <si>
    <t>G0053678.JPG</t>
  </si>
  <si>
    <t>G0053679.JPG</t>
  </si>
  <si>
    <t>G0053680.JPG</t>
  </si>
  <si>
    <t>G0053681.JPG</t>
  </si>
  <si>
    <t>G0053682.JPG</t>
  </si>
  <si>
    <t>G0053683.JPG</t>
  </si>
  <si>
    <t>G0053684.JPG</t>
  </si>
  <si>
    <t>G0053685.JPG</t>
  </si>
  <si>
    <t>G0053686.JPG</t>
  </si>
  <si>
    <t>G0053687.JPG</t>
  </si>
  <si>
    <t>G0053688.JPG</t>
  </si>
  <si>
    <t>G0053689.JPG</t>
  </si>
  <si>
    <t>G0053690.JPG</t>
  </si>
  <si>
    <t>G0053691.JPG</t>
  </si>
  <si>
    <t>G0053692.JPG</t>
  </si>
  <si>
    <t>G0053693.JPG</t>
  </si>
  <si>
    <t>G0053694.JPG</t>
  </si>
  <si>
    <t>G0053695.JPG</t>
  </si>
  <si>
    <t>G0053696.JPG</t>
  </si>
  <si>
    <t>G0053697.JPG</t>
  </si>
  <si>
    <t>G0053698.JPG</t>
  </si>
  <si>
    <t>G0053699.JPG</t>
  </si>
  <si>
    <t>G0053700.JPG</t>
  </si>
  <si>
    <t>G0053701.JPG</t>
  </si>
  <si>
    <t>G0053702.JPG</t>
  </si>
  <si>
    <t>G0053703.JPG</t>
  </si>
  <si>
    <t>G0053704.JPG</t>
  </si>
  <si>
    <t>G0053705.JPG</t>
  </si>
  <si>
    <t>G0053706.JPG</t>
  </si>
  <si>
    <t>G0053707.JPG</t>
  </si>
  <si>
    <t>G0053708.JPG</t>
  </si>
  <si>
    <t>G0053709.JPG</t>
  </si>
  <si>
    <t>G0053710.JPG</t>
  </si>
  <si>
    <t>G0053711.JPG</t>
  </si>
  <si>
    <t>G0053712.JPG</t>
  </si>
  <si>
    <t>G0053713.JPG</t>
  </si>
  <si>
    <t>G0053714.JPG</t>
  </si>
  <si>
    <t>G0053715.JPG</t>
  </si>
  <si>
    <t>G0053716.JPG</t>
  </si>
  <si>
    <t>G0053717.JPG</t>
  </si>
  <si>
    <t>G0053718.JPG</t>
  </si>
  <si>
    <t>G0053719.JPG</t>
  </si>
  <si>
    <t>G0053720.JPG</t>
  </si>
  <si>
    <t>G0053721.JPG</t>
  </si>
  <si>
    <t>G0053722.JPG</t>
  </si>
  <si>
    <t>G0053723.JPG</t>
  </si>
  <si>
    <t>G0053724.JPG</t>
  </si>
  <si>
    <t>G0053725.JPG</t>
  </si>
  <si>
    <t>G0053726.JPG</t>
  </si>
  <si>
    <t>G0053727.JPG</t>
  </si>
  <si>
    <t>G0053728.JPG</t>
  </si>
  <si>
    <t>G0053729.JPG</t>
  </si>
  <si>
    <t>G0053730.JPG</t>
  </si>
  <si>
    <t>G0053731.JPG</t>
  </si>
  <si>
    <t>G0053732.JPG</t>
  </si>
  <si>
    <t>G0053733.JPG</t>
  </si>
  <si>
    <t>G0053734.JPG</t>
  </si>
  <si>
    <t>G0053735.JPG</t>
  </si>
  <si>
    <t>G0053736.JPG</t>
  </si>
  <si>
    <t>G0053737.JPG</t>
  </si>
  <si>
    <t>G0053738.JPG</t>
  </si>
  <si>
    <t>G0053739.JPG</t>
  </si>
  <si>
    <t>G0053740.JPG</t>
  </si>
  <si>
    <t>G0053741.JPG</t>
  </si>
  <si>
    <t>G0053742.JPG</t>
  </si>
  <si>
    <t>G0053743.JPG</t>
  </si>
  <si>
    <t>G0053744.JPG</t>
  </si>
  <si>
    <t>G0053745.JPG</t>
  </si>
  <si>
    <t>G0053746.JPG</t>
  </si>
  <si>
    <t>G0053747.JPG</t>
  </si>
  <si>
    <t>G0053748.JPG</t>
  </si>
  <si>
    <t>G0053749.JPG</t>
  </si>
  <si>
    <t>G0053750.JPG</t>
  </si>
  <si>
    <t>G0053751.JPG</t>
  </si>
  <si>
    <t>G0053752.JPG</t>
  </si>
  <si>
    <t>G0053753.JPG</t>
  </si>
  <si>
    <t>G0053754.JPG</t>
  </si>
  <si>
    <t>G0053755.JPG</t>
  </si>
  <si>
    <t>G0053756.JPG</t>
  </si>
  <si>
    <t>G0053757.JPG</t>
  </si>
  <si>
    <t>G0053758.JPG</t>
  </si>
  <si>
    <t>G0053759.JPG</t>
  </si>
  <si>
    <t>G0053760.JPG</t>
  </si>
  <si>
    <t>G0053761.JPG</t>
  </si>
  <si>
    <t>G0053762.JPG</t>
  </si>
  <si>
    <t>G0053763.JPG</t>
  </si>
  <si>
    <t>G0053764.JPG</t>
  </si>
  <si>
    <t>G0053765.JPG</t>
  </si>
  <si>
    <t>G0053766.JPG</t>
  </si>
  <si>
    <t>G0053767.JPG</t>
  </si>
  <si>
    <t>G0053768.JPG</t>
  </si>
  <si>
    <t>G0053769.JPG</t>
  </si>
  <si>
    <t>G0053770.JPG</t>
  </si>
  <si>
    <t>G0053771.JPG</t>
  </si>
  <si>
    <t>G0053772.JPG</t>
  </si>
  <si>
    <t>G0053773.JPG</t>
  </si>
  <si>
    <t>G0053774.JPG</t>
  </si>
  <si>
    <t>G0053775.JPG</t>
  </si>
  <si>
    <t>G0053776.JPG</t>
  </si>
  <si>
    <t>G0053777.JPG</t>
  </si>
  <si>
    <t>G0053778.JPG</t>
  </si>
  <si>
    <t>G0053779.JPG</t>
  </si>
  <si>
    <t>G0053780.JPG</t>
  </si>
  <si>
    <t>G0053781.JPG</t>
  </si>
  <si>
    <t>G0053782.JPG</t>
  </si>
  <si>
    <t>G0053783.JPG</t>
  </si>
  <si>
    <t>G0053784.JPG</t>
  </si>
  <si>
    <t>G0053785.JPG</t>
  </si>
  <si>
    <t>G0053786.JPG</t>
  </si>
  <si>
    <t>G0053787.JPG</t>
  </si>
  <si>
    <t>G0053788.JPG</t>
  </si>
  <si>
    <t>G0053789.JPG</t>
  </si>
  <si>
    <t>G0053790.JPG</t>
  </si>
  <si>
    <t>G0053791.JPG</t>
  </si>
  <si>
    <t>G0053792.JPG</t>
  </si>
  <si>
    <t>G0053793.JPG</t>
  </si>
  <si>
    <t>G0053794.JPG</t>
  </si>
  <si>
    <t>G0053795.JPG</t>
  </si>
  <si>
    <t>G0053796.JPG</t>
  </si>
  <si>
    <t>G0053797.JPG</t>
  </si>
  <si>
    <t>G0053798.JPG</t>
  </si>
  <si>
    <t>G0053799.JPG</t>
  </si>
  <si>
    <t>G0053800.JPG</t>
  </si>
  <si>
    <t>G0053801.JPG</t>
  </si>
  <si>
    <t>G0053802.JPG</t>
  </si>
  <si>
    <t>G0053803.JPG</t>
  </si>
  <si>
    <t>G0053804.JPG</t>
  </si>
  <si>
    <t>G0053805.JPG</t>
  </si>
  <si>
    <t>G0053806.JPG</t>
  </si>
  <si>
    <t>G0053807.JPG</t>
  </si>
  <si>
    <t>G0053808.JPG</t>
  </si>
  <si>
    <t>G0053809.JPG</t>
  </si>
  <si>
    <t>G0053810.JPG</t>
  </si>
  <si>
    <t>G0053811.JPG</t>
  </si>
  <si>
    <t>G0053812.JPG</t>
  </si>
  <si>
    <t>G0053813.JPG</t>
  </si>
  <si>
    <t>G0053814.JPG</t>
  </si>
  <si>
    <t>G0053815.JPG</t>
  </si>
  <si>
    <t>G0053816.JPG</t>
  </si>
  <si>
    <t>G0053817.JPG</t>
  </si>
  <si>
    <t>G0053818.JPG</t>
  </si>
  <si>
    <t>G0053819.JPG</t>
  </si>
  <si>
    <t>G0053820.JPG</t>
  </si>
  <si>
    <t>G0053821.JPG</t>
  </si>
  <si>
    <t>G0053822.JPG</t>
  </si>
  <si>
    <t>G0053823.JPG</t>
  </si>
  <si>
    <t>G0053824.JPG</t>
  </si>
  <si>
    <t>G0053825.JPG</t>
  </si>
  <si>
    <t>G0053826.JPG</t>
  </si>
  <si>
    <t>G0053827.JPG</t>
  </si>
  <si>
    <t>G0053828.JPG</t>
  </si>
  <si>
    <t>G0053829.JPG</t>
  </si>
  <si>
    <t>G0053830.JPG</t>
  </si>
  <si>
    <t>G0053831.JPG</t>
  </si>
  <si>
    <t>G0053832.JPG</t>
  </si>
  <si>
    <t>G0053833.JPG</t>
  </si>
  <si>
    <t>G0053834.JPG</t>
  </si>
  <si>
    <t>G0053835.JPG</t>
  </si>
  <si>
    <t>G0053836.JPG</t>
  </si>
  <si>
    <t>G0053837.JPG</t>
  </si>
  <si>
    <t>G0053838.JPG</t>
  </si>
  <si>
    <t>G0053839.JPG</t>
  </si>
  <si>
    <t>G0053840.JPG</t>
  </si>
  <si>
    <t>G0053841.JPG</t>
  </si>
  <si>
    <t>G0053842.JPG</t>
  </si>
  <si>
    <t>G0053843.JPG</t>
  </si>
  <si>
    <t>G0053844.JPG</t>
  </si>
  <si>
    <t>G0053845.JPG</t>
  </si>
  <si>
    <t>G0053846.JPG</t>
  </si>
  <si>
    <t>G0053847.JPG</t>
  </si>
  <si>
    <t>G0053848.JPG</t>
  </si>
  <si>
    <t>G0053849.JPG</t>
  </si>
  <si>
    <t>G0053850.JPG</t>
  </si>
  <si>
    <t>G0053851.JPG</t>
  </si>
  <si>
    <t>G0053852.JPG</t>
  </si>
  <si>
    <t>G0053853.JPG</t>
  </si>
  <si>
    <t>G0053854.JPG</t>
  </si>
  <si>
    <t>G0053855.JPG</t>
  </si>
  <si>
    <t>G0053856.JPG</t>
  </si>
  <si>
    <t>G0053857.JPG</t>
  </si>
  <si>
    <t>G0053858.JPG</t>
  </si>
  <si>
    <t>G0053859.JPG</t>
  </si>
  <si>
    <t>G0053860.JPG</t>
  </si>
  <si>
    <t>G0053861.JPG</t>
  </si>
  <si>
    <t>G0053862.JPG</t>
  </si>
  <si>
    <t>G0053863.JPG</t>
  </si>
  <si>
    <t>G0053864.JPG</t>
  </si>
  <si>
    <t>G0053865.JPG</t>
  </si>
  <si>
    <t>G0053866.JPG</t>
  </si>
  <si>
    <t>G0053867.JPG</t>
  </si>
  <si>
    <t>G0053868.JPG</t>
  </si>
  <si>
    <t>G0053869.JPG</t>
  </si>
  <si>
    <t>G0053870.JPG</t>
  </si>
  <si>
    <t>G0053871.JPG</t>
  </si>
  <si>
    <t>G0053872.JPG</t>
  </si>
  <si>
    <t>G0053873.JPG</t>
  </si>
  <si>
    <t>G0053874.JPG</t>
  </si>
  <si>
    <t>G0053875.JPG</t>
  </si>
  <si>
    <t>G0053876.JPG</t>
  </si>
  <si>
    <t>G0053877.JPG</t>
  </si>
  <si>
    <t>G0053878.JPG</t>
  </si>
  <si>
    <t>G0053879.JPG</t>
  </si>
  <si>
    <t>G0053880.JPG</t>
  </si>
  <si>
    <t>G0053881.JPG</t>
  </si>
  <si>
    <t>G0053882.JPG</t>
  </si>
  <si>
    <t>G0053883.JPG</t>
  </si>
  <si>
    <t>G0053884.JPG</t>
  </si>
  <si>
    <t>G0053885.JPG</t>
  </si>
  <si>
    <t>G0053886.JPG</t>
  </si>
  <si>
    <t>G0053887.JPG</t>
  </si>
  <si>
    <t>G0053888.JPG</t>
  </si>
  <si>
    <t>G0053889.JPG</t>
  </si>
  <si>
    <t>G0053890.JPG</t>
  </si>
  <si>
    <t>G0053891.JPG</t>
  </si>
  <si>
    <t>G0053892.JPG</t>
  </si>
  <si>
    <t>G0053893.JPG</t>
  </si>
  <si>
    <t>G0053894.JPG</t>
  </si>
  <si>
    <t>G0053895.JPG</t>
  </si>
  <si>
    <t>G0053896.JPG</t>
  </si>
  <si>
    <t>G0053897.JPG</t>
  </si>
  <si>
    <t>G0053898.JPG</t>
  </si>
  <si>
    <t>G0053899.JPG</t>
  </si>
  <si>
    <t>G0053900.JPG</t>
  </si>
  <si>
    <t>G0053901.JPG</t>
  </si>
  <si>
    <t>G0053902.JPG</t>
  </si>
  <si>
    <t>G0053903.JPG</t>
  </si>
  <si>
    <t>G0053904.JPG</t>
  </si>
  <si>
    <t>G0053905.JPG</t>
  </si>
  <si>
    <t>G0053906.JPG</t>
  </si>
  <si>
    <t>G0053907.JPG</t>
  </si>
  <si>
    <t>G0053908.JPG</t>
  </si>
  <si>
    <t>G0053909.JPG</t>
  </si>
  <si>
    <t>G0053910.JPG</t>
  </si>
  <si>
    <t>G0053911.JPG</t>
  </si>
  <si>
    <t>G0053912.JPG</t>
  </si>
  <si>
    <t>G0053913.JPG</t>
  </si>
  <si>
    <t>G0053914.JPG</t>
  </si>
  <si>
    <t>G0053915.JPG</t>
  </si>
  <si>
    <t>G0053916.JPG</t>
  </si>
  <si>
    <t>G0053917.JPG</t>
  </si>
  <si>
    <t>G0053918.JPG</t>
  </si>
  <si>
    <t>G0053919.JPG</t>
  </si>
  <si>
    <t>G0053920.JPG</t>
  </si>
  <si>
    <t>G0053921.JPG</t>
  </si>
  <si>
    <t>G0053922.JPG</t>
  </si>
  <si>
    <t>G0053923.JPG</t>
  </si>
  <si>
    <t>G0053924.JPG</t>
  </si>
  <si>
    <t>G0053925.JPG</t>
  </si>
  <si>
    <t>G0053926.JPG</t>
  </si>
  <si>
    <t>G0053927.JPG</t>
  </si>
  <si>
    <t>G0053928.JPG</t>
  </si>
  <si>
    <t>G0053929.JPG</t>
  </si>
  <si>
    <t>G0053930.JPG</t>
  </si>
  <si>
    <t>G0053931.JPG</t>
  </si>
  <si>
    <t>G0053932.JPG</t>
  </si>
  <si>
    <t>G0053933.JPG</t>
  </si>
  <si>
    <t>G0053934.JPG</t>
  </si>
  <si>
    <t>G0053935.JPG</t>
  </si>
  <si>
    <t>G0053936.JPG</t>
  </si>
  <si>
    <t>G0053937.JPG</t>
  </si>
  <si>
    <t>G0053938.JPG</t>
  </si>
  <si>
    <t>G0053939.JPG</t>
  </si>
  <si>
    <t>G0053940.JPG</t>
  </si>
  <si>
    <t>G0053941.JPG</t>
  </si>
  <si>
    <t>G0053942.JPG</t>
  </si>
  <si>
    <t>G0053943.JPG</t>
  </si>
  <si>
    <t>G0053944.JPG</t>
  </si>
  <si>
    <t>G0053945.JPG</t>
  </si>
  <si>
    <t>G0053946.JPG</t>
  </si>
  <si>
    <t>G0053947.JPG</t>
  </si>
  <si>
    <t>G0053948.JPG</t>
  </si>
  <si>
    <t>G0053949.JPG</t>
  </si>
  <si>
    <t>G0053950.JPG</t>
  </si>
  <si>
    <t>G0053951.JPG</t>
  </si>
  <si>
    <t>G0053952.JPG</t>
  </si>
  <si>
    <t>G0053953.JPG</t>
  </si>
  <si>
    <t>G0053954.JPG</t>
  </si>
  <si>
    <t>G0053955.JPG</t>
  </si>
  <si>
    <t>G0053956.JPG</t>
  </si>
  <si>
    <t>G0053957.JPG</t>
  </si>
  <si>
    <t>G0053958.JPG</t>
  </si>
  <si>
    <t>G0053959.JPG</t>
  </si>
  <si>
    <t>G0053960.JPG</t>
  </si>
  <si>
    <t>G0053961.JPG</t>
  </si>
  <si>
    <t>G0053962.JPG</t>
  </si>
  <si>
    <t>G0053963.JPG</t>
  </si>
  <si>
    <t>G0053964.JPG</t>
  </si>
  <si>
    <t>G0053965.JPG</t>
  </si>
  <si>
    <t>G0053966.JPG</t>
  </si>
  <si>
    <t>G0053967.JPG</t>
  </si>
  <si>
    <t>G0053968.JPG</t>
  </si>
  <si>
    <t>G0053969.JPG</t>
  </si>
  <si>
    <t>G0053970.JPG</t>
  </si>
  <si>
    <t>G0053971.JPG</t>
  </si>
  <si>
    <t>G0053972.JPG</t>
  </si>
  <si>
    <t>G0053973.JPG</t>
  </si>
  <si>
    <t>G0053974.JPG</t>
  </si>
  <si>
    <t>G0053975.JPG</t>
  </si>
  <si>
    <t>G0053976.JPG</t>
  </si>
  <si>
    <t>G0053977.JPG</t>
  </si>
  <si>
    <t>G0053978.JPG</t>
  </si>
  <si>
    <t>G0053979.JPG</t>
  </si>
  <si>
    <t>G0053980.JPG</t>
  </si>
  <si>
    <t>G0053981.JPG</t>
  </si>
  <si>
    <t>G0053982.JPG</t>
  </si>
  <si>
    <t>G0053983.JPG</t>
  </si>
  <si>
    <t>G0053984.JPG</t>
  </si>
  <si>
    <t>G0053985.JPG</t>
  </si>
  <si>
    <t>G0053986.JPG</t>
  </si>
  <si>
    <t>G0053987.JPG</t>
  </si>
  <si>
    <t>G0053988.JPG</t>
  </si>
  <si>
    <t>G0053989.JPG</t>
  </si>
  <si>
    <t>G0053990.JPG</t>
  </si>
  <si>
    <t>G0053991.JPG</t>
  </si>
  <si>
    <t>G0053992.JPG</t>
  </si>
  <si>
    <t>G0053993.JPG</t>
  </si>
  <si>
    <t>G0053994.JPG</t>
  </si>
  <si>
    <t>G0053995.JPG</t>
  </si>
  <si>
    <t>G0053996.JPG</t>
  </si>
  <si>
    <t>G0053997.JPG</t>
  </si>
  <si>
    <t>G0053998.JPG</t>
  </si>
  <si>
    <t>G0053999.JPG</t>
  </si>
  <si>
    <t>G0054000.JPG</t>
  </si>
  <si>
    <t>G0054001.JPG</t>
  </si>
  <si>
    <t>G0054002.JPG</t>
  </si>
  <si>
    <t>G0054003.JPG</t>
  </si>
  <si>
    <t>G0054004.JPG</t>
  </si>
  <si>
    <t>G0054005.JPG</t>
  </si>
  <si>
    <t>G0054006.JPG</t>
  </si>
  <si>
    <t>G0054007.JPG</t>
  </si>
  <si>
    <t>G0054008.JPG</t>
  </si>
  <si>
    <t>G0054009.JPG</t>
  </si>
  <si>
    <t>G0054010.JPG</t>
  </si>
  <si>
    <t>G0054011.JPG</t>
  </si>
  <si>
    <t>G0054012.JPG</t>
  </si>
  <si>
    <t>G0054013.JPG</t>
  </si>
  <si>
    <t>G0054014.JPG</t>
  </si>
  <si>
    <t>G0054015.JPG</t>
  </si>
  <si>
    <t>G0054016.JPG</t>
  </si>
  <si>
    <t>G0054017.JPG</t>
  </si>
  <si>
    <t>G0054018.JPG</t>
  </si>
  <si>
    <t>G0054019.JPG</t>
  </si>
  <si>
    <t>G0054020.JPG</t>
  </si>
  <si>
    <t>G0054021.JPG</t>
  </si>
  <si>
    <t>G0054022.JPG</t>
  </si>
  <si>
    <t>G0054023.JPG</t>
  </si>
  <si>
    <t>G0054024.JPG</t>
  </si>
  <si>
    <t>G0054025.JPG</t>
  </si>
  <si>
    <t>G0054026.JPG</t>
  </si>
  <si>
    <t>G0054027.JPG</t>
  </si>
  <si>
    <t>G0054028.JPG</t>
  </si>
  <si>
    <t>G0054029.JPG</t>
  </si>
  <si>
    <t>G0054030.JPG</t>
  </si>
  <si>
    <t>G0054031.JPG</t>
  </si>
  <si>
    <t>G0054032.JPG</t>
  </si>
  <si>
    <t>G0054033.JPG</t>
  </si>
  <si>
    <t>G0054034.JPG</t>
  </si>
  <si>
    <t>G0054035.JPG</t>
  </si>
  <si>
    <t>G0054036.JPG</t>
  </si>
  <si>
    <t>G0054037.JPG</t>
  </si>
  <si>
    <t>G0054038.JPG</t>
  </si>
  <si>
    <t>G0054039.JPG</t>
  </si>
  <si>
    <t>G0054040.JPG</t>
  </si>
  <si>
    <t>G0054041.JPG</t>
  </si>
  <si>
    <t>G0054042.JPG</t>
  </si>
  <si>
    <t>G0054043.JPG</t>
  </si>
  <si>
    <t>G0054044.JPG</t>
  </si>
  <si>
    <t>G0054045.JPG</t>
  </si>
  <si>
    <t>G0054046.JPG</t>
  </si>
  <si>
    <t>G0054047.JPG</t>
  </si>
  <si>
    <t>G0054048.JPG</t>
  </si>
  <si>
    <t>G0054049.JPG</t>
  </si>
  <si>
    <t>G0054050.JPG</t>
  </si>
  <si>
    <t>G0054051.JPG</t>
  </si>
  <si>
    <t>G0054052.JPG</t>
  </si>
  <si>
    <t>G0054053.JPG</t>
  </si>
  <si>
    <t>G0054054.JPG</t>
  </si>
  <si>
    <t>G0054055.JPG</t>
  </si>
  <si>
    <t>G0054056.JPG</t>
  </si>
  <si>
    <t>G0054057.JPG</t>
  </si>
  <si>
    <t>G0054058.JPG</t>
  </si>
  <si>
    <t>G0054059.JPG</t>
  </si>
  <si>
    <t>G0054060.JPG</t>
  </si>
  <si>
    <t>G0054061.JPG</t>
  </si>
  <si>
    <t>G0054062.JPG</t>
  </si>
  <si>
    <t>G0054063.JPG</t>
  </si>
  <si>
    <t>G0054064.JPG</t>
  </si>
  <si>
    <t>G0054065.JPG</t>
  </si>
  <si>
    <t>G0054066.JPG</t>
  </si>
  <si>
    <t>G0054067.JPG</t>
  </si>
  <si>
    <t>G0054068.JPG</t>
  </si>
  <si>
    <t>G0054069.JPG</t>
  </si>
  <si>
    <t>G0054070.JPG</t>
  </si>
  <si>
    <t>G0054071.JPG</t>
  </si>
  <si>
    <t>G0054072.JPG</t>
  </si>
  <si>
    <t>G0054073.JPG</t>
  </si>
  <si>
    <t>G0054074.JPG</t>
  </si>
  <si>
    <t>G0054075.JPG</t>
  </si>
  <si>
    <t>G0054076.JPG</t>
  </si>
  <si>
    <t>G0054077.JPG</t>
  </si>
  <si>
    <t>G0054078.JPG</t>
  </si>
  <si>
    <t>G0054079.JPG</t>
  </si>
  <si>
    <t>G0054080.JPG</t>
  </si>
  <si>
    <t>G0054081.JPG</t>
  </si>
  <si>
    <t>G0054082.JPG</t>
  </si>
  <si>
    <t>G0054083.JPG</t>
  </si>
  <si>
    <t>G0054084.JPG</t>
  </si>
  <si>
    <t>G0054085.JPG</t>
  </si>
  <si>
    <t>G0054086.JPG</t>
  </si>
  <si>
    <t>G0054087.JPG</t>
  </si>
  <si>
    <t>G0054088.JPG</t>
  </si>
  <si>
    <t>G0054089.JPG</t>
  </si>
  <si>
    <t>G0054090.JPG</t>
  </si>
  <si>
    <t>G0054091.JPG</t>
  </si>
  <si>
    <t>G0054092.JPG</t>
  </si>
  <si>
    <t>G0054093.JPG</t>
  </si>
  <si>
    <t>G0054094.JPG</t>
  </si>
  <si>
    <t>G0054095.JPG</t>
  </si>
  <si>
    <t>G0054096.JPG</t>
  </si>
  <si>
    <t>G0054097.JPG</t>
  </si>
  <si>
    <t>G0054098.JPG</t>
  </si>
  <si>
    <t>G0054099.JPG</t>
  </si>
  <si>
    <t>G0054100.JPG</t>
  </si>
  <si>
    <t>G0054101.JPG</t>
  </si>
  <si>
    <t>G0054102.JPG</t>
  </si>
  <si>
    <t>G0054103.JPG</t>
  </si>
  <si>
    <t>G0054104.JPG</t>
  </si>
  <si>
    <t>G0054105.JPG</t>
  </si>
  <si>
    <t>G0054106.JPG</t>
  </si>
  <si>
    <t>G0054107.JPG</t>
  </si>
  <si>
    <t>G0054108.JPG</t>
  </si>
  <si>
    <t>G0054109.JPG</t>
  </si>
  <si>
    <t>G0054110.JPG</t>
  </si>
  <si>
    <t>G0054111.JPG</t>
  </si>
  <si>
    <t>G0054112.JPG</t>
  </si>
  <si>
    <t>G0054113.JPG</t>
  </si>
  <si>
    <t>G0054114.JPG</t>
  </si>
  <si>
    <t>G0054115.JPG</t>
  </si>
  <si>
    <t>G0054116.JPG</t>
  </si>
  <si>
    <t>G0054117.JPG</t>
  </si>
  <si>
    <t>G0054118.JPG</t>
  </si>
  <si>
    <t>G0054119.JPG</t>
  </si>
  <si>
    <t>G0054120.JPG</t>
  </si>
  <si>
    <t>G0054121.JPG</t>
  </si>
  <si>
    <t>G0054122.JPG</t>
  </si>
  <si>
    <t>G0054123.JPG</t>
  </si>
  <si>
    <t>G0054124.JPG</t>
  </si>
  <si>
    <t>G0054125.JPG</t>
  </si>
  <si>
    <t>G0054126.JPG</t>
  </si>
  <si>
    <t>G0054127.JPG</t>
  </si>
  <si>
    <t>G0054128.JPG</t>
  </si>
  <si>
    <t>G0054129.JPG</t>
  </si>
  <si>
    <t>G0054130.JPG</t>
  </si>
  <si>
    <t>G0054131.JPG</t>
  </si>
  <si>
    <t>G0054132.JPG</t>
  </si>
  <si>
    <t>G0054133.JPG</t>
  </si>
  <si>
    <t>G0054134.JPG</t>
  </si>
  <si>
    <t>G0054135.JPG</t>
  </si>
  <si>
    <t>G0054136.JPG</t>
  </si>
  <si>
    <t>G0054137.JPG</t>
  </si>
  <si>
    <t>G0054138.JPG</t>
  </si>
  <si>
    <t>G0054139.JPG</t>
  </si>
  <si>
    <t>G0054140.JPG</t>
  </si>
  <si>
    <t>G0054141.JPG</t>
  </si>
  <si>
    <t>G0054142.JPG</t>
  </si>
  <si>
    <t>G0054143.JPG</t>
  </si>
  <si>
    <t>G0054144.JPG</t>
  </si>
  <si>
    <t>G0054145.JPG</t>
  </si>
  <si>
    <t>G0054146.JPG</t>
  </si>
  <si>
    <t>G0054147.JPG</t>
  </si>
  <si>
    <t>NI202409_CAP-EC_D03</t>
  </si>
  <si>
    <t>Picam V3 wide (R3 - Rack Cata)</t>
  </si>
  <si>
    <t>23-09-24-181335.042-00.jpg</t>
  </si>
  <si>
    <t>23-09-24-181336.900-01.jpg</t>
  </si>
  <si>
    <t>23-09-24-181338.757-02.jpg</t>
  </si>
  <si>
    <t>23-09-24-181340.624-03.jpg</t>
  </si>
  <si>
    <t>23-09-24-181342.480-04.jpg</t>
  </si>
  <si>
    <t>23-09-24-181344.346-05.jpg</t>
  </si>
  <si>
    <t>23-09-24-181346.207-06.jpg</t>
  </si>
  <si>
    <t>23-09-24-181348.056-07.jpg</t>
  </si>
  <si>
    <t>23-09-24-181349.916-08.jpg</t>
  </si>
  <si>
    <t>23-09-24-181351.762-09.jpg</t>
  </si>
  <si>
    <t>23-09-24-181353.630-10.jpg</t>
  </si>
  <si>
    <t>23-09-24-181355.490-11.jpg</t>
  </si>
  <si>
    <t>23-09-24-181357.354-12.jpg</t>
  </si>
  <si>
    <t>23-09-24-181359.224-13.jpg</t>
  </si>
  <si>
    <t>23-09-24-181401.092-14.jpg</t>
  </si>
  <si>
    <t>23-09-24-181402.942-15.jpg</t>
  </si>
  <si>
    <t>23-09-24-181404.792-16.jpg</t>
  </si>
  <si>
    <t>23-09-24-181406.654-17.jpg</t>
  </si>
  <si>
    <t>23-09-24-181408.498-18.jpg</t>
  </si>
  <si>
    <t>23-09-24-181410.351-19.jpg</t>
  </si>
  <si>
    <t>23-09-24-181412.211-20.jpg</t>
  </si>
  <si>
    <t>23-09-24-181414.073-21.jpg</t>
  </si>
  <si>
    <t>23-09-24-181415.932-22.jpg</t>
  </si>
  <si>
    <t>23-09-24-181417.782-23.jpg</t>
  </si>
  <si>
    <t>23-09-24-181419.640-24.jpg</t>
  </si>
  <si>
    <t>23-09-24-181421.492-25.jpg</t>
  </si>
  <si>
    <t>23-09-24-181423.355-26.jpg</t>
  </si>
  <si>
    <t>23-09-24-181425.228-27.jpg</t>
  </si>
  <si>
    <t>23-09-24-181427.098-28.jpg</t>
  </si>
  <si>
    <t>23-09-24-181428.969-29.jpg</t>
  </si>
  <si>
    <t>23-09-24-181430.848-30.jpg</t>
  </si>
  <si>
    <t>23-09-24-181432.727-31.jpg</t>
  </si>
  <si>
    <t>23-09-24-181435.697-32.jpg</t>
  </si>
  <si>
    <t>23-09-24-181437.572-33.jpg</t>
  </si>
  <si>
    <t>23-09-24-181439.444-34.jpg</t>
  </si>
  <si>
    <t>23-09-24-181441.312-35.jpg</t>
  </si>
  <si>
    <t>23-09-24-181443.190-36.jpg</t>
  </si>
  <si>
    <t>23-09-24-181445.070-37.jpg</t>
  </si>
  <si>
    <t>23-09-24-181446.940-38.jpg</t>
  </si>
  <si>
    <t>23-09-24-181448.819-39.jpg</t>
  </si>
  <si>
    <t>23-09-24-181450.683-40.jpg</t>
  </si>
  <si>
    <t>23-09-24-181452.555-41.jpg</t>
  </si>
  <si>
    <t>23-09-24-181454.429-42.jpg</t>
  </si>
  <si>
    <t>23-09-24-181457.176-43.jpg</t>
  </si>
  <si>
    <t>23-09-24-181459.047-44.jpg</t>
  </si>
  <si>
    <t>23-09-24-181500.904-45.jpg</t>
  </si>
  <si>
    <t>23-09-24-181502.768-46.jpg</t>
  </si>
  <si>
    <t>23-09-24-181504.636-47.jpg</t>
  </si>
  <si>
    <t>23-09-24-181506.511-48.jpg</t>
  </si>
  <si>
    <t>23-09-24-181508.383-49.jpg</t>
  </si>
  <si>
    <t>23-09-24-181510.249-50.jpg</t>
  </si>
  <si>
    <t>23-09-24-181512.120-51.jpg</t>
  </si>
  <si>
    <t>23-09-24-181513.986-52.jpg</t>
  </si>
  <si>
    <t>23-09-24-181515.859-53.jpg</t>
  </si>
  <si>
    <t>23-09-24-181517.730-54.jpg</t>
  </si>
  <si>
    <t>23-09-24-181519.597-55.jpg</t>
  </si>
  <si>
    <t>23-09-24-181521.462-56.jpg</t>
  </si>
  <si>
    <t>23-09-24-181524.245-57.jpg</t>
  </si>
  <si>
    <t>23-09-24-181526.100-58.jpg</t>
  </si>
  <si>
    <t>23-09-24-181527.947-59.jpg</t>
  </si>
  <si>
    <t>23-09-24-181529.822-60.jpg</t>
  </si>
  <si>
    <t>23-09-24-181531.675-61.jpg</t>
  </si>
  <si>
    <t>23-09-24-181533.546-62.jpg</t>
  </si>
  <si>
    <t>23-09-24-181535.399-63.jpg</t>
  </si>
  <si>
    <t>23-09-24-181537.256-64.jpg</t>
  </si>
  <si>
    <t>23-09-24-181539.120-65.jpg</t>
  </si>
  <si>
    <t>23-09-24-181540.980-66.jpg</t>
  </si>
  <si>
    <t>23-09-24-181542.855-67.jpg</t>
  </si>
  <si>
    <t>23-09-24-181544.713-68.jpg</t>
  </si>
  <si>
    <t>23-09-24-181546.707-69.jpg</t>
  </si>
  <si>
    <t>23-09-24-181548.565-70.jpg</t>
  </si>
  <si>
    <t>23-09-24-181551.232-71.jpg</t>
  </si>
  <si>
    <t>23-09-24-181553.082-72.jpg</t>
  </si>
  <si>
    <t>23-09-24-181554.938-73.jpg</t>
  </si>
  <si>
    <t>23-09-24-181556.792-74.jpg</t>
  </si>
  <si>
    <t>23-09-24-181558.649-75.jpg</t>
  </si>
  <si>
    <t>23-09-24-181600.510-76.jpg</t>
  </si>
  <si>
    <t>23-09-24-181602.366-77.jpg</t>
  </si>
  <si>
    <t>23-09-24-181604.228-78.jpg</t>
  </si>
  <si>
    <t>23-09-24-181606.085-79.jpg</t>
  </si>
  <si>
    <t>23-09-24-181607.943-80.jpg</t>
  </si>
  <si>
    <t>23-09-24-181609.802-81.jpg</t>
  </si>
  <si>
    <t>23-09-24-181611.656-82.jpg</t>
  </si>
  <si>
    <t>23-09-24-181613.520-83.jpg</t>
  </si>
  <si>
    <t>23-09-24-181615.393-84.jpg</t>
  </si>
  <si>
    <t>23-09-24-181618.164-85.jpg</t>
  </si>
  <si>
    <t>23-09-24-181620.045-86.jpg</t>
  </si>
  <si>
    <t>23-09-24-181621.925-87.jpg</t>
  </si>
  <si>
    <t>23-09-24-181623.809-88.jpg</t>
  </si>
  <si>
    <t>23-09-24-181625.688-89.jpg</t>
  </si>
  <si>
    <t>23-09-24-181627.582-90.jpg</t>
  </si>
  <si>
    <t>23-09-24-181629.452-91.jpg</t>
  </si>
  <si>
    <t>23-09-24-181631.316-92.jpg</t>
  </si>
  <si>
    <t>23-09-24-181633.195-93.jpg</t>
  </si>
  <si>
    <t>23-09-24-181635.057-94.jpg</t>
  </si>
  <si>
    <t>23-09-24-181636.931-95.jpg</t>
  </si>
  <si>
    <t>23-09-24-181638.822-96.jpg</t>
  </si>
  <si>
    <t>23-09-24-181640.711-97.jpg</t>
  </si>
  <si>
    <t>23-09-24-181642.592-98.jpg</t>
  </si>
  <si>
    <t>23-09-24-181644.457-99.jpg</t>
  </si>
  <si>
    <t>23-09-24-181646.331-100.jpg</t>
  </si>
  <si>
    <t>23-09-24-181648.210-101.jpg</t>
  </si>
  <si>
    <t>23-09-24-181650.078-102.jpg</t>
  </si>
  <si>
    <t>23-09-24-181651.943-103.jpg</t>
  </si>
  <si>
    <t>23-09-24-181653.809-104.jpg</t>
  </si>
  <si>
    <t>23-09-24-181655.679-105.jpg</t>
  </si>
  <si>
    <t>23-09-24-181657.537-106.jpg</t>
  </si>
  <si>
    <t>23-09-24-181659.422-107.jpg</t>
  </si>
  <si>
    <t>23-09-24-181701.288-108.jpg</t>
  </si>
  <si>
    <t>23-09-24-181703.293-109.jpg</t>
  </si>
  <si>
    <t>23-09-24-181705.159-110.jpg</t>
  </si>
  <si>
    <t>23-09-24-181707.032-111.jpg</t>
  </si>
  <si>
    <t>23-09-24-181708.898-112.jpg</t>
  </si>
  <si>
    <t>23-09-24-181710.762-113.jpg</t>
  </si>
  <si>
    <t>23-09-24-181712.632-114.jpg</t>
  </si>
  <si>
    <t>23-09-24-181714.508-115.jpg</t>
  </si>
  <si>
    <t>23-09-24-181716.384-116.jpg</t>
  </si>
  <si>
    <t>23-09-24-181718.280-117.jpg</t>
  </si>
  <si>
    <t>23-09-24-181720.166-118.jpg</t>
  </si>
  <si>
    <t>23-09-24-181722.048-119.jpg</t>
  </si>
  <si>
    <t>23-09-24-181723.920-120.jpg</t>
  </si>
  <si>
    <t>23-09-24-181725.790-121.jpg</t>
  </si>
  <si>
    <t>23-09-24-181727.686-122.jpg</t>
  </si>
  <si>
    <t>23-09-24-181730.492-123.jpg</t>
  </si>
  <si>
    <t>23-09-24-181732.353-124.jpg</t>
  </si>
  <si>
    <t>23-09-24-181734.203-125.jpg</t>
  </si>
  <si>
    <t>23-09-24-181736.068-126.jpg</t>
  </si>
  <si>
    <t>23-09-24-181737.943-127.jpg</t>
  </si>
  <si>
    <t>23-09-24-181739.817-128.jpg</t>
  </si>
  <si>
    <t>23-09-24-181741.718-129.jpg</t>
  </si>
  <si>
    <t>23-09-24-181743.605-130.jpg</t>
  </si>
  <si>
    <t>23-09-24-181745.501-131.jpg</t>
  </si>
  <si>
    <t>23-09-24-181747.382-132.jpg</t>
  </si>
  <si>
    <t>23-09-24-181749.263-133.jpg</t>
  </si>
  <si>
    <t>23-09-24-181751.149-134.jpg</t>
  </si>
  <si>
    <t>23-09-24-181753.128-135.jpg</t>
  </si>
  <si>
    <t>23-09-24-181755.946-136.jpg</t>
  </si>
  <si>
    <t>23-09-24-181757.850-137.jpg</t>
  </si>
  <si>
    <t>23-09-24-181759.761-138.jpg</t>
  </si>
  <si>
    <t>23-09-24-181801.678-139.jpg</t>
  </si>
  <si>
    <t>23-09-24-181803.584-140.jpg</t>
  </si>
  <si>
    <t>23-09-24-181805.489-141.jpg</t>
  </si>
  <si>
    <t>23-09-24-181807.420-142.jpg</t>
  </si>
  <si>
    <t>23-09-24-181809.350-143.jpg</t>
  </si>
  <si>
    <t>23-09-24-181811.269-144.jpg</t>
  </si>
  <si>
    <t>23-09-24-181813.214-145.jpg</t>
  </si>
  <si>
    <t>23-09-24-181815.171-146.jpg</t>
  </si>
  <si>
    <t>23-09-24-181817.122-147.jpg</t>
  </si>
  <si>
    <t>23-09-24-181819.052-148.jpg</t>
  </si>
  <si>
    <t>23-09-24-181820.983-149.jpg</t>
  </si>
  <si>
    <t>23-09-24-181823.724-150.jpg</t>
  </si>
  <si>
    <t>23-09-24-181825.662-151.jpg</t>
  </si>
  <si>
    <t>23-09-24-181827.612-152.jpg</t>
  </si>
  <si>
    <t>23-09-24-181829.522-153.jpg</t>
  </si>
  <si>
    <t>23-09-24-181831.438-154.jpg</t>
  </si>
  <si>
    <t>23-09-24-181833.293-155.jpg</t>
  </si>
  <si>
    <t>23-09-24-181835.141-156.jpg</t>
  </si>
  <si>
    <t>23-09-24-181837.044-157.jpg</t>
  </si>
  <si>
    <t>23-09-24-181838.948-158.jpg</t>
  </si>
  <si>
    <t>23-09-24-181841.023-159.jpg</t>
  </si>
  <si>
    <t>23-09-24-181842.920-160.jpg</t>
  </si>
  <si>
    <t>23-09-24-181845.587-161.jpg</t>
  </si>
  <si>
    <t>23-09-24-181847.465-162.jpg</t>
  </si>
  <si>
    <t>23-09-24-181849.330-163.jpg</t>
  </si>
  <si>
    <t>23-09-24-181851.172-164.jpg</t>
  </si>
  <si>
    <t>23-09-24-181853.024-165.jpg</t>
  </si>
  <si>
    <t>23-09-24-181854.870-166.jpg</t>
  </si>
  <si>
    <t>23-09-24-181856.741-167.jpg</t>
  </si>
  <si>
    <t>23-09-24-181858.584-168.jpg</t>
  </si>
  <si>
    <t>23-09-24-181900.447-169.jpg</t>
  </si>
  <si>
    <t>23-09-24-181902.319-170.jpg</t>
  </si>
  <si>
    <t>23-09-24-181904.231-171.jpg</t>
  </si>
  <si>
    <t>23-09-24-181906.241-172.jpg</t>
  </si>
  <si>
    <t>23-09-24-181908.270-173.jpg</t>
  </si>
  <si>
    <t>23-09-24-181910.129-174.jpg</t>
  </si>
  <si>
    <t>23-09-24-181911.988-175.jpg</t>
  </si>
  <si>
    <t>23-09-24-181914.172-176.jpg</t>
  </si>
  <si>
    <t>23-09-24-181916.034-177.jpg</t>
  </si>
  <si>
    <t>23-09-24-181917.882-178.jpg</t>
  </si>
  <si>
    <t>23-09-24-181919.758-179.jpg</t>
  </si>
  <si>
    <t>23-09-24-181921.628-180.jpg</t>
  </si>
  <si>
    <t>23-09-24-181923.518-181.jpg</t>
  </si>
  <si>
    <t>23-09-24-181925.400-182.jpg</t>
  </si>
  <si>
    <t>23-09-24-181927.281-183.jpg</t>
  </si>
  <si>
    <t>23-09-24-181929.160-184.jpg</t>
  </si>
  <si>
    <t>23-09-24-181931.041-185.jpg</t>
  </si>
  <si>
    <t>23-09-24-181933.829-186.jpg</t>
  </si>
  <si>
    <t>23-09-24-181935.719-187.jpg</t>
  </si>
  <si>
    <t>23-09-24-181937.589-188.jpg</t>
  </si>
  <si>
    <t>23-09-24-181939.462-189.jpg</t>
  </si>
  <si>
    <t>23-09-24-181941.349-190.jpg</t>
  </si>
  <si>
    <t>23-09-24-181943.230-191.jpg</t>
  </si>
  <si>
    <t>23-09-24-181945.123-192.jpg</t>
  </si>
  <si>
    <t>23-09-24-181946.002-193.jpg</t>
  </si>
  <si>
    <t>23-09-24-181948.875-194.jpg</t>
  </si>
  <si>
    <t>23-09-24-181950.736-195.jpg</t>
  </si>
  <si>
    <t>23-09-24-181952.612-196.jpg</t>
  </si>
  <si>
    <t>23-09-24-181954.472-197.jpg</t>
  </si>
  <si>
    <t>23-09-24-181956.324-198.jpg</t>
  </si>
  <si>
    <t>23-09-24-181958.831-199.jpg</t>
  </si>
  <si>
    <t>23-09-24-182000.679-200.jpg</t>
  </si>
  <si>
    <t>23-09-24-182002.521-201.jpg</t>
  </si>
  <si>
    <t>23-09-24-182004.372-202.jpg</t>
  </si>
  <si>
    <t>23-09-24-182006.231-203.jpg</t>
  </si>
  <si>
    <t>23-09-24-182008.090-204.jpg</t>
  </si>
  <si>
    <t>23-09-24-182009.954-205.jpg</t>
  </si>
  <si>
    <t>23-09-24-182011.843-206.jpg</t>
  </si>
  <si>
    <t>23-09-24-182013.719-207.jpg</t>
  </si>
  <si>
    <t>23-09-24-182015.600-208.jpg</t>
  </si>
  <si>
    <t>23-09-24-182017.498-209.jpg</t>
  </si>
  <si>
    <t>23-09-24-182019.828-210.jpg</t>
  </si>
  <si>
    <t>23-09-24-182021.713-211.jpg</t>
  </si>
  <si>
    <t>23-09-24-182023.573-212.jpg</t>
  </si>
  <si>
    <t>23-09-24-182025.428-213.jpg</t>
  </si>
  <si>
    <t>23-09-24-182027.281-214.jpg</t>
  </si>
  <si>
    <t>23-09-24-182029.148-215.jpg</t>
  </si>
  <si>
    <t>23-09-24-182031.012-216.jpg</t>
  </si>
  <si>
    <t>23-09-24-182032.881-217.jpg</t>
  </si>
  <si>
    <t>23-09-24-182034.751-218.jpg</t>
  </si>
  <si>
    <t>23-09-24-182036.622-219.jpg</t>
  </si>
  <si>
    <t>23-09-24-182038.487-220.jpg</t>
  </si>
  <si>
    <t>23-09-24-182040.354-221.jpg</t>
  </si>
  <si>
    <t>23-09-24-182042.223-222.jpg</t>
  </si>
  <si>
    <t>23-09-24-182044.102-223.jpg</t>
  </si>
  <si>
    <t>23-09-24-182045.963-224.jpg</t>
  </si>
  <si>
    <t>23-09-24-182047.828-225.jpg</t>
  </si>
  <si>
    <t>23-09-24-182050.320-226.jpg</t>
  </si>
  <si>
    <t>23-09-24-182052.178-227.jpg</t>
  </si>
  <si>
    <t>23-09-24-182054.049-228.jpg</t>
  </si>
  <si>
    <t>23-09-24-182055.909-229.jpg</t>
  </si>
  <si>
    <t>23-09-24-182057.783-230.jpg</t>
  </si>
  <si>
    <t>23-09-24-182059.650-231.jpg</t>
  </si>
  <si>
    <t>23-09-24-182101.505-232.jpg</t>
  </si>
  <si>
    <t>23-09-24-182103.387-233.jpg</t>
  </si>
  <si>
    <t>23-09-24-182105.259-234.jpg</t>
  </si>
  <si>
    <t>23-09-24-182107.233-235.jpg</t>
  </si>
  <si>
    <t>23-09-24-182109.873-236.jpg</t>
  </si>
  <si>
    <t>23-09-24-182111.745-237.jpg</t>
  </si>
  <si>
    <t>23-09-24-182113.612-238.jpg</t>
  </si>
  <si>
    <t>23-09-24-182115.472-239.jpg</t>
  </si>
  <si>
    <t>23-09-24-182117.325-240.jpg</t>
  </si>
  <si>
    <t>23-09-24-182119.168-241.jpg</t>
  </si>
  <si>
    <t>23-09-24-182121.012-242.jpg</t>
  </si>
  <si>
    <t>23-09-24-182122.847-243.jpg</t>
  </si>
  <si>
    <t>23-09-24-182124.681-244.jpg</t>
  </si>
  <si>
    <t>23-09-24-182126.522-245.jpg</t>
  </si>
  <si>
    <t>23-09-24-182128.367-246.jpg</t>
  </si>
  <si>
    <t>23-09-24-182130.238-247.jpg</t>
  </si>
  <si>
    <t>23-09-24-182132.089-248.jpg</t>
  </si>
  <si>
    <t>23-09-24-182133.953-249.jpg</t>
  </si>
  <si>
    <t>23-09-24-182135.828-250.jpg</t>
  </si>
  <si>
    <t>23-09-24-182137.695-251.jpg</t>
  </si>
  <si>
    <t>23-09-24-182139.565-252.jpg</t>
  </si>
  <si>
    <t>23-09-24-182141.442-253.jpg</t>
  </si>
  <si>
    <t>23-09-24-182143.320-254.jpg</t>
  </si>
  <si>
    <t>23-09-24-182145.199-255.jpg</t>
  </si>
  <si>
    <t>23-09-24-182147.062-256.jpg</t>
  </si>
  <si>
    <t>23-09-24-182148.916-257.jpg</t>
  </si>
  <si>
    <t>23-09-24-182150.777-258.jpg</t>
  </si>
  <si>
    <t>23-09-24-182152.646-259.jpg</t>
  </si>
  <si>
    <t>23-09-24-182154.510-260.jpg</t>
  </si>
  <si>
    <t>23-09-24-182156.384-261.jpg</t>
  </si>
  <si>
    <t>23-09-24-182158.250-262.jpg</t>
  </si>
  <si>
    <t>23-09-24-182200.888-263.jpg</t>
  </si>
  <si>
    <t>23-09-24-182202.758-264.jpg</t>
  </si>
  <si>
    <t>23-09-24-182204.629-265.jpg</t>
  </si>
  <si>
    <t>23-09-24-182206.508-266.jpg</t>
  </si>
  <si>
    <t>23-09-24-182208.363-267.jpg</t>
  </si>
  <si>
    <t>23-09-24-182210.228-268.jpg</t>
  </si>
  <si>
    <t>23-09-24-182212.081-269.jpg</t>
  </si>
  <si>
    <t>23-09-24-182213.983-270.jpg</t>
  </si>
  <si>
    <t>23-09-24-182215.878-271.jpg</t>
  </si>
  <si>
    <t>23-09-24-182217.761-272.jpg</t>
  </si>
  <si>
    <t>23-09-24-182219.787-273.jpg</t>
  </si>
  <si>
    <t>23-09-24-182222.580-274.jpg</t>
  </si>
  <si>
    <t>23-09-24-182224.471-275.jpg</t>
  </si>
  <si>
    <t>23-09-24-182226.356-276.jpg</t>
  </si>
  <si>
    <t>23-09-24-182228.229-277.jpg</t>
  </si>
  <si>
    <t>23-09-24-182230.096-278.jpg</t>
  </si>
  <si>
    <t>23-09-24-182231.982-279.jpg</t>
  </si>
  <si>
    <t>23-09-24-182233.855-280.jpg</t>
  </si>
  <si>
    <t>23-09-24-182235.756-281.jpg</t>
  </si>
  <si>
    <t>23-09-24-182237.663-282.jpg</t>
  </si>
  <si>
    <t>23-09-24-182239.541-283.jpg</t>
  </si>
  <si>
    <t>23-09-24-182241.417-284.jpg</t>
  </si>
  <si>
    <t>23-09-24-182243.655-285.jpg</t>
  </si>
  <si>
    <t>23-09-24-182245.523-286.jpg</t>
  </si>
  <si>
    <t>23-09-24-182247.383-287.jpg</t>
  </si>
  <si>
    <t>23-09-24-182249.245-288.jpg</t>
  </si>
  <si>
    <t>23-09-24-182251.076-289.jpg</t>
  </si>
  <si>
    <t>23-09-24-182252.910-290.jpg</t>
  </si>
  <si>
    <t>23-09-24-182254.749-291.jpg</t>
  </si>
  <si>
    <t>23-09-24-182256.573-292.jpg</t>
  </si>
  <si>
    <t>23-09-24-182258.416-293.jpg</t>
  </si>
  <si>
    <t>23-09-24-182300.254-294.jpg</t>
  </si>
  <si>
    <t>23-09-24-182302.110-295.jpg</t>
  </si>
  <si>
    <t>23-09-24-182303.968-296.jpg</t>
  </si>
  <si>
    <t>23-09-24-182305.830-297.jpg</t>
  </si>
  <si>
    <t>23-09-24-182307.700-298.jpg</t>
  </si>
  <si>
    <t>23-09-24-182309.566-299.jpg</t>
  </si>
  <si>
    <t>23-09-24-182311.445-300.jpg</t>
  </si>
  <si>
    <t>23-09-24-182313.312-301.jpg</t>
  </si>
  <si>
    <t>23-09-24-182315.173-302.jpg</t>
  </si>
  <si>
    <t>23-09-24-182317.032-303.jpg</t>
  </si>
  <si>
    <t>23-09-24-182318.887-304.jpg</t>
  </si>
  <si>
    <t>23-09-24-182320.910-305.jpg</t>
  </si>
  <si>
    <t>23-09-24-182322.791-306.jpg</t>
  </si>
  <si>
    <t>23-09-24-182324.653-307.jpg</t>
  </si>
  <si>
    <t>23-09-24-182326.529-308.jpg</t>
  </si>
  <si>
    <t>23-09-24-182328.374-309.jpg</t>
  </si>
  <si>
    <t>23-09-24-182330.219-310.jpg</t>
  </si>
  <si>
    <t>23-09-24-182332.099-311.jpg</t>
  </si>
  <si>
    <t>23-09-24-182333.954-312.jpg</t>
  </si>
  <si>
    <t>23-09-24-182335.808-313.jpg</t>
  </si>
  <si>
    <t>23-09-24-182337.663-314.jpg</t>
  </si>
  <si>
    <t>23-09-24-182339.510-315.jpg</t>
  </si>
  <si>
    <t>23-09-24-182341.492-316.jpg</t>
  </si>
  <si>
    <t>23-09-24-182343.362-317.jpg</t>
  </si>
  <si>
    <t>23-09-24-182345.260-318.jpg</t>
  </si>
  <si>
    <t>23-09-24-182347.140-319.jpg</t>
  </si>
  <si>
    <t>23-09-24-182349.012-320.jpg</t>
  </si>
  <si>
    <t>23-09-24-182350.884-321.jpg</t>
  </si>
  <si>
    <t>23-09-24-182352.742-322.jpg</t>
  </si>
  <si>
    <t>23-09-24-182354.585-323.jpg</t>
  </si>
  <si>
    <t>23-09-24-182356.452-324.jpg</t>
  </si>
  <si>
    <t>23-09-24-182358.335-325.jpg</t>
  </si>
  <si>
    <t>23-09-24-182400.213-326.jpg</t>
  </si>
  <si>
    <t>23-09-24-182402.099-327.jpg</t>
  </si>
  <si>
    <t>23-09-24-182405.150-328.jpg</t>
  </si>
  <si>
    <t>23-09-24-182407.025-329.jpg</t>
  </si>
  <si>
    <t>23-09-24-182408.869-330.jpg</t>
  </si>
  <si>
    <t>23-09-24-182410.732-331.jpg</t>
  </si>
  <si>
    <t>23-09-24-182412.602-332.jpg</t>
  </si>
  <si>
    <t>23-09-24-182414.463-333.jpg</t>
  </si>
  <si>
    <t>23-09-24-182416.351-334.jpg</t>
  </si>
  <si>
    <t>23-09-24-182418.201-335.jpg</t>
  </si>
  <si>
    <t>23-09-24-182420.045-336.jpg</t>
  </si>
  <si>
    <t>23-09-24-182421.895-337.jpg</t>
  </si>
  <si>
    <t>23-09-24-182423.749-338.jpg</t>
  </si>
  <si>
    <t>23-09-24-182425.608-339.jpg</t>
  </si>
  <si>
    <t>23-09-24-182427.471-340.jpg</t>
  </si>
  <si>
    <t>23-09-24-182429.335-341.jpg</t>
  </si>
  <si>
    <t>23-09-24-182431.196-342.jpg</t>
  </si>
  <si>
    <t>23-09-24-182433.899-343.jpg</t>
  </si>
  <si>
    <t>23-09-24-182435.765-344.jpg</t>
  </si>
  <si>
    <t>23-09-24-182437.626-345.jpg</t>
  </si>
  <si>
    <t>23-09-24-182439.502-346.jpg</t>
  </si>
  <si>
    <t>23-09-24-182441.378-347.jpg</t>
  </si>
  <si>
    <t>23-09-24-182443.278-348.jpg</t>
  </si>
  <si>
    <t>23-09-24-182445.154-349.jpg</t>
  </si>
  <si>
    <t>23-09-24-182447.073-350.jpg</t>
  </si>
  <si>
    <t>23-09-24-182448.947-351.jpg</t>
  </si>
  <si>
    <t>23-09-24-182450.847-352.jpg</t>
  </si>
  <si>
    <t>23-09-24-182452.723-353.jpg</t>
  </si>
  <si>
    <t>23-09-24-182454.620-354.jpg</t>
  </si>
  <si>
    <t>23-09-24-182456.749-355.jpg</t>
  </si>
  <si>
    <t>23-09-24-182458.639-356.jpg</t>
  </si>
  <si>
    <t>23-09-24-182501.348-357.jpg</t>
  </si>
  <si>
    <t>23-09-24-182503.224-358.jpg</t>
  </si>
  <si>
    <t>23-09-24-182505.092-359.jpg</t>
  </si>
  <si>
    <t>23-09-24-182506.977-360.jpg</t>
  </si>
  <si>
    <t>23-09-24-182508.850-361.jpg</t>
  </si>
  <si>
    <t>23-09-24-182510.743-362.jpg</t>
  </si>
  <si>
    <t>23-09-24-182512.633-363.jpg</t>
  </si>
  <si>
    <t>23-09-24-182514.511-364.jpg</t>
  </si>
  <si>
    <t>23-09-24-182516.377-365.jpg</t>
  </si>
  <si>
    <t>23-09-24-182518.236-366.jpg</t>
  </si>
  <si>
    <t>23-09-24-182520.088-367.jpg</t>
  </si>
  <si>
    <t>23-09-24-182521.954-368.jpg</t>
  </si>
  <si>
    <t>23-09-24-182523.823-369.jpg</t>
  </si>
  <si>
    <t>23-09-24-182525.827-370.jpg</t>
  </si>
  <si>
    <t>23-09-24-182528.618-371.jpg</t>
  </si>
  <si>
    <t>23-09-24-182530.488-372.jpg</t>
  </si>
  <si>
    <t>23-09-24-182532.352-373.jpg</t>
  </si>
  <si>
    <t>23-09-24-182534.252-374.jpg</t>
  </si>
  <si>
    <t>23-09-24-182536.122-375.jpg</t>
  </si>
  <si>
    <t>23-09-24-182537.982-376.jpg</t>
  </si>
  <si>
    <t>23-09-24-182539.850-377.jpg</t>
  </si>
  <si>
    <t>23-09-24-182541.711-378.jpg</t>
  </si>
  <si>
    <t>23-09-24-182543.561-379.jpg</t>
  </si>
  <si>
    <t>23-09-24-182545.411-380.jpg</t>
  </si>
  <si>
    <t>23-09-24-182547.285-381.jpg</t>
  </si>
  <si>
    <t>23-09-24-182549.371-382.jpg</t>
  </si>
  <si>
    <t>23-09-24-182551.260-383.jpg</t>
  </si>
  <si>
    <t>23-09-24-182553.857-384.jpg</t>
  </si>
  <si>
    <t>23-09-24-182555.742-385.jpg</t>
  </si>
  <si>
    <t>23-09-24-182557.623-386.jpg</t>
  </si>
  <si>
    <t>23-09-24-182559.491-387.jpg</t>
  </si>
  <si>
    <t>23-09-24-182601.373-388.jpg</t>
  </si>
  <si>
    <t>23-09-24-182603.252-389.jpg</t>
  </si>
  <si>
    <t>23-09-24-182605.125-390.jpg</t>
  </si>
  <si>
    <t>23-09-24-182606.989-391.jpg</t>
  </si>
  <si>
    <t>23-09-24-182608.878-392.jpg</t>
  </si>
  <si>
    <t>23-09-24-182610.762-393.jpg</t>
  </si>
  <si>
    <t>23-09-24-182612.620-394.jpg</t>
  </si>
  <si>
    <t>23-09-24-182614.493-395.jpg</t>
  </si>
  <si>
    <t>23-09-24-182616.354-396.jpg</t>
  </si>
  <si>
    <t>23-09-24-182618.237-397.jpg</t>
  </si>
  <si>
    <t>23-09-24-182620.117-398.jpg</t>
  </si>
  <si>
    <t>23-09-24-182621.984-399.jpg</t>
  </si>
  <si>
    <t>23-09-24-182623.854-400.jpg</t>
  </si>
  <si>
    <t>23-09-24-182625.723-401.jpg</t>
  </si>
  <si>
    <t>23-09-24-182627.582-402.jpg</t>
  </si>
  <si>
    <t>23-09-24-182629.438-403.jpg</t>
  </si>
  <si>
    <t>23-09-24-182631.297-404.jpg</t>
  </si>
  <si>
    <t>23-09-24-182633.152-405.jpg</t>
  </si>
  <si>
    <t>23-09-24-182635.972-406.jpg</t>
  </si>
  <si>
    <t>23-09-24-182637.817-407.jpg</t>
  </si>
  <si>
    <t>23-09-24-182639.652-408.jpg</t>
  </si>
  <si>
    <t>23-09-24-182641.503-409.jpg</t>
  </si>
  <si>
    <t>23-09-24-182643.359-410.jpg</t>
  </si>
  <si>
    <t>23-09-24-182645.214-411.jpg</t>
  </si>
  <si>
    <t>23-09-24-182647.072-412.jpg</t>
  </si>
  <si>
    <t>23-09-24-182648.920-413.jpg</t>
  </si>
  <si>
    <t>23-09-24-182650.772-414.jpg</t>
  </si>
  <si>
    <t>23-09-24-182652.628-415.jpg</t>
  </si>
  <si>
    <t>23-09-24-182654.502-416.jpg</t>
  </si>
  <si>
    <t>23-09-24-182656.369-417.jpg</t>
  </si>
  <si>
    <t>23-09-24-182658.236-418.jpg</t>
  </si>
  <si>
    <t>23-09-24-182700.078-419.jpg</t>
  </si>
  <si>
    <t>23-09-24-182702.855-420.jpg</t>
  </si>
  <si>
    <t>23-09-24-182704.708-421.jpg</t>
  </si>
  <si>
    <t>23-09-24-182706.566-422.jpg</t>
  </si>
  <si>
    <t>23-09-24-182708.414-423.jpg</t>
  </si>
  <si>
    <t>23-09-24-182710.278-424.jpg</t>
  </si>
  <si>
    <t>23-09-24-182712.138-425.jpg</t>
  </si>
  <si>
    <t>23-09-24-182713.005-426.jpg</t>
  </si>
  <si>
    <t>23-09-24-182715.869-427.jpg</t>
  </si>
  <si>
    <t>23-09-24-182717.732-428.jpg</t>
  </si>
  <si>
    <t>23-09-24-182719.596-429.jpg</t>
  </si>
  <si>
    <t>23-09-24-182721.467-430.jpg</t>
  </si>
  <si>
    <t>23-09-24-182723.341-431.jpg</t>
  </si>
  <si>
    <t>23-09-24-182726.078-432.jpg</t>
  </si>
  <si>
    <t>23-09-24-182727.963-433.jpg</t>
  </si>
  <si>
    <t>23-09-24-182729.844-434.jpg</t>
  </si>
  <si>
    <t>23-09-24-182731.727-435.jpg</t>
  </si>
  <si>
    <t>23-09-24-182733.591-436.jpg</t>
  </si>
  <si>
    <t>23-09-24-182735.460-437.jpg</t>
  </si>
  <si>
    <t>23-09-24-182737.320-438.jpg</t>
  </si>
  <si>
    <t>23-09-24-182739.162-439.jpg</t>
  </si>
  <si>
    <t>23-09-24-182741.032-440.jpg</t>
  </si>
  <si>
    <t>23-09-24-182742.902-441.jpg</t>
  </si>
  <si>
    <t>23-09-24-182744.782-442.jpg</t>
  </si>
  <si>
    <t>23-09-24-182746.649-443.jpg</t>
  </si>
  <si>
    <t>23-09-24-182749.649-444.jpg</t>
  </si>
  <si>
    <t>23-09-24-182751.515-445.jpg</t>
  </si>
  <si>
    <t>23-09-24-182753.390-446.jpg</t>
  </si>
  <si>
    <t>23-09-24-182755.246-447.jpg</t>
  </si>
  <si>
    <t>23-09-24-182757.130-448.jpg</t>
  </si>
  <si>
    <t>23-09-24-182758.003-449.jpg</t>
  </si>
  <si>
    <t>23-09-24-182800.881-450.jpg</t>
  </si>
  <si>
    <t>23-09-24-182802.756-451.jpg</t>
  </si>
  <si>
    <t>23-09-24-182804.632-452.jpg</t>
  </si>
  <si>
    <t>23-09-24-182806.519-453.jpg</t>
  </si>
  <si>
    <t>23-09-24-182808.394-454.jpg</t>
  </si>
  <si>
    <t>23-09-24-182810.282-455.jpg</t>
  </si>
  <si>
    <t>23-09-24-182812.293-456.jpg</t>
  </si>
  <si>
    <t>23-09-24-182814.172-457.jpg</t>
  </si>
  <si>
    <t>23-09-24-182816.052-458.jpg</t>
  </si>
  <si>
    <t>23-09-24-182817.921-459.jpg</t>
  </si>
  <si>
    <t>23-09-24-182819.799-460.jpg</t>
  </si>
  <si>
    <t>23-09-24-182821.678-461.jpg</t>
  </si>
  <si>
    <t>23-09-24-182823.543-462.jpg</t>
  </si>
  <si>
    <t>23-09-24-182825.420-463.jpg</t>
  </si>
  <si>
    <t>23-09-24-182827.283-464.jpg</t>
  </si>
  <si>
    <t>23-09-24-182829.144-465.jpg</t>
  </si>
  <si>
    <t>23-09-24-182830.008-466.jpg</t>
  </si>
  <si>
    <t>23-09-24-182832.872-467.jpg</t>
  </si>
  <si>
    <t>23-09-24-182834.853-468.jpg</t>
  </si>
  <si>
    <t>23-09-24-182837.628-469.jpg</t>
  </si>
  <si>
    <t>23-09-24-182839.491-470.jpg</t>
  </si>
  <si>
    <t>23-09-24-182841.350-471.jpg</t>
  </si>
  <si>
    <t>23-09-24-182843.212-472.jpg</t>
  </si>
  <si>
    <t>23-09-24-182845.072-473.jpg</t>
  </si>
  <si>
    <t>23-09-24-182846.912-474.jpg</t>
  </si>
  <si>
    <t>23-09-24-182848.761-475.jpg</t>
  </si>
  <si>
    <t>23-09-24-182850.620-476.jpg</t>
  </si>
  <si>
    <t>23-09-24-182852.483-477.jpg</t>
  </si>
  <si>
    <t>23-09-24-182854.363-478.jpg</t>
  </si>
  <si>
    <t>23-09-24-182856.232-479.jpg</t>
  </si>
  <si>
    <t>23-09-24-182858.134-480.jpg</t>
  </si>
  <si>
    <t>23-09-24-182900.012-481.jpg</t>
  </si>
  <si>
    <t>23-09-24-182902.669-482.jpg</t>
  </si>
  <si>
    <t>23-09-24-182904.538-483.jpg</t>
  </si>
  <si>
    <t>23-09-24-182906.419-484.jpg</t>
  </si>
  <si>
    <t>23-09-24-182908.304-485.jpg</t>
  </si>
  <si>
    <t>23-09-24-182910.181-486.jpg</t>
  </si>
  <si>
    <t>23-09-24-182912.074-487.jpg</t>
  </si>
  <si>
    <t>23-09-24-182913.944-488.jpg</t>
  </si>
  <si>
    <t>23-09-24-182915.819-489.jpg</t>
  </si>
  <si>
    <t>23-09-24-182917.669-490.jpg</t>
  </si>
  <si>
    <t>23-09-24-182919.550-491.jpg</t>
  </si>
  <si>
    <t>23-09-24-182921.607-492.jpg</t>
  </si>
  <si>
    <t>23-09-24-182923.471-493.jpg</t>
  </si>
  <si>
    <t>23-09-24-182926.168-494.jpg</t>
  </si>
  <si>
    <t>23-09-24-182927.004-495.jpg</t>
  </si>
  <si>
    <t>23-09-24-182929.828-496.jpg</t>
  </si>
  <si>
    <t>23-09-24-182931.653-497.jpg</t>
  </si>
  <si>
    <t>23-09-24-182933.488-498.jpg</t>
  </si>
  <si>
    <t>23-09-24-182935.336-499.jpg</t>
  </si>
  <si>
    <t>23-09-24-182937.191-500.jpg</t>
  </si>
  <si>
    <t>23-09-24-182939.077-501.jpg</t>
  </si>
  <si>
    <t>23-09-24-182940.944-502.jpg</t>
  </si>
  <si>
    <t>23-09-24-182942.809-503.jpg</t>
  </si>
  <si>
    <t>23-09-24-182944.668-504.jpg</t>
  </si>
  <si>
    <t>23-09-24-182946.524-505.jpg</t>
  </si>
  <si>
    <t>23-09-24-182948.376-506.jpg</t>
  </si>
  <si>
    <t>23-09-24-182950.232-507.jpg</t>
  </si>
  <si>
    <t>23-09-24-182952.161-508.jpg</t>
  </si>
  <si>
    <t>23-09-24-182954.022-509.jpg</t>
  </si>
  <si>
    <t>23-09-24-182956.604-510.jpg</t>
  </si>
  <si>
    <t>23-09-24-182958.461-511.jpg</t>
  </si>
  <si>
    <t>23-09-24-183000.320-512.jpg</t>
  </si>
  <si>
    <t>23-09-24-183002.180-513.jpg</t>
  </si>
  <si>
    <t>23-09-24-183004.053-514.jpg</t>
  </si>
  <si>
    <t>23-09-24-183005.901-515.jpg</t>
  </si>
  <si>
    <t>23-09-24-183007.750-516.jpg</t>
  </si>
  <si>
    <t>23-09-24-183009.613-517.jpg</t>
  </si>
  <si>
    <t>23-09-24-183011.462-518.jpg</t>
  </si>
  <si>
    <t>23-09-24-183013.344-519.jpg</t>
  </si>
  <si>
    <t>23-09-24-183015.221-520.jpg</t>
  </si>
  <si>
    <t>23-09-24-183017.202-521.jpg</t>
  </si>
  <si>
    <t>23-09-24-183019.988-522.jpg</t>
  </si>
  <si>
    <t>23-09-24-183021.852-523.jpg</t>
  </si>
  <si>
    <t>23-09-24-183023.713-524.jpg</t>
  </si>
  <si>
    <t>23-09-24-183025.589-525.jpg</t>
  </si>
  <si>
    <t>23-09-24-183027.470-526.jpg</t>
  </si>
  <si>
    <t>23-09-24-183029.386-527.jpg</t>
  </si>
  <si>
    <t>23-09-24-183031.288-528.jpg</t>
  </si>
  <si>
    <t>23-09-24-183033.179-529.jpg</t>
  </si>
  <si>
    <t>23-09-24-183035.071-530.jpg</t>
  </si>
  <si>
    <t>23-09-24-183038.113-531.jpg</t>
  </si>
  <si>
    <t>23-09-24-183039.976-532.jpg</t>
  </si>
  <si>
    <t>23-09-24-183041.831-533.jpg</t>
  </si>
  <si>
    <t>23-09-24-183043.674-534.jpg</t>
  </si>
  <si>
    <t>23-09-24-183045.549-535.jpg</t>
  </si>
  <si>
    <t>23-09-24-183047.398-536.jpg</t>
  </si>
  <si>
    <t>23-09-24-183049.265-537.jpg</t>
  </si>
  <si>
    <t>23-09-24-183051.125-538.jpg</t>
  </si>
  <si>
    <t>23-09-24-183052.989-539.jpg</t>
  </si>
  <si>
    <t>23-09-24-183054.854-540.jpg</t>
  </si>
  <si>
    <t>23-09-24-183056.712-541.jpg</t>
  </si>
  <si>
    <t>23-09-24-183058.571-542.jpg</t>
  </si>
  <si>
    <t>23-09-24-183100.437-543.jpg</t>
  </si>
  <si>
    <t>23-09-24-183102.322-544.jpg</t>
  </si>
  <si>
    <t>23-09-24-183105.114-545.jpg</t>
  </si>
  <si>
    <t>23-09-24-183106.986-546.jpg</t>
  </si>
  <si>
    <t>23-09-24-183108.865-547.jpg</t>
  </si>
  <si>
    <t>23-09-24-183110.719-548.jpg</t>
  </si>
  <si>
    <t>23-09-24-183112.588-549.jpg</t>
  </si>
  <si>
    <t>23-09-24-183114.445-550.jpg</t>
  </si>
  <si>
    <t>23-09-24-183116.296-551.jpg</t>
  </si>
  <si>
    <t>23-09-24-183118.157-552.jpg</t>
  </si>
  <si>
    <t>23-09-24-183120.012-553.jpg</t>
  </si>
  <si>
    <t>23-09-24-183121.872-554.jpg</t>
  </si>
  <si>
    <t>23-09-24-183123.725-555.jpg</t>
  </si>
  <si>
    <t>23-09-24-183125.601-556.jpg</t>
  </si>
  <si>
    <t>23-09-24-183127.464-557.jpg</t>
  </si>
  <si>
    <t>23-09-24-183130.142-558.jpg</t>
  </si>
  <si>
    <t>23-09-24-183131.005-559.jpg</t>
  </si>
  <si>
    <t>23-09-24-183133.870-560.jpg</t>
  </si>
  <si>
    <t>23-09-24-183135.717-561.jpg</t>
  </si>
  <si>
    <t>23-09-24-183137.592-562.jpg</t>
  </si>
  <si>
    <t>23-09-24-183139.458-563.jpg</t>
  </si>
  <si>
    <t>23-09-24-183141.329-564.jpg</t>
  </si>
  <si>
    <t>23-09-24-183143.192-565.jpg</t>
  </si>
  <si>
    <t>23-09-24-183145.034-566.jpg</t>
  </si>
  <si>
    <t>23-09-24-183146.901-567.jpg</t>
  </si>
  <si>
    <t>23-09-24-183148.743-568.jpg</t>
  </si>
  <si>
    <t>23-09-24-183150.596-569.jpg</t>
  </si>
  <si>
    <t>23-09-24-183152.448-570.jpg</t>
  </si>
  <si>
    <t>23-09-24-183154.293-571.jpg</t>
  </si>
  <si>
    <t>23-09-24-183157.030-572.jpg</t>
  </si>
  <si>
    <t>23-09-24-183158.879-573.jpg</t>
  </si>
  <si>
    <t>23-09-24-183200.721-574.jpg</t>
  </si>
  <si>
    <t>23-09-24-183202.578-575.jpg</t>
  </si>
  <si>
    <t>23-09-24-183204.421-576.jpg</t>
  </si>
  <si>
    <t>23-09-24-183206.268-577.jpg</t>
  </si>
  <si>
    <t>23-09-24-183208.111-578.jpg</t>
  </si>
  <si>
    <t>23-09-24-183209.958-579.jpg</t>
  </si>
  <si>
    <t>23-09-24-183211.803-580.jpg</t>
  </si>
  <si>
    <t>23-09-24-183213.651-581.jpg</t>
  </si>
  <si>
    <t>23-09-24-183215.524-582.jpg</t>
  </si>
  <si>
    <t>23-09-24-183217.368-583.jpg</t>
  </si>
  <si>
    <t>23-09-24-183219.236-584.jpg</t>
  </si>
  <si>
    <t>23-09-24-183221.082-585.jpg</t>
  </si>
  <si>
    <t>23-09-24-183222.957-586.jpg</t>
  </si>
  <si>
    <t>23-09-24-183224.813-587.jpg</t>
  </si>
  <si>
    <t>23-09-24-183226.688-588.jpg</t>
  </si>
  <si>
    <t>23-09-24-183228.534-589.jpg</t>
  </si>
  <si>
    <t>23-09-24-183230.390-590.jpg</t>
  </si>
  <si>
    <t>23-09-24-183232.244-591.jpg</t>
  </si>
  <si>
    <t>23-09-24-183234.092-592.jpg</t>
  </si>
  <si>
    <t>23-09-24-183235.955-593.jpg</t>
  </si>
  <si>
    <t>23-09-24-183237.847-594.jpg</t>
  </si>
  <si>
    <t>23-09-24-183239.727-595.jpg</t>
  </si>
  <si>
    <t>23-09-24-183241.609-596.jpg</t>
  </si>
  <si>
    <t>23-09-24-183243.500-597.jpg</t>
  </si>
  <si>
    <t>23-09-24-183245.525-598.jpg</t>
  </si>
  <si>
    <t>23-09-24-183247.389-599.jpg</t>
  </si>
  <si>
    <t>23-09-24-183250.040-600.jpg</t>
  </si>
  <si>
    <t>23-09-24-183251.900-601.jpg</t>
  </si>
  <si>
    <t>23-09-24-183253.764-602.jpg</t>
  </si>
  <si>
    <t>23-09-24-183255.626-603.jpg</t>
  </si>
  <si>
    <t>23-09-24-183257.491-604.jpg</t>
  </si>
  <si>
    <t>23-09-24-183259.344-605.jpg</t>
  </si>
  <si>
    <t>23-09-24-183301.195-606.jpg</t>
  </si>
  <si>
    <t>23-09-24-183303.058-607.jpg</t>
  </si>
  <si>
    <t>23-09-24-183304.930-608.jpg</t>
  </si>
  <si>
    <t>23-09-24-183306.786-609.jpg</t>
  </si>
  <si>
    <t>23-09-24-183308.656-610.jpg</t>
  </si>
  <si>
    <t>23-09-24-183310.512-611.jpg</t>
  </si>
  <si>
    <t>23-09-24-183312.385-612.jpg</t>
  </si>
  <si>
    <t>23-09-24-183314.244-613.jpg</t>
  </si>
  <si>
    <t>23-09-24-183316.093-614.jpg</t>
  </si>
  <si>
    <t>23-09-24-183317.940-615.jpg</t>
  </si>
  <si>
    <t>23-09-24-183319.798-616.jpg</t>
  </si>
  <si>
    <t>23-09-24-183321.655-617.jpg</t>
  </si>
  <si>
    <t>23-09-24-183323.505-618.jpg</t>
  </si>
  <si>
    <t>23-09-24-183325.360-619.jpg</t>
  </si>
  <si>
    <t>23-09-24-183327.216-620.jpg</t>
  </si>
  <si>
    <t>23-09-24-183329.069-621.jpg</t>
  </si>
  <si>
    <t>23-09-24-183330.911-622.jpg</t>
  </si>
  <si>
    <t>23-09-24-183332.759-623.jpg</t>
  </si>
  <si>
    <t>23-09-24-183334.603-624.jpg</t>
  </si>
  <si>
    <t>23-09-24-183336.480-625.jpg</t>
  </si>
  <si>
    <t>23-09-24-183338.344-626.jpg</t>
  </si>
  <si>
    <t>23-09-24-183340.992-627.jpg</t>
  </si>
  <si>
    <t>23-09-24-183342.862-628.jpg</t>
  </si>
  <si>
    <t>23-09-24-183344.713-629.jpg</t>
  </si>
  <si>
    <t>23-09-24-183346.570-630.jpg</t>
  </si>
  <si>
    <t>23-09-24-183348.430-631.jpg</t>
  </si>
  <si>
    <t>23-09-24-183350.292-632.jpg</t>
  </si>
  <si>
    <t>23-09-24-183352.150-633.jpg</t>
  </si>
  <si>
    <t>23-09-24-183353.008-634.jpg</t>
  </si>
  <si>
    <t>23-09-24-183355.855-635.jpg</t>
  </si>
  <si>
    <t>23-09-24-183357.713-636.jpg</t>
  </si>
  <si>
    <t>23-09-24-183359.582-637.jpg</t>
  </si>
  <si>
    <t>23-09-24-183401.452-638.jpg</t>
  </si>
  <si>
    <t>23-09-24-183403.302-639.jpg</t>
  </si>
  <si>
    <t>23-09-24-183405.133-640.jpg</t>
  </si>
  <si>
    <t>23-09-24-183407.068-641.jpg</t>
  </si>
  <si>
    <t>23-09-24-183408.903-642.jpg</t>
  </si>
  <si>
    <t>23-09-24-183411.635-643.jpg</t>
  </si>
  <si>
    <t>23-09-24-183413.497-644.jpg</t>
  </si>
  <si>
    <t>23-09-24-183415.353-645.jpg</t>
  </si>
  <si>
    <t>23-09-24-183417.235-646.jpg</t>
  </si>
  <si>
    <t>23-09-24-183419.093-647.jpg</t>
  </si>
  <si>
    <t>23-09-24-183420.958-648.jpg</t>
  </si>
  <si>
    <t>23-09-24-183422.817-649.jpg</t>
  </si>
  <si>
    <t>23-09-24-183424.693-650.jpg</t>
  </si>
  <si>
    <t>23-09-24-183426.534-651.jpg</t>
  </si>
  <si>
    <t>23-09-24-183428.392-652.jpg</t>
  </si>
  <si>
    <t>23-09-24-183430.239-653.jpg</t>
  </si>
  <si>
    <t>23-09-24-183432.099-654.jpg</t>
  </si>
  <si>
    <t>23-09-24-183433.949-655.jpg</t>
  </si>
  <si>
    <t>23-09-24-183435.821-656.jpg</t>
  </si>
  <si>
    <t>23-09-24-183438.558-657.jpg</t>
  </si>
  <si>
    <t>23-09-24-183440.444-658.jpg</t>
  </si>
  <si>
    <t>23-09-24-183442.312-659.jpg</t>
  </si>
  <si>
    <t>23-09-24-183444.187-660.jpg</t>
  </si>
  <si>
    <t>23-09-24-183446.058-661.jpg</t>
  </si>
  <si>
    <t>23-09-24-183447.942-662.jpg</t>
  </si>
  <si>
    <t>23-09-24-183449.821-663.jpg</t>
  </si>
  <si>
    <t>23-09-24-183451.694-664.jpg</t>
  </si>
  <si>
    <t>23-09-24-183453.568-665.jpg</t>
  </si>
  <si>
    <t>23-09-24-183455.428-666.jpg</t>
  </si>
  <si>
    <t>23-09-24-183457.290-667.jpg</t>
  </si>
  <si>
    <t>23-09-24-183459.152-668.jpg</t>
  </si>
  <si>
    <t>23-09-24-183501.020-669.jpg</t>
  </si>
  <si>
    <t>23-09-24-183503.555-670.jpg</t>
  </si>
  <si>
    <t>23-09-24-183505.415-671.jpg</t>
  </si>
  <si>
    <t>23-09-24-183507.271-672.jpg</t>
  </si>
  <si>
    <t>23-09-24-183509.134-673.jpg</t>
  </si>
  <si>
    <t>23-09-24-183510.997-674.jpg</t>
  </si>
  <si>
    <t>23-09-24-183512.868-675.jpg</t>
  </si>
  <si>
    <t>23-09-24-183514.733-676.jpg</t>
  </si>
  <si>
    <t>23-09-24-183516.592-677.jpg</t>
  </si>
  <si>
    <t>23-09-24-183518.457-678.jpg</t>
  </si>
  <si>
    <t>23-09-24-183520.330-679.jpg</t>
  </si>
  <si>
    <t>23-09-24-183522.189-680.jpg</t>
  </si>
  <si>
    <t>23-09-24-183524.077-681.jpg</t>
  </si>
  <si>
    <t>23-09-24-183525.931-682.jpg</t>
  </si>
  <si>
    <t>23-09-24-183527.805-683.jpg</t>
  </si>
  <si>
    <t>23-09-24-183530.544-684.jpg</t>
  </si>
  <si>
    <t>23-09-24-183532.425-685.jpg</t>
  </si>
  <si>
    <t>23-09-24-183534.291-686.jpg</t>
  </si>
  <si>
    <t>23-09-24-183536.161-687.jpg</t>
  </si>
  <si>
    <t>23-09-24-183538.019-688.jpg</t>
  </si>
  <si>
    <t>23-09-24-183539.878-689.jpg</t>
  </si>
  <si>
    <t>23-09-24-183541.728-690.jpg</t>
  </si>
  <si>
    <t>23-09-24-183543.592-691.jpg</t>
  </si>
  <si>
    <t>23-09-24-183545.453-692.jpg</t>
  </si>
  <si>
    <t>23-09-24-183547.310-693.jpg</t>
  </si>
  <si>
    <t>23-09-24-183549.154-694.jpg</t>
  </si>
  <si>
    <t>23-09-24-183551.011-695.jpg</t>
  </si>
  <si>
    <t>23-09-24-183552.864-696.jpg</t>
  </si>
  <si>
    <t>23-09-24-183554.736-697.jpg</t>
  </si>
  <si>
    <t>23-09-24-183557.477-698.jpg</t>
  </si>
  <si>
    <t>23-09-24-183559.342-699.jpg</t>
  </si>
  <si>
    <t>23-09-24-183601.211-700.jpg</t>
  </si>
  <si>
    <t>23-09-24-183603.080-701.jpg</t>
  </si>
  <si>
    <t>23-09-24-183604.934-702.jpg</t>
  </si>
  <si>
    <t>23-09-24-183606.774-703.jpg</t>
  </si>
  <si>
    <t>23-09-24-183608.635-704.jpg</t>
  </si>
  <si>
    <t>23-09-24-183610.490-705.jpg</t>
  </si>
  <si>
    <t>23-09-24-183612.338-706.jpg</t>
  </si>
  <si>
    <t>23-09-24-183614.196-707.jpg</t>
  </si>
  <si>
    <t>23-09-24-183616.050-708.jpg</t>
  </si>
  <si>
    <t>23-09-24-183617.906-709.jpg</t>
  </si>
  <si>
    <t>23-09-24-183619.758-710.jpg</t>
  </si>
  <si>
    <t>23-09-24-183621.617-711.jpg</t>
  </si>
  <si>
    <t>23-09-24-183624.379-712.jpg</t>
  </si>
  <si>
    <t>23-09-24-183626.248-713.jpg</t>
  </si>
  <si>
    <t>23-09-24-183628.108-714.jpg</t>
  </si>
  <si>
    <t>23-09-24-183629.968-715.jpg</t>
  </si>
  <si>
    <t>23-09-24-183631.837-716.jpg</t>
  </si>
  <si>
    <t>23-09-24-183633.700-717.jpg</t>
  </si>
  <si>
    <t>23-09-24-183635.553-718.jpg</t>
  </si>
  <si>
    <t>23-09-24-183637.407-719.jpg</t>
  </si>
  <si>
    <t>23-09-24-183639.261-720.jpg</t>
  </si>
  <si>
    <t>23-09-24-183641.120-721.jpg</t>
  </si>
  <si>
    <t>23-09-24-183642.977-722.jpg</t>
  </si>
  <si>
    <t>23-09-24-183644.825-723.jpg</t>
  </si>
  <si>
    <t>23-09-24-183646.663-724.jpg</t>
  </si>
  <si>
    <t>23-09-24-183648.503-725.jpg</t>
  </si>
  <si>
    <t>23-09-24-183650.327-726.jpg</t>
  </si>
  <si>
    <t>23-09-24-183652.983-727.jpg</t>
  </si>
  <si>
    <t>23-09-24-183654.806-728.jpg</t>
  </si>
  <si>
    <t>23-09-24-183656.617-729.jpg</t>
  </si>
  <si>
    <t>23-09-24-183658.448-730.jpg</t>
  </si>
  <si>
    <t>23-09-24-183700.305-731.jpg</t>
  </si>
  <si>
    <t>23-09-24-183702.148-732.jpg</t>
  </si>
  <si>
    <t>23-09-24-183703.002-733.jpg</t>
  </si>
  <si>
    <t>23-09-24-183705.858-734.jpg</t>
  </si>
  <si>
    <t>23-09-24-183707.735-735.jpg</t>
  </si>
  <si>
    <t>23-09-24-183709.595-736.jpg</t>
  </si>
  <si>
    <t>23-09-24-183711.464-737.jpg</t>
  </si>
  <si>
    <t>23-09-24-183713.325-738.jpg</t>
  </si>
  <si>
    <t>23-09-24-183715.184-739.jpg</t>
  </si>
  <si>
    <t>23-09-24-183717.045-740.jpg</t>
  </si>
  <si>
    <t>23-09-24-183719.757-741.jpg</t>
  </si>
  <si>
    <t>23-09-24-183721.615-742.jpg</t>
  </si>
  <si>
    <t>23-09-24-183723.471-743.jpg</t>
  </si>
  <si>
    <t>23-09-24-183725.326-744.jpg</t>
  </si>
  <si>
    <t>23-09-24-183727.178-745.jpg</t>
  </si>
  <si>
    <t>23-09-24-183729.047-746.jpg</t>
  </si>
  <si>
    <t>23-09-24-183730.890-747.jpg</t>
  </si>
  <si>
    <t>23-09-24-183732.736-748.jpg</t>
  </si>
  <si>
    <t>23-09-24-183734.593-749.jpg</t>
  </si>
  <si>
    <t>23-09-24-183736.438-750.jpg</t>
  </si>
  <si>
    <t>23-09-24-183738.292-751.jpg</t>
  </si>
  <si>
    <t>23-09-24-183740.172-752.jpg</t>
  </si>
  <si>
    <t>23-09-24-183742.031-753.jpg</t>
  </si>
  <si>
    <t>23-09-24-183743.893-754.jpg</t>
  </si>
  <si>
    <t>23-09-24-183746.662-755.jpg</t>
  </si>
  <si>
    <t>23-09-24-183748.528-756.jpg</t>
  </si>
  <si>
    <t>23-09-24-183750.372-757.jpg</t>
  </si>
  <si>
    <t>23-09-24-183752.226-758.jpg</t>
  </si>
  <si>
    <t>23-09-24-183754.073-759.jpg</t>
  </si>
  <si>
    <t>23-09-24-183755.923-760.jpg</t>
  </si>
  <si>
    <t>23-09-24-183757.764-761.jpg</t>
  </si>
  <si>
    <t>23-09-24-183759.599-762.jpg</t>
  </si>
  <si>
    <t>23-09-24-183801.442-763.jpg</t>
  </si>
  <si>
    <t>23-09-24-183803.294-764.jpg</t>
  </si>
  <si>
    <t>23-09-24-183805.133-765.jpg</t>
  </si>
  <si>
    <t>23-09-24-183806.978-766.jpg</t>
  </si>
  <si>
    <t>23-09-24-183808.836-767.jpg</t>
  </si>
  <si>
    <t>23-09-24-183810.688-768.jpg</t>
  </si>
  <si>
    <t>23-09-24-183812.535-769.jpg</t>
  </si>
  <si>
    <t>23-09-24-183814.379-770.jpg</t>
  </si>
  <si>
    <t>23-09-24-183816.238-771.jpg</t>
  </si>
  <si>
    <t>23-09-24-183818.094-772.jpg</t>
  </si>
  <si>
    <t>23-09-24-183819.966-773.jpg</t>
  </si>
  <si>
    <t>23-09-24-183821.820-774.jpg</t>
  </si>
  <si>
    <t>23-09-24-183823.689-775.jpg</t>
  </si>
  <si>
    <t>23-09-24-183825.552-776.jpg</t>
  </si>
  <si>
    <t>23-09-24-183827.412-777.jpg</t>
  </si>
  <si>
    <t>23-09-24-183829.275-778.jpg</t>
  </si>
  <si>
    <t>23-09-24-183831.147-779.jpg</t>
  </si>
  <si>
    <t>23-09-24-183833.011-780.jpg</t>
  </si>
  <si>
    <t>23-09-24-183834.878-781.jpg</t>
  </si>
  <si>
    <t>23-09-24-183837.646-782.jpg</t>
  </si>
  <si>
    <t>23-09-24-183839.526-783.jpg</t>
  </si>
  <si>
    <t>23-09-24-183841.414-784.jpg</t>
  </si>
  <si>
    <t>23-09-24-183843.309-785.jpg</t>
  </si>
  <si>
    <t>23-09-24-183845.196-786.jpg</t>
  </si>
  <si>
    <t>23-09-24-183847.074-787.jpg</t>
  </si>
  <si>
    <t>23-09-24-183848.963-788.jpg</t>
  </si>
  <si>
    <t>23-09-24-183850.838-789.jpg</t>
  </si>
  <si>
    <t>23-09-24-183852.711-790.jpg</t>
  </si>
  <si>
    <t>23-09-24-183854.571-791.jpg</t>
  </si>
  <si>
    <t>23-09-24-183856.436-792.jpg</t>
  </si>
  <si>
    <t>23-09-24-183858.308-793.jpg</t>
  </si>
  <si>
    <t>23-09-24-183900.149-794.jpg</t>
  </si>
  <si>
    <t>23-09-24-183902.017-795.jpg</t>
  </si>
  <si>
    <t>23-09-24-183903.873-796.jpg</t>
  </si>
  <si>
    <t>23-09-24-183905.742-797.jpg</t>
  </si>
  <si>
    <t>23-09-24-183907.615-798.jpg</t>
  </si>
  <si>
    <t>23-09-24-183909.489-799.jpg</t>
  </si>
  <si>
    <t>23-09-24-183911.365-800.jpg</t>
  </si>
  <si>
    <t>23-09-24-183913.242-801.jpg</t>
  </si>
  <si>
    <t>23-09-24-183915.109-802.jpg</t>
  </si>
  <si>
    <t>23-09-24-183916.982-803.jpg</t>
  </si>
  <si>
    <t>23-09-24-183918.860-804.jpg</t>
  </si>
  <si>
    <t>23-09-24-183920.874-805.jpg</t>
  </si>
  <si>
    <t>23-09-24-183922.752-806.jpg</t>
  </si>
  <si>
    <t>23-09-24-183924.624-807.jpg</t>
  </si>
  <si>
    <t>23-09-24-183926.718-808.jpg</t>
  </si>
  <si>
    <t>23-09-24-183928.592-809.jpg</t>
  </si>
  <si>
    <t>23-09-24-183930.468-810.jpg</t>
  </si>
  <si>
    <t>23-09-24-183932.335-811.jpg</t>
  </si>
  <si>
    <t>23-09-24-183934.203-812.jpg</t>
  </si>
  <si>
    <t>23-09-24-183936.068-813.jpg</t>
  </si>
  <si>
    <t>23-09-24-183937.934-814.jpg</t>
  </si>
  <si>
    <t>23-09-24-183939.792-815.jpg</t>
  </si>
  <si>
    <t>23-09-24-183941.654-816.jpg</t>
  </si>
  <si>
    <t>23-09-24-183943.514-817.jpg</t>
  </si>
  <si>
    <t>23-09-24-183946.122-818.jpg</t>
  </si>
  <si>
    <t>23-09-24-183947.990-819.jpg</t>
  </si>
  <si>
    <t>23-09-24-183949.852-820.jpg</t>
  </si>
  <si>
    <t>23-09-24-183951.715-821.jpg</t>
  </si>
  <si>
    <t>23-09-24-183953.588-822.jpg</t>
  </si>
  <si>
    <t>23-09-24-183955.460-823.jpg</t>
  </si>
  <si>
    <t>23-09-24-183957.338-824.jpg</t>
  </si>
  <si>
    <t>23-09-24-183959.208-825.jpg</t>
  </si>
  <si>
    <t>23-09-24-184001.061-826.jpg</t>
  </si>
  <si>
    <t>23-09-24-184002.927-827.jpg</t>
  </si>
  <si>
    <t>23-09-24-184004.789-828.jpg</t>
  </si>
  <si>
    <t>23-09-24-184006.649-829.jpg</t>
  </si>
  <si>
    <t>23-09-24-184008.514-830.jpg</t>
  </si>
  <si>
    <t>23-09-24-184010.509-831.jpg</t>
  </si>
  <si>
    <t>23-09-24-184013.183-832.jpg</t>
  </si>
  <si>
    <t>23-09-24-184015.050-833.jpg</t>
  </si>
  <si>
    <t>23-09-24-184016.914-834.jpg</t>
  </si>
  <si>
    <t>23-09-24-184018.778-835.jpg</t>
  </si>
  <si>
    <t>23-09-24-184020.653-836.jpg</t>
  </si>
  <si>
    <t>23-09-24-184022.520-837.jpg</t>
  </si>
  <si>
    <t>23-09-24-184024.370-838.jpg</t>
  </si>
  <si>
    <t>23-09-24-184026.241-839.jpg</t>
  </si>
  <si>
    <t>23-09-24-184028.106-840.jpg</t>
  </si>
  <si>
    <t>23-09-24-184029.965-841.jpg</t>
  </si>
  <si>
    <t>23-09-24-184031.818-842.jpg</t>
  </si>
  <si>
    <t>23-09-24-184033.674-843.jpg</t>
  </si>
  <si>
    <t>23-09-24-184035.528-844.jpg</t>
  </si>
  <si>
    <t>23-09-24-184037.399-845.jpg</t>
  </si>
  <si>
    <t>23-09-24-184040.102-846.jpg</t>
  </si>
  <si>
    <t>23-09-24-184041.976-847.jpg</t>
  </si>
  <si>
    <t>23-09-24-184043.851-848.jpg</t>
  </si>
  <si>
    <t>23-09-24-184045.715-849.jpg</t>
  </si>
  <si>
    <t>23-09-24-184047.580-850.jpg</t>
  </si>
  <si>
    <t>23-09-24-184049.456-851.jpg</t>
  </si>
  <si>
    <t>23-09-24-184051.330-852.jpg</t>
  </si>
  <si>
    <t>23-09-24-184053.210-853.jpg</t>
  </si>
  <si>
    <t>23-09-24-184055.086-854.jpg</t>
  </si>
  <si>
    <t>23-09-24-184056.948-855.jpg</t>
  </si>
  <si>
    <t>23-09-24-184058.803-856.jpg</t>
  </si>
  <si>
    <t>23-09-24-184100.652-857.jpg</t>
  </si>
  <si>
    <t>23-09-24-184102.498-858.jpg</t>
  </si>
  <si>
    <t>23-09-24-184105.217-859.jpg</t>
  </si>
  <si>
    <t>23-09-24-184107.063-860.jpg</t>
  </si>
  <si>
    <t>23-09-24-184108.911-861.jpg</t>
  </si>
  <si>
    <t>23-09-24-184110.774-862.jpg</t>
  </si>
  <si>
    <t>23-09-24-184112.650-863.jpg</t>
  </si>
  <si>
    <t>23-09-24-184114.501-864.jpg</t>
  </si>
  <si>
    <t>23-09-24-184116.360-865.jpg</t>
  </si>
  <si>
    <t>23-09-24-184118.229-866.jpg</t>
  </si>
  <si>
    <t>23-09-24-184120.080-867.jpg</t>
  </si>
  <si>
    <t>23-09-24-184121.922-868.jpg</t>
  </si>
  <si>
    <t>23-09-24-184123.783-869.jpg</t>
  </si>
  <si>
    <t>23-09-24-184125.657-870.jpg</t>
  </si>
  <si>
    <t>23-09-24-184127.509-871.jpg</t>
  </si>
  <si>
    <t>23-09-24-184129.358-872.jpg</t>
  </si>
  <si>
    <t>23-09-24-184132.033-873.jpg</t>
  </si>
  <si>
    <t>23-09-24-184133.890-874.jpg</t>
  </si>
  <si>
    <t>23-09-24-184135.748-875.jpg</t>
  </si>
  <si>
    <t>23-09-24-184137.632-876.jpg</t>
  </si>
  <si>
    <t>23-09-24-184139.490-877.jpg</t>
  </si>
  <si>
    <t>23-09-24-184141.350-878.jpg</t>
  </si>
  <si>
    <t>23-09-24-184143.229-879.jpg</t>
  </si>
  <si>
    <t>23-09-24-184145.106-880.jpg</t>
  </si>
  <si>
    <t>23-09-24-184146.985-881.jpg</t>
  </si>
  <si>
    <t>23-09-24-184148.847-882.jpg</t>
  </si>
  <si>
    <t>23-09-24-184150.720-883.jpg</t>
  </si>
  <si>
    <t>23-09-24-184152.586-884.jpg</t>
  </si>
  <si>
    <t>23-09-24-184154.467-885.jpg</t>
  </si>
  <si>
    <t>23-09-24-184156.324-886.jpg</t>
  </si>
  <si>
    <t>23-09-24-184159.062-887.jpg</t>
  </si>
  <si>
    <t>23-09-24-184200.914-888.jpg</t>
  </si>
  <si>
    <t>23-09-24-184202.778-889.jpg</t>
  </si>
  <si>
    <t>23-09-24-184204.626-890.jpg</t>
  </si>
  <si>
    <t>23-09-24-184206.506-891.jpg</t>
  </si>
  <si>
    <t>23-09-24-184208.344-892.jpg</t>
  </si>
  <si>
    <t>23-09-24-184210.206-893.jpg</t>
  </si>
  <si>
    <t>23-09-24-184212.070-894.jpg</t>
  </si>
  <si>
    <t>23-09-24-184213.928-895.jpg</t>
  </si>
  <si>
    <t>23-09-24-184215.798-896.jpg</t>
  </si>
  <si>
    <t>23-09-24-184217.662-897.jpg</t>
  </si>
  <si>
    <t>23-09-24-184219.520-898.jpg</t>
  </si>
  <si>
    <t>23-09-24-184221.364-899.jpg</t>
  </si>
  <si>
    <t>23-09-24-184223.235-900.jpg</t>
  </si>
  <si>
    <t>23-09-24-184225.915-901.jpg</t>
  </si>
  <si>
    <t>23-09-24-184227.773-902.jpg</t>
  </si>
  <si>
    <t>23-09-24-184229.669-903.jpg</t>
  </si>
  <si>
    <t>23-09-24-184231.519-904.jpg</t>
  </si>
  <si>
    <t>23-09-24-184233.369-905.jpg</t>
  </si>
  <si>
    <t>23-09-24-184235.240-906.jpg</t>
  </si>
  <si>
    <t>23-09-24-184237.109-907.jpg</t>
  </si>
  <si>
    <t>23-09-24-184238.980-908.jpg</t>
  </si>
  <si>
    <t>23-09-24-184240.858-909.jpg</t>
  </si>
  <si>
    <t>23-09-24-184242.721-910.jpg</t>
  </si>
  <si>
    <t>23-09-24-184244.578-911.jpg</t>
  </si>
  <si>
    <t>23-09-24-184246.452-912.jpg</t>
  </si>
  <si>
    <t>23-09-24-184248.334-913.jpg</t>
  </si>
  <si>
    <t>23-09-24-184251.102-914.jpg</t>
  </si>
  <si>
    <t>23-09-24-184252.970-915.jpg</t>
  </si>
  <si>
    <t>23-09-24-184254.841-916.jpg</t>
  </si>
  <si>
    <t>23-09-24-184256.715-917.jpg</t>
  </si>
  <si>
    <t>23-09-24-184258.585-918.jpg</t>
  </si>
  <si>
    <t>23-09-24-184300.435-919.jpg</t>
  </si>
  <si>
    <t>23-09-24-184302.301-920.jpg</t>
  </si>
  <si>
    <t>23-09-24-184304.163-921.jpg</t>
  </si>
  <si>
    <t>23-09-24-184306.025-922.jpg</t>
  </si>
  <si>
    <t>23-09-24-184307.895-923.jpg</t>
  </si>
  <si>
    <t>23-09-24-184309.767-924.jpg</t>
  </si>
  <si>
    <t>23-09-24-184312.705-925.jpg</t>
  </si>
  <si>
    <t>23-09-24-184314.568-926.jpg</t>
  </si>
  <si>
    <t>23-09-24-184316.425-927.jpg</t>
  </si>
  <si>
    <t>23-09-24-184318.283-928.jpg</t>
  </si>
  <si>
    <t>23-09-24-184320.138-929.jpg</t>
  </si>
  <si>
    <t>23-09-24-184321.985-930.jpg</t>
  </si>
  <si>
    <t>23-09-24-184323.830-931.jpg</t>
  </si>
  <si>
    <t>23-09-24-184325.677-932.jpg</t>
  </si>
  <si>
    <t>23-09-24-184327.555-933.jpg</t>
  </si>
  <si>
    <t>23-09-24-184329.423-934.jpg</t>
  </si>
  <si>
    <t>23-09-24-184331.291-935.jpg</t>
  </si>
  <si>
    <t>23-09-24-184333.152-936.jpg</t>
  </si>
  <si>
    <t>23-09-24-184335.045-937.jpg</t>
  </si>
  <si>
    <t>23-09-24-184336.919-938.jpg</t>
  </si>
  <si>
    <t>23-09-24-184338.793-939.jpg</t>
  </si>
  <si>
    <t>23-09-24-184340.656-940.jpg</t>
  </si>
  <si>
    <t>23-09-24-184342.531-941.jpg</t>
  </si>
  <si>
    <t>23-09-24-184344.392-942.jpg</t>
  </si>
  <si>
    <t>23-09-24-184346.256-943.jpg</t>
  </si>
  <si>
    <t>23-09-24-184348.118-944.jpg</t>
  </si>
  <si>
    <t>23-09-24-184349.990-945.jpg</t>
  </si>
  <si>
    <t>23-09-24-184351.861-946.jpg</t>
  </si>
  <si>
    <t>23-09-24-184353.736-947.jpg</t>
  </si>
  <si>
    <t>23-09-24-184355.593-948.jpg</t>
  </si>
  <si>
    <t>23-09-24-184358.258-949.jpg</t>
  </si>
  <si>
    <t>23-09-24-184400.144-950.jpg</t>
  </si>
  <si>
    <t>23-09-24-184402.018-951.jpg</t>
  </si>
  <si>
    <t>23-09-24-184403.896-952.jpg</t>
  </si>
  <si>
    <t>23-09-24-184405.772-953.jpg</t>
  </si>
  <si>
    <t>23-09-24-184407.640-954.jpg</t>
  </si>
  <si>
    <t>23-09-24-184409.508-955.jpg</t>
  </si>
  <si>
    <t>23-09-24-184411.368-956.jpg</t>
  </si>
  <si>
    <t>23-09-24-184413.230-957.jpg</t>
  </si>
  <si>
    <t>23-09-24-184415.080-958.jpg</t>
  </si>
  <si>
    <t>23-09-24-184416.922-959.jpg</t>
  </si>
  <si>
    <t>23-09-24-184418.758-960.jpg</t>
  </si>
  <si>
    <t>23-09-24-184420.596-961.jpg</t>
  </si>
  <si>
    <t>23-09-24-184423.339-962.jpg</t>
  </si>
  <si>
    <t>23-09-24-184425.193-963.jpg</t>
  </si>
  <si>
    <t>23-09-24-184427.061-964.jpg</t>
  </si>
  <si>
    <t>23-09-24-184428.942-965.jpg</t>
  </si>
  <si>
    <t>23-09-24-184430.822-966.jpg</t>
  </si>
  <si>
    <t>23-09-24-184432.710-967.jpg</t>
  </si>
  <si>
    <t>23-09-24-184434.602-968.jpg</t>
  </si>
  <si>
    <t>23-09-24-184436.481-969.jpg</t>
  </si>
  <si>
    <t>23-09-24-184438.362-970.jpg</t>
  </si>
  <si>
    <t>23-09-24-184440.253-971.jpg</t>
  </si>
  <si>
    <t>23-09-24-184442.152-972.jpg</t>
  </si>
  <si>
    <t>23-09-24-184444.035-973.jpg</t>
  </si>
  <si>
    <t>23-09-24-184445.923-974.jpg</t>
  </si>
  <si>
    <t>23-09-24-184447.819-975.jpg</t>
  </si>
  <si>
    <t>23-09-24-184449.716-976.jpg</t>
  </si>
  <si>
    <t>23-09-24-184451.606-977.jpg</t>
  </si>
  <si>
    <t>23-09-24-184453.505-978.jpg</t>
  </si>
  <si>
    <t>23-09-24-184455.405-979.jpg</t>
  </si>
  <si>
    <t>23-09-24-184457.278-980.jpg</t>
  </si>
  <si>
    <t>23-09-24-184500.015-981.jpg</t>
  </si>
  <si>
    <t>23-09-24-184501.913-982.jpg</t>
  </si>
  <si>
    <t>23-09-24-184503.788-983.jpg</t>
  </si>
  <si>
    <t>23-09-24-184505.655-984.jpg</t>
  </si>
  <si>
    <t>23-09-24-184507.533-985.jpg</t>
  </si>
  <si>
    <t>23-09-24-184509.409-986.jpg</t>
  </si>
  <si>
    <t>23-09-24-184511.289-987.jpg</t>
  </si>
  <si>
    <t>23-09-24-184513.171-988.jpg</t>
  </si>
  <si>
    <t>23-09-24-184515.047-989.jpg</t>
  </si>
  <si>
    <t>23-09-24-184516.910-990.jpg</t>
  </si>
  <si>
    <t>23-09-24-184518.787-991.jpg</t>
  </si>
  <si>
    <t>23-09-24-184520.686-992.jpg</t>
  </si>
  <si>
    <t>23-09-24-184522.560-993.jpg</t>
  </si>
  <si>
    <t>23-09-24-184524.431-994.jpg</t>
  </si>
  <si>
    <t>23-09-24-184526.308-995.jpg</t>
  </si>
  <si>
    <t>23-09-24-184528.176-996.jpg</t>
  </si>
  <si>
    <t>23-09-24-184530.058-997.jpg</t>
  </si>
  <si>
    <t>23-09-24-184531.922-998.jpg</t>
  </si>
  <si>
    <t>23-09-24-184533.818-999.jpg</t>
  </si>
  <si>
    <t>23-09-24-184535.698-1000.jpg</t>
  </si>
  <si>
    <t>23-09-24-184537.578-1001.jpg</t>
  </si>
  <si>
    <t>23-09-24-184539.453-1002.jpg</t>
  </si>
  <si>
    <t>23-09-24-184542.530-1003.jpg</t>
  </si>
  <si>
    <t>23-09-24-184544.419-1004.jpg</t>
  </si>
  <si>
    <t>23-09-24-184546.280-1005.jpg</t>
  </si>
  <si>
    <t>23-09-24-184548.148-1006.jpg</t>
  </si>
  <si>
    <t>23-09-24-184550.035-1007.jpg</t>
  </si>
  <si>
    <t>23-09-24-184551.906-1008.jpg</t>
  </si>
  <si>
    <t>23-09-24-184553.784-1009.jpg</t>
  </si>
  <si>
    <t>23-09-24-184555.649-1010.jpg</t>
  </si>
  <si>
    <t>23-09-24-184557.522-1011.jpg</t>
  </si>
  <si>
    <t>23-09-24-184559.392-1012.jpg</t>
  </si>
  <si>
    <t>23-09-24-184601.271-1013.jpg</t>
  </si>
  <si>
    <t>23-09-24-184604.554-1014.jpg</t>
  </si>
  <si>
    <t>23-09-24-184606.430-1015.jpg</t>
  </si>
  <si>
    <t>23-09-24-184608.294-1016.jpg</t>
  </si>
  <si>
    <t>23-09-24-184610.169-1017.jpg</t>
  </si>
  <si>
    <t>23-09-24-184612.023-1018.jpg</t>
  </si>
  <si>
    <t>23-09-24-184613.884-1019.jpg</t>
  </si>
  <si>
    <t>23-09-24-184615.746-1020.jpg</t>
  </si>
  <si>
    <t>23-09-24-184617.605-1021.jpg</t>
  </si>
  <si>
    <t>23-09-24-184619.473-1022.jpg</t>
  </si>
  <si>
    <t>23-09-24-184621.320-1023.jpg</t>
  </si>
  <si>
    <t>23-09-24-184623.162-1024.jpg</t>
  </si>
  <si>
    <t>23-09-24-184625.021-1025.jpg</t>
  </si>
  <si>
    <t>23-09-24-184626.876-1026.jpg</t>
  </si>
  <si>
    <t>23-09-24-184629.565-1027.jpg</t>
  </si>
  <si>
    <t>23-09-24-184631.417-1028.jpg</t>
  </si>
  <si>
    <t>23-09-24-184633.259-1029.jpg</t>
  </si>
  <si>
    <t>23-09-24-184635.119-1030.jpg</t>
  </si>
  <si>
    <t>23-09-24-184636.993-1031.jpg</t>
  </si>
  <si>
    <t>23-09-24-184638.865-1032.jpg</t>
  </si>
  <si>
    <t>23-09-24-184640.718-1033.jpg</t>
  </si>
  <si>
    <t>23-09-24-184642.568-1034.jpg</t>
  </si>
  <si>
    <t>23-09-24-184644.408-1035.jpg</t>
  </si>
  <si>
    <t>23-09-24-184646.248-1036.jpg</t>
  </si>
  <si>
    <t>23-09-24-184648.092-1037.jpg</t>
  </si>
  <si>
    <t>23-09-24-184649.948-1038.jpg</t>
  </si>
  <si>
    <t>23-09-24-184651.780-1039.jpg</t>
  </si>
  <si>
    <t>23-09-24-184653.628-1040.jpg</t>
  </si>
  <si>
    <t>23-09-24-184655.482-1041.jpg</t>
  </si>
  <si>
    <t>23-09-24-184657.338-1042.jpg</t>
  </si>
  <si>
    <t>23-09-24-184659.195-1043.jpg</t>
  </si>
  <si>
    <t>23-09-24-184701.058-1044.jpg</t>
  </si>
  <si>
    <t>23-09-24-184702.924-1045.jpg</t>
  </si>
  <si>
    <t>23-09-24-184704.790-1046.jpg</t>
  </si>
  <si>
    <t>23-09-24-184706.650-1047.jpg</t>
  </si>
  <si>
    <t>23-09-24-184708.516-1048.jpg</t>
  </si>
  <si>
    <t>23-09-24-184710.379-1049.jpg</t>
  </si>
  <si>
    <t>23-09-24-184712.242-1050.jpg</t>
  </si>
  <si>
    <t>23-09-24-184714.108-1051.jpg</t>
  </si>
  <si>
    <t>23-09-24-184715.983-1052.jpg</t>
  </si>
  <si>
    <t>23-09-24-184717.857-1053.jpg</t>
  </si>
  <si>
    <t>23-09-24-184720.383-1054.jpg</t>
  </si>
  <si>
    <t>23-09-24-184722.262-1055.jpg</t>
  </si>
  <si>
    <t>23-09-24-184724.152-1056.jpg</t>
  </si>
  <si>
    <t>23-09-24-184726.029-1057.jpg</t>
  </si>
  <si>
    <t>23-09-24-184727.911-1058.jpg</t>
  </si>
  <si>
    <t>23-09-24-184729.768-1059.jpg</t>
  </si>
  <si>
    <t>23-09-24-184731.649-1060.jpg</t>
  </si>
  <si>
    <t>23-09-24-184733.500-1061.jpg</t>
  </si>
  <si>
    <t>23-09-24-184735.359-1062.jpg</t>
  </si>
  <si>
    <t>23-09-24-184737.218-1063.jpg</t>
  </si>
  <si>
    <t>23-09-24-184739.081-1064.jpg</t>
  </si>
  <si>
    <t>23-09-24-184740.943-1065.jpg</t>
  </si>
  <si>
    <t>23-09-24-184742.795-1066.jpg</t>
  </si>
  <si>
    <t>23-09-24-184744.940-1067.jpg</t>
  </si>
  <si>
    <t>23-09-24-184747.651-1068.jpg</t>
  </si>
  <si>
    <t>23-09-24-184749.536-1069.jpg</t>
  </si>
  <si>
    <t>23-09-24-184751.420-1070.jpg</t>
  </si>
  <si>
    <t>23-09-24-184753.291-1071.jpg</t>
  </si>
  <si>
    <t>23-09-24-184755.161-1072.jpg</t>
  </si>
  <si>
    <t>23-09-24-184757.016-1073.jpg</t>
  </si>
  <si>
    <t>23-09-24-184758.862-1074.jpg</t>
  </si>
  <si>
    <t>23-09-24-184800.721-1075.jpg</t>
  </si>
  <si>
    <t>23-09-24-184802.580-1076.jpg</t>
  </si>
  <si>
    <t>23-09-24-184804.439-1077.jpg</t>
  </si>
  <si>
    <t>23-09-24-184806.302-1078.jpg</t>
  </si>
  <si>
    <t>23-09-24-184809.248-1079.jpg</t>
  </si>
  <si>
    <t>23-09-24-184811.110-1080.jpg</t>
  </si>
  <si>
    <t>23-09-24-184812.988-1081.jpg</t>
  </si>
  <si>
    <t>23-09-24-184814.855-1082.jpg</t>
  </si>
  <si>
    <t>23-09-24-184816.741-1083.jpg</t>
  </si>
  <si>
    <t>23-09-24-184818.608-1084.jpg</t>
  </si>
  <si>
    <t>23-09-24-184820.478-1085.jpg</t>
  </si>
  <si>
    <t>23-09-24-184822.340-1086.jpg</t>
  </si>
  <si>
    <t>23-09-24-184824.207-1087.jpg</t>
  </si>
  <si>
    <t>23-09-24-184826.070-1088.jpg</t>
  </si>
  <si>
    <t>23-09-24-184827.932-1089.jpg</t>
  </si>
  <si>
    <t>23-09-24-184829.926-1090.jpg</t>
  </si>
  <si>
    <t>23-09-24-184832.664-1091.jpg</t>
  </si>
  <si>
    <t>23-09-24-184834.525-1092.jpg</t>
  </si>
  <si>
    <t>23-09-24-184836.377-1093.jpg</t>
  </si>
  <si>
    <t>23-09-24-184838.226-1094.jpg</t>
  </si>
  <si>
    <t>23-09-24-184840.085-1095.jpg</t>
  </si>
  <si>
    <t>23-09-24-184841.930-1096.jpg</t>
  </si>
  <si>
    <t>23-09-24-184843.772-1097.jpg</t>
  </si>
  <si>
    <t>23-09-24-184845.628-1098.jpg</t>
  </si>
  <si>
    <t>23-09-24-184847.484-1099.jpg</t>
  </si>
  <si>
    <t>23-09-24-184849.336-1100.jpg</t>
  </si>
  <si>
    <t>23-09-24-184851.195-1101.jpg</t>
  </si>
  <si>
    <t>23-09-24-184853.054-1102.jpg</t>
  </si>
  <si>
    <t>23-09-24-184854.935-1103.jpg</t>
  </si>
  <si>
    <t>23-09-24-184856.798-1104.jpg</t>
  </si>
  <si>
    <t>23-09-24-184858.669-1105.jpg</t>
  </si>
  <si>
    <t>23-09-24-184900.542-1106.jpg</t>
  </si>
  <si>
    <t>23-09-24-184902.418-1107.jpg</t>
  </si>
  <si>
    <t>23-09-24-184904.269-1108.jpg</t>
  </si>
  <si>
    <t>23-09-24-184906.124-1109.jpg</t>
  </si>
  <si>
    <t>23-09-24-184907.979-1110.jpg</t>
  </si>
  <si>
    <t>23-09-24-184909.843-1111.jpg</t>
  </si>
  <si>
    <t>23-09-24-184911.706-1112.jpg</t>
  </si>
  <si>
    <t>23-09-24-184913.567-1113.jpg</t>
  </si>
  <si>
    <t>23-09-24-184915.425-1114.jpg</t>
  </si>
  <si>
    <t>23-09-24-184917.307-1115.jpg</t>
  </si>
  <si>
    <t>23-09-24-184920.060-1116.jpg</t>
  </si>
  <si>
    <t>23-09-24-184921.951-1117.jpg</t>
  </si>
  <si>
    <t>23-09-24-184923.831-1118.jpg</t>
  </si>
  <si>
    <t>23-09-24-184925.707-1119.jpg</t>
  </si>
  <si>
    <t>23-09-24-184927.602-1120.jpg</t>
  </si>
  <si>
    <t>23-09-24-184929.492-1121.jpg</t>
  </si>
  <si>
    <t>23-09-24-184931.367-1122.jpg</t>
  </si>
  <si>
    <t>23-09-24-184933.245-1123.jpg</t>
  </si>
  <si>
    <t>23-09-24-184935.127-1124.jpg</t>
  </si>
  <si>
    <t>23-09-24-184936.000-1125.jpg</t>
  </si>
  <si>
    <t>23-09-24-184938.878-1126.jpg</t>
  </si>
  <si>
    <t>23-09-24-184940.823-1127.jpg</t>
  </si>
  <si>
    <t>23-09-24-184942.689-1128.jpg</t>
  </si>
  <si>
    <t>23-09-24-184944.565-1129.jpg</t>
  </si>
  <si>
    <t>23-09-24-184946.454-1130.jpg</t>
  </si>
  <si>
    <t>23-09-24-184948.327-1131.jpg</t>
  </si>
  <si>
    <t>23-09-24-184950.198-1132.jpg</t>
  </si>
  <si>
    <t>23-09-24-184952.049-1133.jpg</t>
  </si>
  <si>
    <t>23-09-24-184953.916-1134.jpg</t>
  </si>
  <si>
    <t>23-09-24-184955.768-1135.jpg</t>
  </si>
  <si>
    <t>23-09-24-184957.642-1136.jpg</t>
  </si>
  <si>
    <t>23-09-24-184959.508-1137.jpg</t>
  </si>
  <si>
    <t>23-09-24-185001.395-1138.jpg</t>
  </si>
  <si>
    <t>23-09-24-185003.267-1139.jpg</t>
  </si>
  <si>
    <t>23-09-24-185005.171-1140.jpg</t>
  </si>
  <si>
    <t>23-09-24-185007.078-1141.jpg</t>
  </si>
  <si>
    <t>23-09-24-185008.978-1142.jpg</t>
  </si>
  <si>
    <t>23-09-24-185010.877-1143.jpg</t>
  </si>
  <si>
    <t>23-09-24-185012.776-1144.jpg</t>
  </si>
  <si>
    <t>23-09-24-185014.677-1145.jpg</t>
  </si>
  <si>
    <t>23-09-24-185016.586-1146.jpg</t>
  </si>
  <si>
    <t>23-09-24-185018.491-1147.jpg</t>
  </si>
  <si>
    <t>23-09-24-185021.309-1148.jpg</t>
  </si>
  <si>
    <t>23-09-24-185023.227-1149.jpg</t>
  </si>
  <si>
    <t>23-09-24-185025.140-1150.jpg</t>
  </si>
  <si>
    <t>23-09-24-185027.032-1151.jpg</t>
  </si>
  <si>
    <t>23-09-24-185028.941-1152.jpg</t>
  </si>
  <si>
    <t>23-09-24-185030.840-1153.jpg</t>
  </si>
  <si>
    <t>23-09-24-185032.754-1154.jpg</t>
  </si>
  <si>
    <t>23-09-24-185034.673-1155.jpg</t>
  </si>
  <si>
    <t>23-09-24-185037.156-1156.jpg</t>
  </si>
  <si>
    <t>23-09-24-185039.051-1157.jpg</t>
  </si>
  <si>
    <t>23-09-24-185040.948-1158.jpg</t>
  </si>
  <si>
    <t>23-09-24-185042.846-1159.jpg</t>
  </si>
  <si>
    <t>23-09-24-185044.742-1160.jpg</t>
  </si>
  <si>
    <t>23-09-24-185046.662-1161.jpg</t>
  </si>
  <si>
    <t>23-09-24-185048.548-1162.jpg</t>
  </si>
  <si>
    <t>23-09-24-185050.431-1163.jpg</t>
  </si>
  <si>
    <t>23-09-24-185052.318-1164.jpg</t>
  </si>
  <si>
    <t>23-09-24-185054.205-1165.jpg</t>
  </si>
  <si>
    <t>23-09-24-185056.094-1166.jpg</t>
  </si>
  <si>
    <t>23-09-24-185057.990-1167.jpg</t>
  </si>
  <si>
    <t>23-09-24-185059.881-1168.jpg</t>
  </si>
  <si>
    <t>23-09-24-185101.773-1169.jpg</t>
  </si>
  <si>
    <t>23-09-24-185103.663-1170.jpg</t>
  </si>
  <si>
    <t>23-09-24-185105.553-1171.jpg</t>
  </si>
  <si>
    <t>23-09-24-185107.448-1172.jpg</t>
  </si>
  <si>
    <t>23-09-24-185109.349-1173.jpg</t>
  </si>
  <si>
    <t>23-09-24-185111.265-1174.jpg</t>
  </si>
  <si>
    <t>23-09-24-185113.137-1175.jpg</t>
  </si>
  <si>
    <t>23-09-24-185115.018-1176.jpg</t>
  </si>
  <si>
    <t>23-09-24-185116.893-1177.jpg</t>
  </si>
  <si>
    <t>23-09-24-185118.767-1178.jpg</t>
  </si>
  <si>
    <t>23-09-24-185120.637-1179.jpg</t>
  </si>
  <si>
    <t>23-09-24-185122.517-1180.jpg</t>
  </si>
  <si>
    <t>23-09-24-185124.371-1181.jpg</t>
  </si>
  <si>
    <t>23-09-24-185126.222-1182.jpg</t>
  </si>
  <si>
    <t>23-09-24-185128.071-1183.jpg</t>
  </si>
  <si>
    <t>23-09-24-185129.946-1184.jpg</t>
  </si>
  <si>
    <t>23-09-24-185131.843-1185.jpg</t>
  </si>
  <si>
    <t>23-09-24-185133.732-1186.jpg</t>
  </si>
  <si>
    <t>23-09-24-185135.592-1187.jpg</t>
  </si>
  <si>
    <t>23-09-24-185137.478-1188.jpg</t>
  </si>
  <si>
    <t>23-09-24-185139.346-1189.jpg</t>
  </si>
  <si>
    <t>23-09-24-185141.220-1190.jpg</t>
  </si>
  <si>
    <t>23-09-24-185143.077-1191.jpg</t>
  </si>
  <si>
    <t>23-09-24-185144.916-1192.jpg</t>
  </si>
  <si>
    <t>23-09-24-185146.767-1193.jpg</t>
  </si>
  <si>
    <t>23-09-24-185148.620-1194.jpg</t>
  </si>
  <si>
    <t>23-09-24-185150.476-1195.jpg</t>
  </si>
  <si>
    <t>23-09-24-185153.270-1196.jpg</t>
  </si>
  <si>
    <t>23-09-24-185155.138-1197.jpg</t>
  </si>
  <si>
    <t>23-09-24-185156.000-1198.jpg</t>
  </si>
  <si>
    <t>23-09-24-185158.870-1199.jpg</t>
  </si>
  <si>
    <t>23-09-24-185200.739-1200.jpg</t>
  </si>
  <si>
    <t>23-09-24-185202.616-1201.jpg</t>
  </si>
  <si>
    <t>23-09-24-185204.485-1202.jpg</t>
  </si>
  <si>
    <t>23-09-24-185206.381-1203.jpg</t>
  </si>
  <si>
    <t>23-09-24-185208.260-1204.jpg</t>
  </si>
  <si>
    <t>23-09-24-185210.144-1205.jpg</t>
  </si>
  <si>
    <t>23-09-24-185212.034-1206.jpg</t>
  </si>
  <si>
    <t>23-09-24-185213.927-1207.jpg</t>
  </si>
  <si>
    <t>23-09-24-185215.810-1208.jpg</t>
  </si>
  <si>
    <t>23-09-24-185218.352-1209.jpg</t>
  </si>
  <si>
    <t>23-09-24-185220.232-1210.jpg</t>
  </si>
  <si>
    <t>23-09-24-185222.131-1211.jpg</t>
  </si>
  <si>
    <t>23-09-24-185224.035-1212.jpg</t>
  </si>
  <si>
    <t>23-09-24-185225.922-1213.jpg</t>
  </si>
  <si>
    <t>23-09-24-185227.800-1214.jpg</t>
  </si>
  <si>
    <t>23-09-24-185229.665-1215.jpg</t>
  </si>
  <si>
    <t>23-09-24-185231.539-1216.jpg</t>
  </si>
  <si>
    <t>23-09-24-185233.425-1217.jpg</t>
  </si>
  <si>
    <t>23-09-24-185235.580-1218.jpg</t>
  </si>
  <si>
    <t>23-09-24-185237.495-1219.jpg</t>
  </si>
  <si>
    <t>23-09-24-185240.131-1220.jpg</t>
  </si>
  <si>
    <t>23-09-24-185242.028-1221.jpg</t>
  </si>
  <si>
    <t>23-09-24-185243.908-1222.jpg</t>
  </si>
  <si>
    <t>23-09-24-185245.784-1223.jpg</t>
  </si>
  <si>
    <t>23-09-24-185247.661-1224.jpg</t>
  </si>
  <si>
    <t>23-09-24-185249.525-1225.jpg</t>
  </si>
  <si>
    <t>23-09-24-185251.400-1226.jpg</t>
  </si>
  <si>
    <t>23-09-24-185253.270-1227.jpg</t>
  </si>
  <si>
    <t>23-09-24-185255.125-1228.jpg</t>
  </si>
  <si>
    <t>23-09-24-185257.990-1229.jpg</t>
  </si>
  <si>
    <t>23-09-24-185259.855-1230.jpg</t>
  </si>
  <si>
    <t>23-09-24-185301.733-1231.jpg</t>
  </si>
  <si>
    <t>23-09-24-185303.591-1232.jpg</t>
  </si>
  <si>
    <t>23-09-24-185305.461-1233.jpg</t>
  </si>
  <si>
    <t>23-09-24-185307.338-1234.jpg</t>
  </si>
  <si>
    <t>23-09-24-185309.220-1235.jpg</t>
  </si>
  <si>
    <t>23-09-24-185311.101-1236.jpg</t>
  </si>
  <si>
    <t>23-09-24-185312.978-1237.jpg</t>
  </si>
  <si>
    <t>23-09-24-185314.852-1238.jpg</t>
  </si>
  <si>
    <t>23-09-24-185316.738-1239.jpg</t>
  </si>
  <si>
    <t>23-09-24-185318.598-1240.jpg</t>
  </si>
  <si>
    <t>23-09-24-185321.328-1241.jpg</t>
  </si>
  <si>
    <t>23-09-24-185323.218-1242.jpg</t>
  </si>
  <si>
    <t>23-09-24-185325.108-1243.jpg</t>
  </si>
  <si>
    <t>23-09-24-185326.998-1244.jpg</t>
  </si>
  <si>
    <t>23-09-24-185328.890-1245.jpg</t>
  </si>
  <si>
    <t>23-09-24-185330.769-1246.jpg</t>
  </si>
  <si>
    <t>23-09-24-185332.658-1247.jpg</t>
  </si>
  <si>
    <t>23-09-24-185334.538-1248.jpg</t>
  </si>
  <si>
    <t>23-09-24-185336.408-1249.jpg</t>
  </si>
  <si>
    <t>23-09-24-185338.292-1250.jpg</t>
  </si>
  <si>
    <t>23-09-24-185340.186-1251.jpg</t>
  </si>
  <si>
    <t>23-09-24-185343.012-1252.jpg</t>
  </si>
  <si>
    <t>23-09-24-185344.892-1253.jpg</t>
  </si>
  <si>
    <t>23-09-24-185346.773-1254.jpg</t>
  </si>
  <si>
    <t>23-09-24-185348.663-1255.jpg</t>
  </si>
  <si>
    <t>23-09-24-185350.543-1256.jpg</t>
  </si>
  <si>
    <t>23-09-24-185352.427-1257.jpg</t>
  </si>
  <si>
    <t>23-09-24-185354.322-1258.jpg</t>
  </si>
  <si>
    <t>23-09-24-185356.190-1259.jpg</t>
  </si>
  <si>
    <t>23-09-24-185358.059-1260.jpg</t>
  </si>
  <si>
    <t>23-09-24-185359.918-1261.jpg</t>
  </si>
  <si>
    <t>23-09-24-185401.791-1262.jpg</t>
  </si>
  <si>
    <t>23-09-24-185403.648-1263.jpg</t>
  </si>
  <si>
    <t>23-09-24-185405.517-1264.jpg</t>
  </si>
  <si>
    <t>23-09-24-185407.406-1265.jpg</t>
  </si>
  <si>
    <t>23-09-24-185409.271-1266.jpg</t>
  </si>
  <si>
    <t>23-09-24-185411.156-1267.jpg</t>
  </si>
  <si>
    <t>23-09-24-185413.038-1268.jpg</t>
  </si>
  <si>
    <t>23-09-24-185414.914-1269.jpg</t>
  </si>
  <si>
    <t>NI202409_CAP-EC_D04</t>
  </si>
  <si>
    <t>Picam HQ 170°Lens (amazon) (R5 - Rack Main)</t>
  </si>
  <si>
    <t>23-09-24-184800.757-00.jpg</t>
  </si>
  <si>
    <t>23-09-24-184802.953-01.jpg</t>
  </si>
  <si>
    <t>23-09-24-184805.150-02.jpg</t>
  </si>
  <si>
    <t>23-09-24-184807.343-03.jpg</t>
  </si>
  <si>
    <t>23-09-24-184809.435-04.jpg</t>
  </si>
  <si>
    <t>23-09-24-184811.625-05.jpg</t>
  </si>
  <si>
    <t>23-09-24-184813.812-06.jpg</t>
  </si>
  <si>
    <t>23-09-24-184815.950-07.jpg</t>
  </si>
  <si>
    <t>23-09-24-184818.125-08.jpg</t>
  </si>
  <si>
    <t>23-09-24-184820.297-09.jpg</t>
  </si>
  <si>
    <t>23-09-24-184822.430-10.jpg</t>
  </si>
  <si>
    <t>23-09-24-184824.614-11.jpg</t>
  </si>
  <si>
    <t>23-09-24-184826.794-12.jpg</t>
  </si>
  <si>
    <t>23-09-24-184828.982-13.jpg</t>
  </si>
  <si>
    <t>23-09-24-184831.181-14.jpg</t>
  </si>
  <si>
    <t>23-09-24-184833.380-15.jpg</t>
  </si>
  <si>
    <t>23-09-24-184835.595-16.jpg</t>
  </si>
  <si>
    <t>23-09-24-184837.791-17.jpg</t>
  </si>
  <si>
    <t>23-09-24-184839.980-18.jpg</t>
  </si>
  <si>
    <t>23-09-24-184842.172-19.jpg</t>
  </si>
  <si>
    <t>23-09-24-184844.352-20.jpg</t>
  </si>
  <si>
    <t>23-09-24-184846.542-21.jpg</t>
  </si>
  <si>
    <t>23-09-24-184848.737-22.jpg</t>
  </si>
  <si>
    <t>23-09-24-184850.936-23.jpg</t>
  </si>
  <si>
    <t>23-09-24-184853.140-24.jpg</t>
  </si>
  <si>
    <t>23-09-24-184855.332-25.jpg</t>
  </si>
  <si>
    <t>23-09-24-184857.523-26.jpg</t>
  </si>
  <si>
    <t>23-09-24-184859.711-27.jpg</t>
  </si>
  <si>
    <t xml:space="preserve"> </t>
  </si>
  <si>
    <t>23-09-24-184901.901-28.jpg</t>
  </si>
  <si>
    <t>23-09-24-184904.073-29.jpg</t>
  </si>
  <si>
    <t>23-09-24-184906.265-30.jpg</t>
  </si>
  <si>
    <t>23-09-24-184908.434-31.jpg</t>
  </si>
  <si>
    <t>23-09-24-184910.623-32.jpg</t>
  </si>
  <si>
    <t>23-09-24-184912.802-33.jpg</t>
  </si>
  <si>
    <t>23-09-24-184914.980-34.jpg</t>
  </si>
  <si>
    <t>23-09-24-184917.159-35.jpg</t>
  </si>
  <si>
    <t>23-09-24-184919.343-36.jpg</t>
  </si>
  <si>
    <t>23-09-24-184921.531-37.jpg</t>
  </si>
  <si>
    <t>23-09-24-184924.649-38.jpg</t>
  </si>
  <si>
    <t>23-09-24-184926.842-39.jpg</t>
  </si>
  <si>
    <t>23-09-24-184929.022-40.jpg</t>
  </si>
  <si>
    <t>23-09-24-184931.190-41.jpg</t>
  </si>
  <si>
    <t>23-09-24-184933.360-42.jpg</t>
  </si>
  <si>
    <t>23-09-24-184935.531-43.jpg</t>
  </si>
  <si>
    <t>23-09-24-184937.594-44.jpg</t>
  </si>
  <si>
    <t>23-09-24-184939.734-45.jpg</t>
  </si>
  <si>
    <t>23-09-24-184941.921-46.jpg</t>
  </si>
  <si>
    <t>23-09-24-184944.114-47.jpg</t>
  </si>
  <si>
    <t>23-09-24-184946.286-48.jpg</t>
  </si>
  <si>
    <t>23-09-24-184948.452-49.jpg</t>
  </si>
  <si>
    <t>23-09-24-184950.632-50.jpg</t>
  </si>
  <si>
    <t>23-09-24-184952.802-51.jpg</t>
  </si>
  <si>
    <t>23-09-24-184954.875-52.jpg</t>
  </si>
  <si>
    <t>23-09-24-184957.015-53.jpg</t>
  </si>
  <si>
    <t>23-09-24-184959.074-54.jpg</t>
  </si>
  <si>
    <t>23-09-24-185001.201-55.jpg</t>
  </si>
  <si>
    <t>23-09-24-185003.350-56.jpg</t>
  </si>
  <si>
    <t>23-09-24-185005.523-57.jpg</t>
  </si>
  <si>
    <t>23-09-24-185007.684-58.jpg</t>
  </si>
  <si>
    <t>23-09-24-185009.862-59.jpg</t>
  </si>
  <si>
    <t>23-09-24-185012.020-60.jpg</t>
  </si>
  <si>
    <t>23-09-24-185014.182-61.jpg</t>
  </si>
  <si>
    <t>23-09-24-185016.352-62.jpg</t>
  </si>
  <si>
    <t>23-09-24-185018.415-63.jpg</t>
  </si>
  <si>
    <t>23-09-24-185020.553-64.jpg</t>
  </si>
  <si>
    <t>23-09-24-185022.626-65.jpg</t>
  </si>
  <si>
    <t>23-09-24-185024.793-66.jpg</t>
  </si>
  <si>
    <t>23-09-24-185027.581-67.jpg</t>
  </si>
  <si>
    <t>23-09-24-185029.752-68.jpg</t>
  </si>
  <si>
    <t>23-09-24-185031.921-69.jpg</t>
  </si>
  <si>
    <t>23-09-24-185034.091-70.jpg</t>
  </si>
  <si>
    <t>23-09-24-185036.272-71.jpg</t>
  </si>
  <si>
    <t>23-09-24-185038.452-72.jpg</t>
  </si>
  <si>
    <t>23-09-24-185040.634-73.jpg</t>
  </si>
  <si>
    <t>23-09-24-185042.813-74.jpg</t>
  </si>
  <si>
    <t>23-09-24-185044.002-75.jpg</t>
  </si>
  <si>
    <t>23-09-24-185047.207-76.jpg</t>
  </si>
  <si>
    <t>23-09-24-185049.393-77.jpg</t>
  </si>
  <si>
    <t>23-09-24-185051.572-78.jpg</t>
  </si>
  <si>
    <t>23-09-24-185053.762-79.jpg</t>
  </si>
  <si>
    <t>23-09-24-185055.943-80.jpg</t>
  </si>
  <si>
    <t>23-09-24-185058.133-81.jpg</t>
  </si>
  <si>
    <t>23-09-24-185100.310-82.jpg</t>
  </si>
  <si>
    <t>23-09-24-185102.503-83.jpg</t>
  </si>
  <si>
    <t>23-09-24-185104.693-84.jpg</t>
  </si>
  <si>
    <t>23-09-24-185106.907-85.jpg</t>
  </si>
  <si>
    <t>23-09-24-185108.995-86.jpg</t>
  </si>
  <si>
    <t>23-09-24-185111.162-87.jpg</t>
  </si>
  <si>
    <t>23-09-24-185113.361-88.jpg</t>
  </si>
  <si>
    <t>23-09-24-185115.551-89.jpg</t>
  </si>
  <si>
    <t>23-09-24-185117.742-90.jpg</t>
  </si>
  <si>
    <t>23-09-24-185119.939-91.jpg</t>
  </si>
  <si>
    <t>23-09-24-185123.059-92.jpg</t>
  </si>
  <si>
    <t>23-09-24-185125.241-93.jpg</t>
  </si>
  <si>
    <t>23-09-24-185127.441-94.jpg</t>
  </si>
  <si>
    <t>23-09-24-185129.633-95.jpg</t>
  </si>
  <si>
    <t>23-09-24-185131.823-96.jpg</t>
  </si>
  <si>
    <t>23-09-24-185134.023-97.jpg</t>
  </si>
  <si>
    <t>23-09-24-185136.211-98.jpg</t>
  </si>
  <si>
    <t>23-09-24-185138.391-99.jpg</t>
  </si>
  <si>
    <t>23-09-24-185140.591-100.jpg</t>
  </si>
  <si>
    <t>23-09-24-185142.780-101.jpg</t>
  </si>
  <si>
    <t>23-09-24-185144.865-102.jpg</t>
  </si>
  <si>
    <t>23-09-24-185147.017-103.jpg</t>
  </si>
  <si>
    <t>23-09-24-185149.182-104.jpg</t>
  </si>
  <si>
    <t>23-09-24-185151.352-105.jpg</t>
  </si>
  <si>
    <t>23-09-24-185153.525-106.jpg</t>
  </si>
  <si>
    <t>23-09-24-185155.700-107.jpg</t>
  </si>
  <si>
    <t>23-09-24-185157.774-108.jpg</t>
  </si>
  <si>
    <t>23-09-24-185159.944-109.jpg</t>
  </si>
  <si>
    <t>23-09-24-185202.142-110.jpg</t>
  </si>
  <si>
    <t>23-09-24-185204.347-111.jpg</t>
  </si>
  <si>
    <t>23-09-24-185206.531-112.jpg</t>
  </si>
  <si>
    <t>23-09-24-185208.699-113.jpg</t>
  </si>
  <si>
    <t>23-09-24-185210.881-114.jpg</t>
  </si>
  <si>
    <t>23-09-24-185213.059-115.jpg</t>
  </si>
  <si>
    <t>23-09-24-185215.144-116.jpg</t>
  </si>
  <si>
    <t>23-09-24-185217.296-117.jpg</t>
  </si>
  <si>
    <t>23-09-24-185219.470-118.jpg</t>
  </si>
  <si>
    <t>23-09-24-185221.533-119.jpg</t>
  </si>
  <si>
    <t>23-09-24-185224.283-120.jpg</t>
  </si>
  <si>
    <t>23-09-24-185226.440-121.jpg</t>
  </si>
  <si>
    <t>23-09-24-185228.600-122.jpg</t>
  </si>
  <si>
    <t>23-09-24-185230.769-123.jpg</t>
  </si>
  <si>
    <t>23-09-24-185232.842-124.jpg</t>
  </si>
  <si>
    <t>23-09-24-185234.982-125.jpg</t>
  </si>
  <si>
    <t>23-09-24-185237.139-126.jpg</t>
  </si>
  <si>
    <t>23-09-24-185239.300-127.jpg</t>
  </si>
  <si>
    <t>23-09-24-185242.332-128.jpg</t>
  </si>
  <si>
    <t>23-09-24-185244.499-129.jpg</t>
  </si>
  <si>
    <t>23-09-24-185246.659-130.jpg</t>
  </si>
  <si>
    <t>23-09-24-185248.723-131.jpg</t>
  </si>
  <si>
    <t>23-09-24-185250.863-132.jpg</t>
  </si>
  <si>
    <t>23-09-24-185253.030-133.jpg</t>
  </si>
  <si>
    <t>23-09-24-185255.189-134.jpg</t>
  </si>
  <si>
    <t>23-09-24-185257.252-135.jpg</t>
  </si>
  <si>
    <t>23-09-24-185259.381-136.jpg</t>
  </si>
  <si>
    <t>23-09-24-185301.539-137.jpg</t>
  </si>
  <si>
    <t>23-09-24-185303.711-138.jpg</t>
  </si>
  <si>
    <t>23-09-24-185305.776-139.jpg</t>
  </si>
  <si>
    <t>23-09-24-185307.914-140.jpg</t>
  </si>
  <si>
    <t>23-09-24-185310.081-141.jpg</t>
  </si>
  <si>
    <t>23-09-24-185312.155-142.jpg</t>
  </si>
  <si>
    <t>23-09-24-185314.294-143.jpg</t>
  </si>
  <si>
    <t>23-09-24-185316.462-144.jpg</t>
  </si>
  <si>
    <t>23-09-24-185318.631-145.jpg</t>
  </si>
  <si>
    <t>23-09-24-185320.812-146.jpg</t>
  </si>
  <si>
    <t>23-09-24-185322.884-147.jpg</t>
  </si>
  <si>
    <t>23-09-24-185325.024-148.jpg</t>
  </si>
  <si>
    <t>23-09-24-185327.190-149.jpg</t>
  </si>
  <si>
    <t>23-09-24-185329.369-150.jpg</t>
  </si>
  <si>
    <t>23-09-24-185331.549-151.jpg</t>
  </si>
  <si>
    <t>23-09-24-185333.633-152.jpg</t>
  </si>
  <si>
    <t>23-09-24-185335.799-153.jpg</t>
  </si>
  <si>
    <t>23-09-24-185337.988-154.jpg</t>
  </si>
  <si>
    <t>23-09-24-185340.170-155.jpg</t>
  </si>
  <si>
    <t>23-09-24-185343.138-156.jpg</t>
  </si>
  <si>
    <t>23-09-24-185345.328-157.jpg</t>
  </si>
  <si>
    <t>23-09-24-185347.509-158.jpg</t>
  </si>
  <si>
    <t>23-09-24-185349.690-159.jpg</t>
  </si>
  <si>
    <t>23-09-24-185351.871-160.jpg</t>
  </si>
  <si>
    <t>23-09-24-185353.945-161.jpg</t>
  </si>
  <si>
    <t>23-09-24-185356.096-162.jpg</t>
  </si>
  <si>
    <t>23-09-24-185358.252-163.jpg</t>
  </si>
  <si>
    <t>23-09-24-185400.410-164.jpg</t>
  </si>
  <si>
    <t>23-09-24-185402.576-165.jpg</t>
  </si>
  <si>
    <t>23-09-24-185404.741-166.jpg</t>
  </si>
  <si>
    <t>23-09-24-185406.902-167.jpg</t>
  </si>
  <si>
    <t>23-09-24-185409.082-168.jpg</t>
  </si>
  <si>
    <t>23-09-24-185411.252-169.jpg</t>
  </si>
  <si>
    <t>23-09-24-185413.421-170.jpg</t>
  </si>
  <si>
    <t>23-09-24-185415.485-171.jpg</t>
  </si>
  <si>
    <t>23-09-24-185417.626-172.jpg</t>
  </si>
  <si>
    <t>23-09-24-185419.810-173.jpg</t>
  </si>
  <si>
    <t>23-09-24-185421.990-174.jpg</t>
  </si>
  <si>
    <t>23-09-24-185424.163-175.jpg</t>
  </si>
  <si>
    <t>23-09-24-185426.338-176.jpg</t>
  </si>
  <si>
    <t>23-09-24-185428.414-177.jpg</t>
  </si>
  <si>
    <t>23-09-24-185430.567-178.jpg</t>
  </si>
  <si>
    <t>23-09-24-185432.644-179.jpg</t>
  </si>
  <si>
    <t>23-09-24-185434.796-180.jpg</t>
  </si>
  <si>
    <t>23-09-24-185436.977-181.jpg</t>
  </si>
  <si>
    <t>23-09-24-185439.149-182.jpg</t>
  </si>
  <si>
    <t>23-09-24-185441.353-183.jpg</t>
  </si>
  <si>
    <t>23-09-24-185443.527-184.jpg</t>
  </si>
  <si>
    <t>23-09-24-185445.604-185.jpg</t>
  </si>
  <si>
    <t>23-09-24-185447.759-186.jpg</t>
  </si>
  <si>
    <t>23-09-24-185449.940-187.jpg</t>
  </si>
  <si>
    <t>23-09-24-185452.013-188.jpg</t>
  </si>
  <si>
    <t>23-09-24-185454.183-189.jpg</t>
  </si>
  <si>
    <t>23-09-24-185456.370-190.jpg</t>
  </si>
  <si>
    <t>23-09-24-185458.561-191.jpg</t>
  </si>
  <si>
    <t>23-09-24-185500.750-192.jpg</t>
  </si>
  <si>
    <t>23-09-24-185502.921-193.jpg</t>
  </si>
  <si>
    <t>23-09-24-185505.100-194.jpg</t>
  </si>
  <si>
    <t>23-09-24-185507.280-195.jpg</t>
  </si>
  <si>
    <t>23-09-24-185509.480-196.jpg</t>
  </si>
  <si>
    <t>23-09-24-185511.671-197.jpg</t>
  </si>
  <si>
    <t>23-09-24-185513.860-198.jpg</t>
  </si>
  <si>
    <t>23-09-24-185516.050-199.jpg</t>
  </si>
  <si>
    <t>23-09-24-185518.241-200.jpg</t>
  </si>
  <si>
    <t>23-09-24-185520.422-201.jpg</t>
  </si>
  <si>
    <t>23-09-24-185522.613-202.jpg</t>
  </si>
  <si>
    <t>23-09-24-185524.801-203.jpg</t>
  </si>
  <si>
    <t>23-09-24-185526.993-204.jpg</t>
  </si>
  <si>
    <t>23-09-24-185529.192-205.jpg</t>
  </si>
  <si>
    <t>23-09-24-185531.392-206.jpg</t>
  </si>
  <si>
    <t>23-09-24-185533.979-207.jpg</t>
  </si>
  <si>
    <t>23-09-24-185536.075-208.jpg</t>
  </si>
  <si>
    <t>23-09-24-185538.240-209.jpg</t>
  </si>
  <si>
    <t>23-09-24-185540.411-210.jpg</t>
  </si>
  <si>
    <t>23-09-24-185542.592-211.jpg</t>
  </si>
  <si>
    <t>23-09-24-185544.792-212.jpg</t>
  </si>
  <si>
    <t>23-09-24-185546.864-213.jpg</t>
  </si>
  <si>
    <t>23-09-24-185549.942-214.jpg</t>
  </si>
  <si>
    <t>23-09-24-185552.101-215.jpg</t>
  </si>
  <si>
    <t>23-09-24-185554.164-216.jpg</t>
  </si>
  <si>
    <t>23-09-24-185556.291-217.jpg</t>
  </si>
  <si>
    <t>23-09-24-185558.440-218.jpg</t>
  </si>
  <si>
    <t>23-09-24-185600.599-219.jpg</t>
  </si>
  <si>
    <t>23-09-24-185602.759-220.jpg</t>
  </si>
  <si>
    <t>23-09-24-185604.929-221.jpg</t>
  </si>
  <si>
    <t>23-09-24-185607.099-222.jpg</t>
  </si>
  <si>
    <t>23-09-24-185609.753-223.jpg</t>
  </si>
  <si>
    <t>23-09-24-185611.963-224.jpg</t>
  </si>
  <si>
    <t>23-09-24-185614.141-225.jpg</t>
  </si>
  <si>
    <t>23-09-24-185616.213-226.jpg</t>
  </si>
  <si>
    <t>23-09-24-185618.380-227.jpg</t>
  </si>
  <si>
    <t>23-09-24-185620.453-228.jpg</t>
  </si>
  <si>
    <t>23-09-24-185622.605-229.jpg</t>
  </si>
  <si>
    <t>23-09-24-185624.790-230.jpg</t>
  </si>
  <si>
    <t>23-09-24-185626.864-231.jpg</t>
  </si>
  <si>
    <t>23-09-24-185629.951-232.jpg</t>
  </si>
  <si>
    <t>23-09-24-185632.149-233.jpg</t>
  </si>
  <si>
    <t>23-09-24-185634.350-234.jpg</t>
  </si>
  <si>
    <t>23-09-24-185636.519-235.jpg</t>
  </si>
  <si>
    <t>23-09-24-185638.612-236.jpg</t>
  </si>
  <si>
    <t>23-09-24-185640.770-237.jpg</t>
  </si>
  <si>
    <t>23-09-24-185642.967-238.jpg</t>
  </si>
  <si>
    <t>23-09-24-185645.149-239.jpg</t>
  </si>
  <si>
    <t>23-09-24-185647.339-240.jpg</t>
  </si>
  <si>
    <t>23-09-24-185650.460-241.jpg</t>
  </si>
  <si>
    <t>23-09-24-185652.648-242.jpg</t>
  </si>
  <si>
    <t>23-09-24-185654.839-243.jpg</t>
  </si>
  <si>
    <t>23-09-24-185657.018-244.jpg</t>
  </si>
  <si>
    <t>23-09-24-185659.189-245.jpg</t>
  </si>
  <si>
    <t>23-09-24-185701.379-246.jpg</t>
  </si>
  <si>
    <t>23-09-24-185703.570-247.jpg</t>
  </si>
  <si>
    <t>23-09-24-185705.759-248.jpg</t>
  </si>
  <si>
    <t>23-09-24-185707.960-249.jpg</t>
  </si>
  <si>
    <t>23-09-24-185710.148-250.jpg</t>
  </si>
  <si>
    <t>23-09-24-185712.341-251.jpg</t>
  </si>
  <si>
    <t>23-09-24-185714.531-252.jpg</t>
  </si>
  <si>
    <t>23-09-24-185716.731-253.jpg</t>
  </si>
  <si>
    <t>23-09-24-185718.921-254.jpg</t>
  </si>
  <si>
    <t>23-09-24-185721.110-255.jpg</t>
  </si>
  <si>
    <t>23-09-24-185723.300-256.jpg</t>
  </si>
  <si>
    <t>23-09-24-185725.414-257.jpg</t>
  </si>
  <si>
    <t>23-09-24-185727.600-258.jpg</t>
  </si>
  <si>
    <t>23-09-24-185729.800-259.jpg</t>
  </si>
  <si>
    <t>23-09-24-185731.999-260.jpg</t>
  </si>
  <si>
    <t>23-09-24-185734.218-261.jpg</t>
  </si>
  <si>
    <t>23-09-24-185736.417-262.jpg</t>
  </si>
  <si>
    <t>23-09-24-185738.598-263.jpg</t>
  </si>
  <si>
    <t>23-09-24-185740.778-264.jpg</t>
  </si>
  <si>
    <t>23-09-24-185743.382-265.jpg</t>
  </si>
  <si>
    <t>23-09-24-185745.564-266.jpg</t>
  </si>
  <si>
    <t>23-09-24-185747.727-267.jpg</t>
  </si>
  <si>
    <t>23-09-24-185749.889-268.jpg</t>
  </si>
  <si>
    <t>23-09-24-185752.050-269.jpg</t>
  </si>
  <si>
    <t>23-09-24-185754.208-270.jpg</t>
  </si>
  <si>
    <t>23-09-24-185756.369-271.jpg</t>
  </si>
  <si>
    <t>23-09-24-185758.538-272.jpg</t>
  </si>
  <si>
    <t>23-09-24-185800.698-273.jpg</t>
  </si>
  <si>
    <t>23-09-24-185802.869-274.jpg</t>
  </si>
  <si>
    <t>23-09-24-185805.028-275.jpg</t>
  </si>
  <si>
    <t>23-09-24-185807.239-276.jpg</t>
  </si>
  <si>
    <t>23-09-24-185809.407-277.jpg</t>
  </si>
  <si>
    <t>23-09-24-185811.579-278.jpg</t>
  </si>
  <si>
    <t>23-09-24-185813.748-279.jpg</t>
  </si>
  <si>
    <t>23-09-24-185815.927-280.jpg</t>
  </si>
  <si>
    <t>23-09-24-185818.119-281.jpg</t>
  </si>
  <si>
    <t>23-09-24-185820.212-282.jpg</t>
  </si>
  <si>
    <t>23-09-24-185822.365-283.jpg</t>
  </si>
  <si>
    <t>23-09-24-185824.548-284.jpg</t>
  </si>
  <si>
    <t>23-09-24-185826.747-285.jpg</t>
  </si>
  <si>
    <t>23-09-24-185828.928-286.jpg</t>
  </si>
  <si>
    <t>23-09-24-185831.099-287.jpg</t>
  </si>
  <si>
    <t>23-09-24-185833.281-288.jpg</t>
  </si>
  <si>
    <t>23-09-24-185835.448-289.jpg</t>
  </si>
  <si>
    <t>23-09-24-185837.638-290.jpg</t>
  </si>
  <si>
    <t>23-09-24-185839.837-291.jpg</t>
  </si>
  <si>
    <t>23-09-24-185841.931-292.jpg</t>
  </si>
  <si>
    <t>23-09-24-185844.971-293.jpg</t>
  </si>
  <si>
    <t>23-09-24-185847.081-294.jpg</t>
  </si>
  <si>
    <t>23-09-24-185849.263-295.jpg</t>
  </si>
  <si>
    <t>23-09-24-185851.448-296.jpg</t>
  </si>
  <si>
    <t>23-09-24-185853.628-297.jpg</t>
  </si>
  <si>
    <t>23-09-24-185855.798-298.jpg</t>
  </si>
  <si>
    <t>23-09-24-185857.959-299.jpg</t>
  </si>
  <si>
    <t>23-09-24-185900.128-300.jpg</t>
  </si>
  <si>
    <t>23-09-24-185903.283-301.jpg</t>
  </si>
  <si>
    <t>23-09-24-185905.363-302.jpg</t>
  </si>
  <si>
    <t>23-09-24-185907.488-303.jpg</t>
  </si>
  <si>
    <t>23-09-24-185909.649-304.jpg</t>
  </si>
  <si>
    <t>23-09-24-185911.725-305.jpg</t>
  </si>
  <si>
    <t>23-09-24-185913.900-306.jpg</t>
  </si>
  <si>
    <t>23-09-24-185916.067-307.jpg</t>
  </si>
  <si>
    <t>23-09-24-185918.238-308.jpg</t>
  </si>
  <si>
    <t>23-09-24-185920.418-309.jpg</t>
  </si>
  <si>
    <t>23-09-24-185922.514-310.jpg</t>
  </si>
  <si>
    <t>23-09-24-185924.675-311.jpg</t>
  </si>
  <si>
    <t>23-09-24-185926.753-312.jpg</t>
  </si>
  <si>
    <t>23-09-24-185928.905-313.jpg</t>
  </si>
  <si>
    <t>23-09-24-185931.099-314.jpg</t>
  </si>
  <si>
    <t>23-09-24-185933.278-315.jpg</t>
  </si>
  <si>
    <t>23-09-24-185935.458-316.jpg</t>
  </si>
  <si>
    <t>23-09-24-185937.639-317.jpg</t>
  </si>
  <si>
    <t>23-09-24-185939.832-318.jpg</t>
  </si>
  <si>
    <t>23-09-24-185942.008-319.jpg</t>
  </si>
  <si>
    <t>23-09-24-185944.178-320.jpg</t>
  </si>
  <si>
    <t>23-09-24-185946.242-321.jpg</t>
  </si>
  <si>
    <t>23-09-24-185948.382-322.jpg</t>
  </si>
  <si>
    <t>23-09-24-185950.547-323.jpg</t>
  </si>
  <si>
    <t>23-09-24-185952.612-324.jpg</t>
  </si>
  <si>
    <t>23-09-24-185954.739-325.jpg</t>
  </si>
  <si>
    <t>23-09-24-185956.908-326.jpg</t>
  </si>
  <si>
    <t>23-09-24-185959.260-327.jpg</t>
  </si>
  <si>
    <t>23-09-24-190001.417-328.jpg</t>
  </si>
  <si>
    <t>23-09-24-190003.579-329.jpg</t>
  </si>
  <si>
    <t>23-09-24-190005.738-330.jpg</t>
  </si>
  <si>
    <t>23-09-24-190007.897-331.jpg</t>
  </si>
  <si>
    <t>23-09-24-190009.961-332.jpg</t>
  </si>
  <si>
    <t>23-09-24-190012.101-333.jpg</t>
  </si>
  <si>
    <t>23-09-24-190014.267-334.jpg</t>
  </si>
  <si>
    <t>23-09-24-190016.436-335.jpg</t>
  </si>
  <si>
    <t>23-09-24-190019.320-336.jpg</t>
  </si>
  <si>
    <t>23-09-24-190021.401-337.jpg</t>
  </si>
  <si>
    <t>23-09-24-190023.581-338.jpg</t>
  </si>
  <si>
    <t>23-09-24-190025.757-339.jpg</t>
  </si>
  <si>
    <t>23-09-24-190027.926-340.jpg</t>
  </si>
  <si>
    <t>23-09-24-190030.107-341.jpg</t>
  </si>
  <si>
    <t>23-09-24-190032.286-342.jpg</t>
  </si>
  <si>
    <t>23-09-24-190034.479-343.jpg</t>
  </si>
  <si>
    <t>23-09-24-190037.013-344.jpg</t>
  </si>
  <si>
    <t>23-09-24-190039.111-345.jpg</t>
  </si>
  <si>
    <t>23-09-24-190041.299-346.jpg</t>
  </si>
  <si>
    <t>23-09-24-190043.495-347.jpg</t>
  </si>
  <si>
    <t>23-09-24-190045.685-348.jpg</t>
  </si>
  <si>
    <t>23-09-24-190047.886-349.jpg</t>
  </si>
  <si>
    <t>23-09-24-190050.086-350.jpg</t>
  </si>
  <si>
    <t>23-09-24-190053.277-351.jpg</t>
  </si>
  <si>
    <t>23-09-24-190055.401-352.jpg</t>
  </si>
  <si>
    <t>23-09-24-190057.590-353.jpg</t>
  </si>
  <si>
    <t>23-09-24-190059.777-354.jpg</t>
  </si>
  <si>
    <t>23-09-24-190101.988-355.jpg</t>
  </si>
  <si>
    <t>23-09-24-190104.177-356.jpg</t>
  </si>
  <si>
    <t>23-09-24-190106.366-357.jpg</t>
  </si>
  <si>
    <t>23-09-24-190108.560-358.jpg</t>
  </si>
  <si>
    <t>23-09-24-190110.751-359.jpg</t>
  </si>
  <si>
    <t>23-09-24-190112.927-360.jpg</t>
  </si>
  <si>
    <t>23-09-24-190115.118-361.jpg</t>
  </si>
  <si>
    <t>23-09-24-190117.201-362.jpg</t>
  </si>
  <si>
    <t>23-09-24-190119.383-363.jpg</t>
  </si>
  <si>
    <t>23-09-24-190121.567-364.jpg</t>
  </si>
  <si>
    <t>23-09-24-190123.760-365.jpg</t>
  </si>
  <si>
    <t>23-09-24-190126.911-366.jpg</t>
  </si>
  <si>
    <t>23-09-24-190129.109-367.jpg</t>
  </si>
  <si>
    <t>23-09-24-190131.288-368.jpg</t>
  </si>
  <si>
    <t>23-09-24-190133.481-369.jpg</t>
  </si>
  <si>
    <t>23-09-24-190135.561-370.jpg</t>
  </si>
  <si>
    <t>23-09-24-190137.716-371.jpg</t>
  </si>
  <si>
    <t>23-09-24-190139.782-372.jpg</t>
  </si>
  <si>
    <t>23-09-24-190141.922-373.jpg</t>
  </si>
  <si>
    <t>23-09-24-190144.137-374.jpg</t>
  </si>
  <si>
    <t>23-09-24-190146.252-375.jpg</t>
  </si>
  <si>
    <t>23-09-24-190148.415-376.jpg</t>
  </si>
  <si>
    <t>23-09-24-190150.501-377.jpg</t>
  </si>
  <si>
    <t>23-09-24-190152.680-378.jpg</t>
  </si>
  <si>
    <t>23-09-24-190154.771-379.jpg</t>
  </si>
  <si>
    <t>23-09-24-190156.943-380.jpg</t>
  </si>
  <si>
    <t>23-09-24-190159.143-381.jpg</t>
  </si>
  <si>
    <t>23-09-24-190201.341-382.jpg</t>
  </si>
  <si>
    <t>23-09-24-190203.547-383.jpg</t>
  </si>
  <si>
    <t>23-09-24-190205.740-384.jpg</t>
  </si>
  <si>
    <t>23-09-24-190207.851-385.jpg</t>
  </si>
  <si>
    <t>23-09-24-190210.026-386.jpg</t>
  </si>
  <si>
    <t>23-09-24-190212.121-387.jpg</t>
  </si>
  <si>
    <t>23-09-24-190214.298-388.jpg</t>
  </si>
  <si>
    <t>23-09-24-190216.501-389.jpg</t>
  </si>
  <si>
    <t>23-09-24-190218.697-390.jpg</t>
  </si>
  <si>
    <t>23-09-24-190220.877-391.jpg</t>
  </si>
  <si>
    <t>23-09-24-190223.060-392.jpg</t>
  </si>
  <si>
    <t>23-09-24-190225.239-393.jpg</t>
  </si>
  <si>
    <t>23-09-24-190227.419-394.jpg</t>
  </si>
  <si>
    <t>23-09-24-190229.600-395.jpg</t>
  </si>
  <si>
    <t>23-09-24-190231.779-396.jpg</t>
  </si>
  <si>
    <t>23-09-24-190233.951-397.jpg</t>
  </si>
  <si>
    <t>23-09-24-190236.023-398.jpg</t>
  </si>
  <si>
    <t>23-09-24-190238.188-399.jpg</t>
  </si>
  <si>
    <t>23-09-24-190240.265-400.jpg</t>
  </si>
  <si>
    <t>23-09-24-190242.407-401.jpg</t>
  </si>
  <si>
    <t>23-09-24-190244.570-402.jpg</t>
  </si>
  <si>
    <t>23-09-24-190246.730-403.jpg</t>
  </si>
  <si>
    <t>23-09-24-190248.888-404.jpg</t>
  </si>
  <si>
    <t>23-09-24-190251.046-405.jpg</t>
  </si>
  <si>
    <t>23-09-24-190253.196-406.jpg</t>
  </si>
  <si>
    <t>23-09-24-190255.378-407.jpg</t>
  </si>
  <si>
    <t>23-09-24-190257.439-408.jpg</t>
  </si>
  <si>
    <t>23-09-24-190259.550-409.jpg</t>
  </si>
  <si>
    <t>23-09-24-190301.713-410.jpg</t>
  </si>
  <si>
    <t>23-09-24-190303.874-411.jpg</t>
  </si>
  <si>
    <t>23-09-24-190305.930-412.jpg</t>
  </si>
  <si>
    <t>23-09-24-190308.056-413.jpg</t>
  </si>
  <si>
    <t>23-09-24-190310.226-414.jpg</t>
  </si>
  <si>
    <t>23-09-24-190312.407-415.jpg</t>
  </si>
  <si>
    <t>23-09-24-190314.587-416.jpg</t>
  </si>
  <si>
    <t>23-09-24-190316.777-417.jpg</t>
  </si>
  <si>
    <t>23-09-24-190318.871-418.jpg</t>
  </si>
  <si>
    <t>23-09-24-190321.042-419.jpg</t>
  </si>
  <si>
    <t>23-09-24-190323.242-420.jpg</t>
  </si>
  <si>
    <t>23-09-24-190325.336-421.jpg</t>
  </si>
  <si>
    <t>23-09-24-190327.527-422.jpg</t>
  </si>
  <si>
    <t>23-09-24-190329.721-423.jpg</t>
  </si>
  <si>
    <t>23-09-24-190332.826-424.jpg</t>
  </si>
  <si>
    <t>23-09-24-190335.030-425.jpg</t>
  </si>
  <si>
    <t>23-09-24-190337.124-426.jpg</t>
  </si>
  <si>
    <t>23-09-24-190339.290-427.jpg</t>
  </si>
  <si>
    <t>23-09-24-190341.393-428.jpg</t>
  </si>
  <si>
    <t>23-09-24-190343.582-429.jpg</t>
  </si>
  <si>
    <t>23-09-24-190345.768-430.jpg</t>
  </si>
  <si>
    <t>23-09-24-190347.948-431.jpg</t>
  </si>
  <si>
    <t>23-09-24-190350.130-432.jpg</t>
  </si>
  <si>
    <t>23-09-24-190352.312-433.jpg</t>
  </si>
  <si>
    <t>23-09-24-190354.500-434.jpg</t>
  </si>
  <si>
    <t>23-09-24-190356.691-435.jpg</t>
  </si>
  <si>
    <t>23-09-24-190358.871-436.jpg</t>
  </si>
  <si>
    <t>23-09-24-190400.954-437.jpg</t>
  </si>
  <si>
    <t>23-09-24-190403.106-438.jpg</t>
  </si>
  <si>
    <t>23-09-24-190405.288-439.jpg</t>
  </si>
  <si>
    <t>23-09-24-190407.478-440.jpg</t>
  </si>
  <si>
    <t>23-09-24-190409.671-441.jpg</t>
  </si>
  <si>
    <t>23-09-24-190411.849-442.jpg</t>
  </si>
  <si>
    <t>23-09-24-190414.028-443.jpg</t>
  </si>
  <si>
    <t>23-09-24-190416.219-444.jpg</t>
  </si>
  <si>
    <t>23-09-24-190418.409-445.jpg</t>
  </si>
  <si>
    <t>23-09-24-190420.600-446.jpg</t>
  </si>
  <si>
    <t>23-09-24-190423.532-447.jpg</t>
  </si>
  <si>
    <t>23-09-24-190425.717-448.jpg</t>
  </si>
  <si>
    <t>23-09-24-190427.900-449.jpg</t>
  </si>
  <si>
    <t>23-09-24-190430.099-450.jpg</t>
  </si>
  <si>
    <t>23-09-24-190432.289-451.jpg</t>
  </si>
  <si>
    <t>23-09-24-190434.469-452.jpg</t>
  </si>
  <si>
    <t>23-09-24-190436.649-453.jpg</t>
  </si>
  <si>
    <t>23-09-24-190438.839-454.jpg</t>
  </si>
  <si>
    <t>23-09-24-190441.046-455.jpg</t>
  </si>
  <si>
    <t>23-09-24-190443.230-456.jpg</t>
  </si>
  <si>
    <t>23-09-24-190445.419-457.jpg</t>
  </si>
  <si>
    <t>23-09-24-190447.617-458.jpg</t>
  </si>
  <si>
    <t>23-09-24-190449.712-459.jpg</t>
  </si>
  <si>
    <t>23-09-24-190451.881-460.jpg</t>
  </si>
  <si>
    <t>23-09-24-190454.087-461.jpg</t>
  </si>
  <si>
    <t>23-09-24-190456.276-462.jpg</t>
  </si>
  <si>
    <t>23-09-24-190458.460-463.jpg</t>
  </si>
  <si>
    <t>23-09-24-190500.544-464.jpg</t>
  </si>
  <si>
    <t>23-09-24-190502.696-465.jpg</t>
  </si>
  <si>
    <t>23-09-24-190504.886-466.jpg</t>
  </si>
  <si>
    <t>23-09-24-190507.048-467.jpg</t>
  </si>
  <si>
    <t>23-09-24-190509.228-468.jpg</t>
  </si>
  <si>
    <t>23-09-24-190511.378-469.jpg</t>
  </si>
  <si>
    <t>23-09-24-190513.551-470.jpg</t>
  </si>
  <si>
    <t>23-09-24-190515.611-471.jpg</t>
  </si>
  <si>
    <t>23-09-24-190517.763-472.jpg</t>
  </si>
  <si>
    <t>23-09-24-190519.939-473.jpg</t>
  </si>
  <si>
    <t>23-09-24-190522.118-474.jpg</t>
  </si>
  <si>
    <t>23-09-24-190524.299-475.jpg</t>
  </si>
  <si>
    <t>23-09-24-190526.481-476.jpg</t>
  </si>
  <si>
    <t>23-09-24-190528.668-477.jpg</t>
  </si>
  <si>
    <t>23-09-24-190531.742-478.jpg</t>
  </si>
  <si>
    <t>23-09-24-190533.823-479.jpg</t>
  </si>
  <si>
    <t>23-09-24-190535.975-480.jpg</t>
  </si>
  <si>
    <t>23-09-24-190538.149-481.jpg</t>
  </si>
  <si>
    <t>23-09-24-190540.212-482.jpg</t>
  </si>
  <si>
    <t>23-09-24-190542.337-483.jpg</t>
  </si>
  <si>
    <t>23-09-24-190544.488-484.jpg</t>
  </si>
  <si>
    <t>23-09-24-190546.636-485.jpg</t>
  </si>
  <si>
    <t>23-09-24-190548.787-486.jpg</t>
  </si>
  <si>
    <t>23-09-24-190550.948-487.jpg</t>
  </si>
  <si>
    <t>23-09-24-190552.001-488.jpg</t>
  </si>
  <si>
    <t>23-09-24-190555.130-489.jpg</t>
  </si>
  <si>
    <t>23-09-24-190557.292-490.jpg</t>
  </si>
  <si>
    <t>23-09-24-190559.457-491.jpg</t>
  </si>
  <si>
    <t>23-09-24-190601.612-492.jpg</t>
  </si>
  <si>
    <t>23-09-24-190603.672-493.jpg</t>
  </si>
  <si>
    <t>23-09-24-190605.784-494.jpg</t>
  </si>
  <si>
    <t>23-09-24-190607.831-495.jpg</t>
  </si>
  <si>
    <t>23-09-24-190609.931-496.jpg</t>
  </si>
  <si>
    <t>23-09-24-190612.082-497.jpg</t>
  </si>
  <si>
    <t>23-09-24-190614.228-498.jpg</t>
  </si>
  <si>
    <t>23-09-24-190616.366-499.jpg</t>
  </si>
  <si>
    <t>23-09-24-190618.517-500.jpg</t>
  </si>
  <si>
    <t>23-09-24-190620.668-501.jpg</t>
  </si>
  <si>
    <t>23-09-24-190622.836-502.jpg</t>
  </si>
  <si>
    <t>23-09-24-190624.987-503.jpg</t>
  </si>
  <si>
    <t>23-09-24-190627.137-504.jpg</t>
  </si>
  <si>
    <t>23-09-24-190629.288-505.jpg</t>
  </si>
  <si>
    <t>23-09-24-190631.427-506.jpg</t>
  </si>
  <si>
    <t>23-09-24-190633.566-507.jpg</t>
  </si>
  <si>
    <t>23-09-24-190635.716-508.jpg</t>
  </si>
  <si>
    <t>23-09-24-190638.625-509.jpg</t>
  </si>
  <si>
    <t>23-09-24-190640.774-510.jpg</t>
  </si>
  <si>
    <t>23-09-24-190642.928-511.jpg</t>
  </si>
  <si>
    <t>23-09-24-190644.991-512.jpg</t>
  </si>
  <si>
    <t>23-09-24-190647.119-513.jpg</t>
  </si>
  <si>
    <t>23-09-24-190649.182-514.jpg</t>
  </si>
  <si>
    <t>23-09-24-190651.307-515.jpg</t>
  </si>
  <si>
    <t>23-09-24-190653.456-516.jpg</t>
  </si>
  <si>
    <t>23-09-24-190655.607-517.jpg</t>
  </si>
  <si>
    <t>23-09-24-190657.661-518.jpg</t>
  </si>
  <si>
    <t>23-09-24-190659.785-519.jpg</t>
  </si>
  <si>
    <t>23-09-24-190701.951-520.jpg</t>
  </si>
  <si>
    <t>23-09-24-190704.106-521.jpg</t>
  </si>
  <si>
    <t>23-09-24-190706.170-522.jpg</t>
  </si>
  <si>
    <t>23-09-24-190708.311-523.jpg</t>
  </si>
  <si>
    <t>23-09-24-190710.477-524.jpg</t>
  </si>
  <si>
    <t>23-09-24-190712.648-525.jpg</t>
  </si>
  <si>
    <t>23-09-24-190714.825-526.jpg</t>
  </si>
  <si>
    <t>23-09-24-190716.000-527.jpg</t>
  </si>
  <si>
    <t>23-09-24-190719.165-528.jpg</t>
  </si>
  <si>
    <t>23-09-24-190721.337-529.jpg</t>
  </si>
  <si>
    <t>23-09-24-190723.519-530.jpg</t>
  </si>
  <si>
    <t>23-09-24-190725.600-531.jpg</t>
  </si>
  <si>
    <t>23-09-24-190727.762-532.jpg</t>
  </si>
  <si>
    <t>23-09-24-190729.938-533.jpg</t>
  </si>
  <si>
    <t>23-09-24-190732.111-534.jpg</t>
  </si>
  <si>
    <t>23-09-24-190734.280-535.jpg</t>
  </si>
  <si>
    <t>23-09-24-190736.469-536.jpg</t>
  </si>
  <si>
    <t>23-09-24-190738.639-537.jpg</t>
  </si>
  <si>
    <t>23-09-24-190740.808-538.jpg</t>
  </si>
  <si>
    <t>23-09-24-190742.965-539.jpg</t>
  </si>
  <si>
    <t>23-09-24-190745.127-540.jpg</t>
  </si>
  <si>
    <t>23-09-24-190747.181-541.jpg</t>
  </si>
  <si>
    <t>23-09-24-190749.296-542.jpg</t>
  </si>
  <si>
    <t>23-09-24-190751.458-543.jpg</t>
  </si>
  <si>
    <t>23-09-24-190753.619-544.jpg</t>
  </si>
  <si>
    <t>23-09-24-190755.767-545.jpg</t>
  </si>
  <si>
    <t>23-09-24-190757.918-546.jpg</t>
  </si>
  <si>
    <t>23-09-24-190800.078-547.jpg</t>
  </si>
  <si>
    <t>23-09-24-190802.235-548.jpg</t>
  </si>
  <si>
    <t>23-09-24-190804.397-549.jpg</t>
  </si>
  <si>
    <t>23-09-24-190807.520-550.jpg</t>
  </si>
  <si>
    <t>23-09-24-190809.591-551.jpg</t>
  </si>
  <si>
    <t>23-09-24-190811.736-552.jpg</t>
  </si>
  <si>
    <t>23-09-24-190813.907-553.jpg</t>
  </si>
  <si>
    <t>23-09-24-190816.098-554.jpg</t>
  </si>
  <si>
    <t>23-09-24-190818.170-555.jpg</t>
  </si>
  <si>
    <t>23-09-24-190820.298-556.jpg</t>
  </si>
  <si>
    <t>23-09-24-190822.360-557.jpg</t>
  </si>
  <si>
    <t>23-09-24-190824.475-558.jpg</t>
  </si>
  <si>
    <t>23-09-24-190826.530-559.jpg</t>
  </si>
  <si>
    <t>23-09-24-190829.343-560.jpg</t>
  </si>
  <si>
    <t>23-09-24-190831.394-561.jpg</t>
  </si>
  <si>
    <t>23-09-24-190833.517-562.jpg</t>
  </si>
  <si>
    <t>23-09-24-190835.671-563.jpg</t>
  </si>
  <si>
    <t>23-09-24-190837.831-564.jpg</t>
  </si>
  <si>
    <t>23-09-24-190839.990-565.jpg</t>
  </si>
  <si>
    <t>23-09-24-190842.150-566.jpg</t>
  </si>
  <si>
    <t>23-09-24-190844.320-567.jpg</t>
  </si>
  <si>
    <t>23-09-24-190846.383-568.jpg</t>
  </si>
  <si>
    <t>23-09-24-190848.510-569.jpg</t>
  </si>
  <si>
    <t>23-09-24-190850.679-570.jpg</t>
  </si>
  <si>
    <t>23-09-24-190852.840-571.jpg</t>
  </si>
  <si>
    <t>23-09-24-190854.904-572.jpg</t>
  </si>
  <si>
    <t>23-09-24-190857.043-573.jpg</t>
  </si>
  <si>
    <t>23-09-24-190859.209-574.jpg</t>
  </si>
  <si>
    <t>23-09-24-190901.379-575.jpg</t>
  </si>
  <si>
    <t>23-09-24-190903.548-576.jpg</t>
  </si>
  <si>
    <t>23-09-24-190905.709-577.jpg</t>
  </si>
  <si>
    <t>23-09-24-190907.859-578.jpg</t>
  </si>
  <si>
    <t>23-09-24-190909.913-579.jpg</t>
  </si>
  <si>
    <t>23-09-24-190912.026-580.jpg</t>
  </si>
  <si>
    <t>23-09-24-190914.190-581.jpg</t>
  </si>
  <si>
    <t>23-09-24-190916.241-582.jpg</t>
  </si>
  <si>
    <t>23-09-24-190918.358-583.jpg</t>
  </si>
  <si>
    <t>23-09-24-190920.509-584.jpg</t>
  </si>
  <si>
    <t>23-09-24-190922.658-585.jpg</t>
  </si>
  <si>
    <t>23-09-24-190924.817-586.jpg</t>
  </si>
  <si>
    <t>23-09-24-190926.998-587.jpg</t>
  </si>
  <si>
    <t>23-09-24-190929.177-588.jpg</t>
  </si>
  <si>
    <t>23-09-24-190931.347-589.jpg</t>
  </si>
  <si>
    <t>23-09-24-190933.527-590.jpg</t>
  </si>
  <si>
    <t>23-09-24-190936.500-591.jpg</t>
  </si>
  <si>
    <t>23-09-24-190938.570-592.jpg</t>
  </si>
  <si>
    <t>23-09-24-190940.698-593.jpg</t>
  </si>
  <si>
    <t>23-09-24-190942.846-594.jpg</t>
  </si>
  <si>
    <t>23-09-24-190945.006-595.jpg</t>
  </si>
  <si>
    <t>23-09-24-190947.157-596.jpg</t>
  </si>
  <si>
    <t>23-09-24-190949.305-597.jpg</t>
  </si>
  <si>
    <t>23-09-24-190951.467-598.jpg</t>
  </si>
  <si>
    <t>23-09-24-190953.628-599.jpg</t>
  </si>
  <si>
    <t>23-09-24-190955.778-600.jpg</t>
  </si>
  <si>
    <t>23-09-24-190958.613-601.jpg</t>
  </si>
  <si>
    <t>23-09-24-191000.765-602.jpg</t>
  </si>
  <si>
    <t>23-09-24-191002.901-603.jpg</t>
  </si>
  <si>
    <t>23-09-24-191005.043-604.jpg</t>
  </si>
  <si>
    <t>23-09-24-191007.192-605.jpg</t>
  </si>
  <si>
    <t>23-09-24-191009.348-606.jpg</t>
  </si>
  <si>
    <t>23-09-24-191011.509-607.jpg</t>
  </si>
  <si>
    <t>23-09-24-191013.672-608.jpg</t>
  </si>
  <si>
    <t>23-09-24-191015.834-609.jpg</t>
  </si>
  <si>
    <t>23-09-24-191017.003-610.jpg</t>
  </si>
  <si>
    <t>23-09-24-191021.107-611.jpg</t>
  </si>
  <si>
    <t>23-09-24-191023.280-612.jpg</t>
  </si>
  <si>
    <t>23-09-24-191025.461-613.jpg</t>
  </si>
  <si>
    <t>23-09-24-191027.641-614.jpg</t>
  </si>
  <si>
    <t>23-09-24-191029.724-615.jpg</t>
  </si>
  <si>
    <t>23-09-24-191031.865-616.jpg</t>
  </si>
  <si>
    <t>23-09-24-191034.043-617.jpg</t>
  </si>
  <si>
    <t>23-09-24-191036.212-618.jpg</t>
  </si>
  <si>
    <t>23-09-24-191038.383-619.jpg</t>
  </si>
  <si>
    <t>23-09-24-191041.664-620.jpg</t>
  </si>
  <si>
    <t>23-09-24-191043.757-621.jpg</t>
  </si>
  <si>
    <t>23-09-24-191045.905-622.jpg</t>
  </si>
  <si>
    <t>23-09-24-191048.082-623.jpg</t>
  </si>
  <si>
    <t>23-09-24-191050.147-624.jpg</t>
  </si>
  <si>
    <t>23-09-24-191052.286-625.jpg</t>
  </si>
  <si>
    <t>23-09-24-191054.345-626.jpg</t>
  </si>
  <si>
    <t>23-09-24-191056.471-627.jpg</t>
  </si>
  <si>
    <t>23-09-24-191058.630-628.jpg</t>
  </si>
  <si>
    <t>23-09-24-191100.795-629.jpg</t>
  </si>
  <si>
    <t>23-09-24-191102.855-630.jpg</t>
  </si>
  <si>
    <t>23-09-24-191104.981-631.jpg</t>
  </si>
  <si>
    <t>23-09-24-191107.151-632.jpg</t>
  </si>
  <si>
    <t>23-09-24-191109.331-633.jpg</t>
  </si>
  <si>
    <t>23-09-24-191111.509-634.jpg</t>
  </si>
  <si>
    <t>23-09-24-191113.691-635.jpg</t>
  </si>
  <si>
    <t>23-09-24-191115.851-636.jpg</t>
  </si>
  <si>
    <t>23-09-24-191118.020-637.jpg</t>
  </si>
  <si>
    <t>23-09-24-191120.973-638.jpg</t>
  </si>
  <si>
    <t>23-09-24-191123.134-639.jpg</t>
  </si>
  <si>
    <t>23-09-24-191125.205-640.jpg</t>
  </si>
  <si>
    <t>23-09-24-191127.332-641.jpg</t>
  </si>
  <si>
    <t>23-09-24-191129.490-642.jpg</t>
  </si>
  <si>
    <t>23-09-24-191131.602-643.jpg</t>
  </si>
  <si>
    <t>23-09-24-191133.750-644.jpg</t>
  </si>
  <si>
    <t>23-09-24-191135.854-645.jpg</t>
  </si>
  <si>
    <t>23-09-24-191137.964-646.jpg</t>
  </si>
  <si>
    <t>23-09-24-191140.076-647.jpg</t>
  </si>
  <si>
    <t>23-09-24-191142.181-648.jpg</t>
  </si>
  <si>
    <t>23-09-24-191144.284-649.jpg</t>
  </si>
  <si>
    <t>23-09-24-191146.394-650.jpg</t>
  </si>
  <si>
    <t>23-09-24-191148.501-651.jpg</t>
  </si>
  <si>
    <t>23-09-24-191150.978-652.jpg</t>
  </si>
  <si>
    <t>23-09-24-191153.098-653.jpg</t>
  </si>
  <si>
    <t>23-09-24-191155.211-654.jpg</t>
  </si>
  <si>
    <t>23-09-24-191157.342-655.jpg</t>
  </si>
  <si>
    <t>23-09-24-191159.488-656.jpg</t>
  </si>
  <si>
    <t>23-09-24-191201.615-657.jpg</t>
  </si>
  <si>
    <t>23-09-24-191203.748-658.jpg</t>
  </si>
  <si>
    <t>23-09-24-191205.910-659.jpg</t>
  </si>
  <si>
    <t>23-09-24-191208.069-660.jpg</t>
  </si>
  <si>
    <t>23-09-24-191210.245-661.jpg</t>
  </si>
  <si>
    <t>23-09-24-191212.311-662.jpg</t>
  </si>
  <si>
    <t>23-09-24-191214.491-663.jpg</t>
  </si>
  <si>
    <t>23-09-24-191216.711-664.jpg</t>
  </si>
  <si>
    <t>23-09-24-191218.834-665.jpg</t>
  </si>
  <si>
    <t>23-09-24-191221.079-666.jpg</t>
  </si>
  <si>
    <t>23-09-24-191223.206-667.jpg</t>
  </si>
  <si>
    <t>23-09-24-191225.381-668.jpg</t>
  </si>
  <si>
    <t>23-09-24-191227.580-669.jpg</t>
  </si>
  <si>
    <t>23-09-24-191229.767-670.jpg</t>
  </si>
  <si>
    <t>23-09-24-191231.957-671.jpg</t>
  </si>
  <si>
    <t>23-09-24-191234.134-672.jpg</t>
  </si>
  <si>
    <t>23-09-24-191236.297-673.jpg</t>
  </si>
  <si>
    <t>23-09-24-191238.425-674.jpg</t>
  </si>
  <si>
    <t>23-09-24-191240.601-675.jpg</t>
  </si>
  <si>
    <t>23-09-24-191242.697-676.jpg</t>
  </si>
  <si>
    <t>23-09-24-191244.864-677.jpg</t>
  </si>
  <si>
    <t>23-09-24-191247.052-678.jpg</t>
  </si>
  <si>
    <t>23-09-24-191249.255-679.jpg</t>
  </si>
  <si>
    <t>23-09-24-191251.430-680.jpg</t>
  </si>
  <si>
    <t>23-09-24-191253.627-681.jpg</t>
  </si>
  <si>
    <t>23-09-24-191255.799-682.jpg</t>
  </si>
  <si>
    <t>23-09-24-191257.883-683.jpg</t>
  </si>
  <si>
    <t>23-09-24-191300.044-684.jpg</t>
  </si>
  <si>
    <t>23-09-24-191303.116-685.jpg</t>
  </si>
  <si>
    <t>23-09-24-191305.224-686.jpg</t>
  </si>
  <si>
    <t>23-09-24-191307.418-687.jpg</t>
  </si>
  <si>
    <t>23-09-24-191309.630-688.jpg</t>
  </si>
  <si>
    <t>23-09-24-191311.816-689.jpg</t>
  </si>
  <si>
    <t>23-09-24-191313.969-690.jpg</t>
  </si>
  <si>
    <t>23-09-24-191316.141-691.jpg</t>
  </si>
  <si>
    <t>23-09-24-191318.331-692.jpg</t>
  </si>
  <si>
    <t>23-09-24-191320.552-693.jpg</t>
  </si>
  <si>
    <t>23-09-24-191322.665-694.jpg</t>
  </si>
  <si>
    <t>23-09-24-191324.853-695.jpg</t>
  </si>
  <si>
    <t>23-09-24-191327.053-696.jpg</t>
  </si>
  <si>
    <t>23-09-24-191329.262-697.jpg</t>
  </si>
  <si>
    <t>23-09-24-191331.463-698.jpg</t>
  </si>
  <si>
    <t>23-09-24-191333.663-699.jpg</t>
  </si>
  <si>
    <t>23-09-24-191335.863-700.jpg</t>
  </si>
  <si>
    <t>23-09-24-191338.087-701.jpg</t>
  </si>
  <si>
    <t>23-09-24-191340.293-702.jpg</t>
  </si>
  <si>
    <t>23-09-24-191342.386-703.jpg</t>
  </si>
  <si>
    <t>23-09-24-191344.574-704.jpg</t>
  </si>
  <si>
    <t>23-09-24-191346.675-705.jpg</t>
  </si>
  <si>
    <t>23-09-24-191348.852-706.jpg</t>
  </si>
  <si>
    <t>23-09-24-191351.860-707.jpg</t>
  </si>
  <si>
    <t>23-09-24-191353.966-708.jpg</t>
  </si>
  <si>
    <t>23-09-24-191356.144-709.jpg</t>
  </si>
  <si>
    <t>23-09-24-191358.227-710.jpg</t>
  </si>
  <si>
    <t>23-09-24-191400.406-711.jpg</t>
  </si>
  <si>
    <t>23-09-24-191402.505-712.jpg</t>
  </si>
  <si>
    <t>23-09-24-191404.697-713.jpg</t>
  </si>
  <si>
    <t>23-09-24-191406.915-714.jpg</t>
  </si>
  <si>
    <t>23-09-24-191409.016-715.jpg</t>
  </si>
  <si>
    <t>23-09-24-191411.183-716.jpg</t>
  </si>
  <si>
    <t>23-09-24-191413.274-717.jpg</t>
  </si>
  <si>
    <t>23-09-24-191415.443-718.jpg</t>
  </si>
  <si>
    <t>23-09-24-191417.525-719.jpg</t>
  </si>
  <si>
    <t>23-09-24-191419.708-720.jpg</t>
  </si>
  <si>
    <t>23-09-24-191421.901-721.jpg</t>
  </si>
  <si>
    <t>23-09-24-191423.985-722.jpg</t>
  </si>
  <si>
    <t>23-09-24-191426.163-723.jpg</t>
  </si>
  <si>
    <t>23-09-24-191428.362-724.jpg</t>
  </si>
  <si>
    <t>23-09-24-191430.560-725.jpg</t>
  </si>
  <si>
    <t>23-09-24-191432.653-726.jpg</t>
  </si>
  <si>
    <t>23-09-24-191434.833-727.jpg</t>
  </si>
  <si>
    <t>23-09-24-191437.033-728.jpg</t>
  </si>
  <si>
    <t>23-09-24-191439.133-729.jpg</t>
  </si>
  <si>
    <t>23-09-24-191441.310-730.jpg</t>
  </si>
  <si>
    <t>23-09-24-191443.507-731.jpg</t>
  </si>
  <si>
    <t>23-09-24-191445.603-732.jpg</t>
  </si>
  <si>
    <t>23-09-24-191447.788-733.jpg</t>
  </si>
  <si>
    <t>23-09-24-191449.990-734.jpg</t>
  </si>
  <si>
    <t>23-09-24-191453.161-735.jpg</t>
  </si>
  <si>
    <t>23-09-24-191455.262-736.jpg</t>
  </si>
  <si>
    <t>23-09-24-191457.428-737.jpg</t>
  </si>
  <si>
    <t>23-09-24-191459.522-738.jpg</t>
  </si>
  <si>
    <t>23-09-24-191501.716-739.jpg</t>
  </si>
  <si>
    <t>23-09-24-191503.916-740.jpg</t>
  </si>
  <si>
    <t>23-09-24-191506.107-741.jpg</t>
  </si>
  <si>
    <t>23-09-24-191509.318-742.jpg</t>
  </si>
  <si>
    <t>23-09-24-191511.364-743.jpg</t>
  </si>
  <si>
    <t>23-09-24-191513.476-744.jpg</t>
  </si>
  <si>
    <t>23-09-24-191515.641-745.jpg</t>
  </si>
  <si>
    <t>23-09-24-191517.790-746.jpg</t>
  </si>
  <si>
    <t>23-09-24-191519.855-747.jpg</t>
  </si>
  <si>
    <t>23-09-24-191522.034-748.jpg</t>
  </si>
  <si>
    <t>23-09-24-191524.221-749.jpg</t>
  </si>
  <si>
    <t>23-09-24-191526.410-750.jpg</t>
  </si>
  <si>
    <t>23-09-24-191528.601-751.jpg</t>
  </si>
  <si>
    <t>23-09-24-191530.704-752.jpg</t>
  </si>
  <si>
    <t>23-09-24-191532.888-753.jpg</t>
  </si>
  <si>
    <t>23-09-24-191535.069-754.jpg</t>
  </si>
  <si>
    <t>23-09-24-191537.258-755.jpg</t>
  </si>
  <si>
    <t>23-09-24-191539.447-756.jpg</t>
  </si>
  <si>
    <t>23-09-24-191541.638-757.jpg</t>
  </si>
  <si>
    <t>23-09-24-191543.851-758.jpg</t>
  </si>
  <si>
    <t>23-09-24-191546.049-759.jpg</t>
  </si>
  <si>
    <t>23-09-24-191548.193-760.jpg</t>
  </si>
  <si>
    <t>23-09-24-191550.239-761.jpg</t>
  </si>
  <si>
    <t>23-09-24-191552.378-762.jpg</t>
  </si>
  <si>
    <t>23-09-24-191554.444-763.jpg</t>
  </si>
  <si>
    <t>23-09-24-191556.603-764.jpg</t>
  </si>
  <si>
    <t>23-09-24-191558.778-765.jpg</t>
  </si>
  <si>
    <t>23-09-24-191600.849-766.jpg</t>
  </si>
  <si>
    <t>23-09-24-191602.999-767.jpg</t>
  </si>
  <si>
    <t>23-09-24-191606.093-768.jpg</t>
  </si>
  <si>
    <t>23-09-24-191608.272-769.jpg</t>
  </si>
  <si>
    <t>23-09-24-191610.349-770.jpg</t>
  </si>
  <si>
    <t>23-09-24-191612.517-771.jpg</t>
  </si>
  <si>
    <t>23-09-24-191614.689-772.jpg</t>
  </si>
  <si>
    <t>23-09-24-191616.879-773.jpg</t>
  </si>
  <si>
    <t>23-09-24-191619.078-774.jpg</t>
  </si>
  <si>
    <t>23-09-24-191621.267-775.jpg</t>
  </si>
  <si>
    <t>23-09-24-191623.453-776.jpg</t>
  </si>
  <si>
    <t>23-09-24-191625.646-777.jpg</t>
  </si>
  <si>
    <t>23-09-24-191627.819-778.jpg</t>
  </si>
  <si>
    <t>23-09-24-191630.004-779.jpg</t>
  </si>
  <si>
    <t>23-09-24-191632.181-780.jpg</t>
  </si>
  <si>
    <t>23-09-24-191634.383-781.jpg</t>
  </si>
  <si>
    <t>23-09-24-191636.476-782.jpg</t>
  </si>
  <si>
    <t>23-09-24-191638.664-783.jpg</t>
  </si>
  <si>
    <t>23-09-24-191640.847-784.jpg</t>
  </si>
  <si>
    <t>23-09-24-191643.326-785.jpg</t>
  </si>
  <si>
    <t>23-09-24-191645.425-786.jpg</t>
  </si>
  <si>
    <t>23-09-24-191647.578-787.jpg</t>
  </si>
  <si>
    <t>23-09-24-191649.721-788.jpg</t>
  </si>
  <si>
    <t>23-09-24-191651.873-789.jpg</t>
  </si>
  <si>
    <t>23-09-24-191654.044-790.jpg</t>
  </si>
  <si>
    <t>23-09-24-191656.226-791.jpg</t>
  </si>
  <si>
    <t>23-09-24-191658.405-792.jpg</t>
  </si>
  <si>
    <t>23-09-24-191700.478-793.jpg</t>
  </si>
  <si>
    <t>23-09-24-191703.392-794.jpg</t>
  </si>
  <si>
    <t>23-09-24-191705.582-795.jpg</t>
  </si>
  <si>
    <t>23-09-24-191707.679-796.jpg</t>
  </si>
  <si>
    <t>23-09-24-191709.869-797.jpg</t>
  </si>
  <si>
    <t>23-09-24-191712.080-798.jpg</t>
  </si>
  <si>
    <t>23-09-24-191714.271-799.jpg</t>
  </si>
  <si>
    <t>23-09-24-191716.461-800.jpg</t>
  </si>
  <si>
    <t>23-09-24-191718.666-801.jpg</t>
  </si>
  <si>
    <t>23-09-24-191720.764-802.jpg</t>
  </si>
  <si>
    <t>23-09-24-191722.932-803.jpg</t>
  </si>
  <si>
    <t>23-09-24-191725.118-804.jpg</t>
  </si>
  <si>
    <t>23-09-24-191727.299-805.jpg</t>
  </si>
  <si>
    <t>23-09-24-191729.488-806.jpg</t>
  </si>
  <si>
    <t>23-09-24-191731.594-807.jpg</t>
  </si>
  <si>
    <t>23-09-24-191733.765-808.jpg</t>
  </si>
  <si>
    <t>23-09-24-191735.904-809.jpg</t>
  </si>
  <si>
    <t>23-09-24-191738.063-810.jpg</t>
  </si>
  <si>
    <t>23-09-24-191740.267-811.jpg</t>
  </si>
  <si>
    <t>23-09-24-191742.483-812.jpg</t>
  </si>
  <si>
    <t>23-09-24-191744.680-813.jpg</t>
  </si>
  <si>
    <t>23-09-24-191746.881-814.jpg</t>
  </si>
  <si>
    <t>23-09-24-191749.082-815.jpg</t>
  </si>
  <si>
    <t>23-09-24-191751.286-816.jpg</t>
  </si>
  <si>
    <t>23-09-24-191753.493-817.jpg</t>
  </si>
  <si>
    <t>23-09-24-191755.691-818.jpg</t>
  </si>
  <si>
    <t>23-09-24-191757.786-819.jpg</t>
  </si>
  <si>
    <t>23-09-24-191759.970-820.jpg</t>
  </si>
  <si>
    <t>23-09-24-191802.151-821.jpg</t>
  </si>
  <si>
    <t>23-09-24-191804.245-822.jpg</t>
  </si>
  <si>
    <t>23-09-24-191806.378-823.jpg</t>
  </si>
  <si>
    <t>23-09-24-191808.537-824.jpg</t>
  </si>
  <si>
    <t>23-09-24-191810.692-825.jpg</t>
  </si>
  <si>
    <t>23-09-24-191812.865-826.jpg</t>
  </si>
  <si>
    <t>23-09-24-191814.954-827.jpg</t>
  </si>
  <si>
    <t>23-09-24-191817.103-828.jpg</t>
  </si>
  <si>
    <t>23-09-24-191819.276-829.jpg</t>
  </si>
  <si>
    <t>23-09-24-191821.456-830.jpg</t>
  </si>
  <si>
    <t>23-09-24-191823.653-831.jpg</t>
  </si>
  <si>
    <t>23-09-24-191825.867-832.jpg</t>
  </si>
  <si>
    <t>23-09-24-191827.966-833.jpg</t>
  </si>
  <si>
    <t>23-09-24-191830.129-834.jpg</t>
  </si>
  <si>
    <t>23-09-24-191832.311-835.jpg</t>
  </si>
  <si>
    <t>23-09-24-191834.556-836.jpg</t>
  </si>
  <si>
    <t>23-09-24-191836.698-837.jpg</t>
  </si>
  <si>
    <t>23-09-24-191838.900-838.jpg</t>
  </si>
  <si>
    <t>23-09-24-191841.004-839.jpg</t>
  </si>
  <si>
    <t>23-09-24-191843.190-840.jpg</t>
  </si>
  <si>
    <t>23-09-24-191845.378-841.jpg</t>
  </si>
  <si>
    <t>23-09-24-191847.472-842.jpg</t>
  </si>
  <si>
    <t>23-09-24-191849.663-843.jpg</t>
  </si>
  <si>
    <t>23-09-24-191851.773-844.jpg</t>
  </si>
  <si>
    <t>23-09-24-191853.955-845.jpg</t>
  </si>
  <si>
    <t>23-09-24-191856.129-846.jpg</t>
  </si>
  <si>
    <t>23-09-24-191859.038-847.jpg</t>
  </si>
  <si>
    <t>23-09-24-191901.196-848.jpg</t>
  </si>
  <si>
    <t>23-09-24-191903.388-849.jpg</t>
  </si>
  <si>
    <t>23-09-24-191905.571-850.jpg</t>
  </si>
  <si>
    <t>23-09-24-191907.737-851.jpg</t>
  </si>
  <si>
    <t>23-09-24-191909.810-852.jpg</t>
  </si>
  <si>
    <t>23-09-24-191911.944-853.jpg</t>
  </si>
  <si>
    <t>23-09-24-191914.139-854.jpg</t>
  </si>
  <si>
    <t>23-09-24-191916.318-855.jpg</t>
  </si>
  <si>
    <t>23-09-24-191918.429-856.jpg</t>
  </si>
  <si>
    <t>23-09-24-191920.631-857.jpg</t>
  </si>
  <si>
    <t>23-09-24-191922.746-858.jpg</t>
  </si>
  <si>
    <t>23-09-24-191924.944-859.jpg</t>
  </si>
  <si>
    <t>23-09-24-191927.047-860.jpg</t>
  </si>
  <si>
    <t>23-09-24-191929.236-861.jpg</t>
  </si>
  <si>
    <t>23-09-24-191931.423-862.jpg</t>
  </si>
  <si>
    <t>23-09-24-191934.568-863.jpg</t>
  </si>
  <si>
    <t>23-09-24-191936.773-864.jpg</t>
  </si>
  <si>
    <t>23-09-24-191938.975-865.jpg</t>
  </si>
  <si>
    <t>23-09-24-191941.172-866.jpg</t>
  </si>
  <si>
    <t>23-09-24-191943.265-867.jpg</t>
  </si>
  <si>
    <t>23-09-24-191945.445-868.jpg</t>
  </si>
  <si>
    <t>23-09-24-191947.665-869.jpg</t>
  </si>
  <si>
    <t>23-09-24-191949.883-870.jpg</t>
  </si>
  <si>
    <t>23-09-24-191952.837-871.jpg</t>
  </si>
  <si>
    <t>23-09-24-191955.045-872.jpg</t>
  </si>
  <si>
    <t>23-09-24-191957.159-873.jpg</t>
  </si>
  <si>
    <t>23-09-24-191959.337-874.jpg</t>
  </si>
  <si>
    <t>23-09-24-192001.555-875.jpg</t>
  </si>
  <si>
    <t>23-09-24-192003.766-876.jpg</t>
  </si>
  <si>
    <t>23-09-24-192005.986-877.jpg</t>
  </si>
  <si>
    <t>23-09-24-192008.046-878.jpg</t>
  </si>
  <si>
    <t>23-09-24-192010.205-879.jpg</t>
  </si>
  <si>
    <t>23-09-24-192012.333-880.jpg</t>
  </si>
  <si>
    <t>23-09-24-192014.403-881.jpg</t>
  </si>
  <si>
    <t>23-09-24-192016.536-882.jpg</t>
  </si>
  <si>
    <t>23-09-24-192018.742-883.jpg</t>
  </si>
  <si>
    <t>23-09-24-192020.939-884.jpg</t>
  </si>
  <si>
    <t>23-09-24-192023.146-885.jpg</t>
  </si>
  <si>
    <t>23-09-24-192025.361-886.jpg</t>
  </si>
  <si>
    <t>23-09-24-192027.498-887.jpg</t>
  </si>
  <si>
    <t>23-09-24-192029.636-888.jpg</t>
  </si>
  <si>
    <t>23-09-24-192031.799-889.jpg</t>
  </si>
  <si>
    <t>23-09-24-192033.989-890.jpg</t>
  </si>
  <si>
    <t>23-09-24-192036.183-891.jpg</t>
  </si>
  <si>
    <t>23-09-24-192038.382-892.jpg</t>
  </si>
  <si>
    <t>23-09-24-192040.572-893.jpg</t>
  </si>
  <si>
    <t>23-09-24-192042.775-894.jpg</t>
  </si>
  <si>
    <t>23-09-24-192044.991-895.jpg</t>
  </si>
  <si>
    <t>23-09-24-192047.100-896.jpg</t>
  </si>
  <si>
    <t>23-09-24-192049.301-897.jpg</t>
  </si>
  <si>
    <t>23-09-24-192051.512-898.jpg</t>
  </si>
  <si>
    <t>23-09-24-192053.710-899.jpg</t>
  </si>
  <si>
    <t>23-09-24-192055.914-900.jpg</t>
  </si>
  <si>
    <t>23-09-24-192058.128-901.jpg</t>
  </si>
  <si>
    <t>23-09-24-192100.329-902.jpg</t>
  </si>
  <si>
    <t>23-09-24-192102.433-903.jpg</t>
  </si>
  <si>
    <t>23-09-24-192104.637-904.jpg</t>
  </si>
  <si>
    <t>23-09-24-192106.739-905.jpg</t>
  </si>
  <si>
    <t>23-09-24-192108.935-906.jpg</t>
  </si>
  <si>
    <t>23-09-24-192111.182-907.jpg</t>
  </si>
  <si>
    <t>23-09-24-192113.413-908.jpg</t>
  </si>
  <si>
    <t>23-09-24-192115.637-909.jpg</t>
  </si>
  <si>
    <t>23-09-24-192117.818-910.jpg</t>
  </si>
  <si>
    <t>23-09-24-192119.937-911.jpg</t>
  </si>
  <si>
    <t>23-09-24-192122.044-912.jpg</t>
  </si>
  <si>
    <t>23-09-24-192124.175-913.jpg</t>
  </si>
  <si>
    <t>23-09-24-192126.302-914.jpg</t>
  </si>
  <si>
    <t>23-09-24-192128.470-915.jpg</t>
  </si>
  <si>
    <t>23-09-24-192130.651-916.jpg</t>
  </si>
  <si>
    <t>23-09-24-192132.822-917.jpg</t>
  </si>
  <si>
    <t>23-09-24-192134.988-918.jpg</t>
  </si>
  <si>
    <t>23-09-24-192137.133-919.jpg</t>
  </si>
  <si>
    <t>23-09-24-192139.314-920.jpg</t>
  </si>
  <si>
    <t>23-09-24-192141.531-921.jpg</t>
  </si>
  <si>
    <t>23-09-24-192143.748-922.jpg</t>
  </si>
  <si>
    <t>23-09-24-192145.946-923.jpg</t>
  </si>
  <si>
    <t>23-09-24-192148.153-924.jpg</t>
  </si>
  <si>
    <t>23-09-24-192150.374-925.jpg</t>
  </si>
  <si>
    <t>23-09-24-192152.538-926.jpg</t>
  </si>
  <si>
    <t>23-09-24-192154.732-927.jpg</t>
  </si>
  <si>
    <t>23-09-24-192156.811-928.jpg</t>
  </si>
  <si>
    <t>23-09-24-192158.973-929.jpg</t>
  </si>
  <si>
    <t>23-09-24-192201.064-930.jpg</t>
  </si>
  <si>
    <t>23-09-24-192204.220-931.jpg</t>
  </si>
  <si>
    <t>23-09-24-192206.408-932.jpg</t>
  </si>
  <si>
    <t>23-09-24-192208.603-933.jpg</t>
  </si>
  <si>
    <t>23-09-24-192210.802-934.jpg</t>
  </si>
  <si>
    <t>23-09-24-192212.991-935.jpg</t>
  </si>
  <si>
    <t>23-09-24-192215.183-936.jpg</t>
  </si>
  <si>
    <t>23-09-24-192217.396-937.jpg</t>
  </si>
  <si>
    <t>23-09-24-192219.603-938.jpg</t>
  </si>
  <si>
    <t>23-09-24-192221.725-939.jpg</t>
  </si>
  <si>
    <t>23-09-24-192223.929-940.jpg</t>
  </si>
  <si>
    <t>23-09-24-192226.121-941.jpg</t>
  </si>
  <si>
    <t>23-09-24-192228.330-942.jpg</t>
  </si>
  <si>
    <t>23-09-24-192230.533-943.jpg</t>
  </si>
  <si>
    <t>23-09-24-192232.616-944.jpg</t>
  </si>
  <si>
    <t>23-09-24-192234.805-945.jpg</t>
  </si>
  <si>
    <t>NI202409_CAP-EC_D05</t>
  </si>
  <si>
    <t>Picam HQ 170°Lens (amazon) (R6 - Rack Cata)</t>
  </si>
  <si>
    <t>24-09-24-002646.025-00.jpg</t>
  </si>
  <si>
    <t>24-09-24-002648.130-01.jpg</t>
  </si>
  <si>
    <t>24-09-24-002650.304-02.jpg</t>
  </si>
  <si>
    <t>24-09-24-002652.408-03.jpg</t>
  </si>
  <si>
    <t>24-09-24-002654.596-04.jpg</t>
  </si>
  <si>
    <t>24-09-24-002656.812-05.jpg</t>
  </si>
  <si>
    <t>24-09-24-002659.010-06.jpg</t>
  </si>
  <si>
    <t>24-09-24-002701.211-07.jpg</t>
  </si>
  <si>
    <t>24-09-24-002703.420-08.jpg</t>
  </si>
  <si>
    <t>24-09-24-002705.632-09.jpg</t>
  </si>
  <si>
    <t>24-09-24-002707.745-10.jpg</t>
  </si>
  <si>
    <t>24-09-24-002709.962-11.jpg</t>
  </si>
  <si>
    <t>24-09-24-002712.075-12.jpg</t>
  </si>
  <si>
    <t>24-09-24-002714.268-13.jpg</t>
  </si>
  <si>
    <t>24-09-24-002716.494-14.jpg</t>
  </si>
  <si>
    <t>24-09-24-002719.575-15.jpg</t>
  </si>
  <si>
    <t>24-09-24-002721.707-16.jpg</t>
  </si>
  <si>
    <t>24-09-24-002723.879-17.jpg</t>
  </si>
  <si>
    <t>24-09-24-002726.072-18.jpg</t>
  </si>
  <si>
    <t>24-09-24-002728.262-19.jpg</t>
  </si>
  <si>
    <t>24-09-24-002730.462-20.jpg</t>
  </si>
  <si>
    <t>24-09-24-002732.691-21.jpg</t>
  </si>
  <si>
    <t>24-09-24-002735.688-22.jpg</t>
  </si>
  <si>
    <t>24-09-24-002737.892-23.jpg</t>
  </si>
  <si>
    <t>24-09-24-002740.092-24.jpg</t>
  </si>
  <si>
    <t>24-09-24-002742.312-25.jpg</t>
  </si>
  <si>
    <t>24-09-24-002744.511-26.jpg</t>
  </si>
  <si>
    <t>24-09-24-002746.617-27.jpg</t>
  </si>
  <si>
    <t>24-09-24-002748.799-28.jpg</t>
  </si>
  <si>
    <t>24-09-24-002751.986-29.jpg</t>
  </si>
  <si>
    <t>24-09-24-002754.203-30.jpg</t>
  </si>
  <si>
    <t>24-09-24-002756.391-31.jpg</t>
  </si>
  <si>
    <t>24-09-24-002758.592-32.jpg</t>
  </si>
  <si>
    <t>24-09-24-002800.792-33.jpg</t>
  </si>
  <si>
    <t>24-09-24-002802.992-34.jpg</t>
  </si>
  <si>
    <t>24-09-24-002805.105-35.jpg</t>
  </si>
  <si>
    <t>24-09-24-002807.273-36.jpg</t>
  </si>
  <si>
    <t>24-09-24-002809.355-37.jpg</t>
  </si>
  <si>
    <t>24-09-24-002811.527-38.jpg</t>
  </si>
  <si>
    <t>24-09-24-002813.605-39.jpg</t>
  </si>
  <si>
    <t>24-09-24-002815.775-40.jpg</t>
  </si>
  <si>
    <t>24-09-24-002817.856-41.jpg</t>
  </si>
  <si>
    <t>24-09-24-002820.016-42.jpg</t>
  </si>
  <si>
    <t>24-09-24-002822.193-43.jpg</t>
  </si>
  <si>
    <t>24-09-24-002825.079-44.jpg</t>
  </si>
  <si>
    <t>24-09-24-002827.166-45.jpg</t>
  </si>
  <si>
    <t>24-09-24-002829.331-46.jpg</t>
  </si>
  <si>
    <t>24-09-24-002831.523-47.jpg</t>
  </si>
  <si>
    <t>24-09-24-002833.722-48.jpg</t>
  </si>
  <si>
    <t>24-09-24-002835.817-49.jpg</t>
  </si>
  <si>
    <t>24-09-24-002837.981-50.jpg</t>
  </si>
  <si>
    <t>24-09-24-002841.073-51.jpg</t>
  </si>
  <si>
    <t>24-09-24-002843.262-52.jpg</t>
  </si>
  <si>
    <t>24-09-24-002845.452-53.jpg</t>
  </si>
  <si>
    <t>24-09-24-002847.634-54.jpg</t>
  </si>
  <si>
    <t>24-09-24-002849.821-55.jpg</t>
  </si>
  <si>
    <t>24-09-24-002851.916-56.jpg</t>
  </si>
  <si>
    <t>24-09-24-002854.094-57.jpg</t>
  </si>
  <si>
    <t>24-09-24-002856.198-58.jpg</t>
  </si>
  <si>
    <t>24-09-24-002858.386-59.jpg</t>
  </si>
  <si>
    <t>24-09-24-002900.572-60.jpg</t>
  </si>
  <si>
    <t>24-09-24-002902.753-61.jpg</t>
  </si>
  <si>
    <t>24-09-24-002904.941-62.jpg</t>
  </si>
  <si>
    <t>24-09-24-002907.122-63.jpg</t>
  </si>
  <si>
    <t>24-09-24-002909.302-64.jpg</t>
  </si>
  <si>
    <t>24-09-24-002911.492-65.jpg</t>
  </si>
  <si>
    <t>24-09-24-002913.673-66.jpg</t>
  </si>
  <si>
    <t>24-09-24-002915.841-67.jpg</t>
  </si>
  <si>
    <t>24-09-24-002918.014-68.jpg</t>
  </si>
  <si>
    <t>24-09-24-002920.182-69.jpg</t>
  </si>
  <si>
    <t>24-09-24-002922.354-70.jpg</t>
  </si>
  <si>
    <t>24-09-24-002924.521-71.jpg</t>
  </si>
  <si>
    <t>24-09-24-002926.702-72.jpg</t>
  </si>
  <si>
    <t>24-09-24-002928.872-73.jpg</t>
  </si>
  <si>
    <t>24-09-24-002931.051-74.jpg</t>
  </si>
  <si>
    <t>24-09-24-002934.143-75.jpg</t>
  </si>
  <si>
    <t>24-09-24-002936.344-76.jpg</t>
  </si>
  <si>
    <t>24-09-24-002938.542-77.jpg</t>
  </si>
  <si>
    <t>24-09-24-002940.742-78.jpg</t>
  </si>
  <si>
    <t>24-09-24-002942.855-79.jpg</t>
  </si>
  <si>
    <t>24-09-24-002945.039-80.jpg</t>
  </si>
  <si>
    <t>24-09-24-002947.253-81.jpg</t>
  </si>
  <si>
    <t>24-09-24-002949.465-82.jpg</t>
  </si>
  <si>
    <t>24-09-24-002951.695-83.jpg</t>
  </si>
  <si>
    <t>24-09-24-002953.934-84.jpg</t>
  </si>
  <si>
    <t>24-09-24-002956.142-85.jpg</t>
  </si>
  <si>
    <t>24-09-24-002958.373-86.jpg</t>
  </si>
  <si>
    <t>24-09-24-003000.602-87.jpg</t>
  </si>
  <si>
    <t>24-09-24-003003.425-88.jpg</t>
  </si>
  <si>
    <t>24-09-24-003005.557-89.jpg</t>
  </si>
  <si>
    <t>24-09-24-003007.742-90.jpg</t>
  </si>
  <si>
    <t>24-09-24-003009.953-91.jpg</t>
  </si>
  <si>
    <t>24-09-24-003012.158-92.jpg</t>
  </si>
  <si>
    <t>24-09-24-003014.342-93.jpg</t>
  </si>
  <si>
    <t>24-09-24-003016.550-94.jpg</t>
  </si>
  <si>
    <t>24-09-24-003018.657-95.jpg</t>
  </si>
  <si>
    <t>24-09-24-003020.829-96.jpg</t>
  </si>
  <si>
    <t>24-09-24-003023.022-97.jpg</t>
  </si>
  <si>
    <t>24-09-24-003025.202-98.jpg</t>
  </si>
  <si>
    <t>24-09-24-003027.285-99.jpg</t>
  </si>
  <si>
    <t>24-09-24-003029.450-100.jpg</t>
  </si>
  <si>
    <t>24-09-24-003031.633-101.jpg</t>
  </si>
  <si>
    <t>24-09-24-003033.736-102.jpg</t>
  </si>
  <si>
    <t>24-09-24-003036.873-103.jpg</t>
  </si>
  <si>
    <t>24-09-24-003039.072-104.jpg</t>
  </si>
  <si>
    <t>24-09-24-003041.272-105.jpg</t>
  </si>
  <si>
    <t>24-09-24-003043.471-106.jpg</t>
  </si>
  <si>
    <t>24-09-24-003045.661-107.jpg</t>
  </si>
  <si>
    <t>24-09-24-003047.853-108.jpg</t>
  </si>
  <si>
    <t>24-09-24-003050.032-109.jpg</t>
  </si>
  <si>
    <t>24-09-24-003052.224-110.jpg</t>
  </si>
  <si>
    <t>24-09-24-003054.310-111.jpg</t>
  </si>
  <si>
    <t>24-09-24-003056.486-112.jpg</t>
  </si>
  <si>
    <t>24-09-24-003058.685-113.jpg</t>
  </si>
  <si>
    <t>24-09-24-003100.903-114.jpg</t>
  </si>
  <si>
    <t>24-09-24-003103.100-115.jpg</t>
  </si>
  <si>
    <t>24-09-24-003105.312-116.jpg</t>
  </si>
  <si>
    <t>24-09-24-003108.467-117.jpg</t>
  </si>
  <si>
    <t>24-09-24-003110.672-118.jpg</t>
  </si>
  <si>
    <t>24-09-24-003112.863-119.jpg</t>
  </si>
  <si>
    <t>24-09-24-003115.062-120.jpg</t>
  </si>
  <si>
    <t>24-09-24-003117.261-121.jpg</t>
  </si>
  <si>
    <t>24-09-24-003119.453-122.jpg</t>
  </si>
  <si>
    <t>24-09-24-003121.643-123.jpg</t>
  </si>
  <si>
    <t>24-09-24-003124.704-124.jpg</t>
  </si>
  <si>
    <t>24-09-24-003126.795-125.jpg</t>
  </si>
  <si>
    <t>24-09-24-003128.949-126.jpg</t>
  </si>
  <si>
    <t>24-09-24-003131.123-127.jpg</t>
  </si>
  <si>
    <t>24-09-24-003133.312-128.jpg</t>
  </si>
  <si>
    <t>24-09-24-003135.406-129.jpg</t>
  </si>
  <si>
    <t>24-09-24-003137.584-130.jpg</t>
  </si>
  <si>
    <t>24-09-24-003139.772-131.jpg</t>
  </si>
  <si>
    <t>24-09-24-003142.929-132.jpg</t>
  </si>
  <si>
    <t>24-09-24-003145.123-133.jpg</t>
  </si>
  <si>
    <t>24-09-24-003147.311-134.jpg</t>
  </si>
  <si>
    <t>24-09-24-003149.502-135.jpg</t>
  </si>
  <si>
    <t>24-09-24-003151.703-136.jpg</t>
  </si>
  <si>
    <t>24-09-24-003153.797-137.jpg</t>
  </si>
  <si>
    <t>24-09-24-003155.961-138.jpg</t>
  </si>
  <si>
    <t>24-09-24-003158.123-139.jpg</t>
  </si>
  <si>
    <t>24-09-24-003200.271-140.jpg</t>
  </si>
  <si>
    <t>24-09-24-003202.416-141.jpg</t>
  </si>
  <si>
    <t>24-09-24-003204.554-142.jpg</t>
  </si>
  <si>
    <t>24-09-24-003206.689-143.jpg</t>
  </si>
  <si>
    <t>24-09-24-003208.832-144.jpg</t>
  </si>
  <si>
    <t>24-09-24-003210.978-145.jpg</t>
  </si>
  <si>
    <t>24-09-24-003213.123-146.jpg</t>
  </si>
  <si>
    <t>24-09-24-003215.186-147.jpg</t>
  </si>
  <si>
    <t>24-09-24-003217.340-148.jpg</t>
  </si>
  <si>
    <t>24-09-24-003219.425-149.jpg</t>
  </si>
  <si>
    <t>24-09-24-003221.583-150.jpg</t>
  </si>
  <si>
    <t>24-09-24-003223.755-151.jpg</t>
  </si>
  <si>
    <t>24-09-24-003225.922-152.jpg</t>
  </si>
  <si>
    <t>24-09-24-003228.094-153.jpg</t>
  </si>
  <si>
    <t>24-09-24-003230.272-154.jpg</t>
  </si>
  <si>
    <t>24-09-24-003232.445-155.jpg</t>
  </si>
  <si>
    <t>24-09-24-003234.628-156.jpg</t>
  </si>
  <si>
    <t>24-09-24-003236.812-157.jpg</t>
  </si>
  <si>
    <t>24-09-24-003238.002-158.jpg</t>
  </si>
  <si>
    <t>24-09-24-003242.135-159.jpg</t>
  </si>
  <si>
    <t>24-09-24-003244.246-160.jpg</t>
  </si>
  <si>
    <t>24-09-24-003246.457-161.jpg</t>
  </si>
  <si>
    <t>24-09-24-003248.566-162.jpg</t>
  </si>
  <si>
    <t>24-09-24-003250.749-163.jpg</t>
  </si>
  <si>
    <t>24-09-24-003252.953-164.jpg</t>
  </si>
  <si>
    <t>24-09-24-003255.182-165.jpg</t>
  </si>
  <si>
    <t>24-09-24-003257.297-166.jpg</t>
  </si>
  <si>
    <t>24-09-24-003259.486-167.jpg</t>
  </si>
  <si>
    <t>24-09-24-003301.681-168.jpg</t>
  </si>
  <si>
    <t>24-09-24-003303.871-169.jpg</t>
  </si>
  <si>
    <t>24-09-24-003306.061-170.jpg</t>
  </si>
  <si>
    <t>24-09-24-003308.243-171.jpg</t>
  </si>
  <si>
    <t>24-09-24-003310.327-172.jpg</t>
  </si>
  <si>
    <t>24-09-24-003312.485-173.jpg</t>
  </si>
  <si>
    <t>24-09-24-003314.694-174.jpg</t>
  </si>
  <si>
    <t>24-09-24-003316.873-175.jpg</t>
  </si>
  <si>
    <t>24-09-24-003319.071-176.jpg</t>
  </si>
  <si>
    <t>24-09-24-003321.253-177.jpg</t>
  </si>
  <si>
    <t>24-09-24-003323.440-178.jpg</t>
  </si>
  <si>
    <t>24-09-24-003325.643-179.jpg</t>
  </si>
  <si>
    <t>24-09-24-003327.842-180.jpg</t>
  </si>
  <si>
    <t>24-09-24-003329.945-181.jpg</t>
  </si>
  <si>
    <t>24-09-24-003332.136-182.jpg</t>
  </si>
  <si>
    <t>24-09-24-003334.347-183.jpg</t>
  </si>
  <si>
    <t>24-09-24-003336.552-184.jpg</t>
  </si>
  <si>
    <t>24-09-24-003338.750-185.jpg</t>
  </si>
  <si>
    <t>24-09-24-003340.942-186.jpg</t>
  </si>
  <si>
    <t>24-09-24-003344.095-187.jpg</t>
  </si>
  <si>
    <t>24-09-24-003346.186-188.jpg</t>
  </si>
  <si>
    <t>24-09-24-003348.384-189.jpg</t>
  </si>
  <si>
    <t>24-09-24-003350.603-190.jpg</t>
  </si>
  <si>
    <t>24-09-24-003352.794-191.jpg</t>
  </si>
  <si>
    <t>24-09-24-003354.906-192.jpg</t>
  </si>
  <si>
    <t>24-09-24-003357.097-193.jpg</t>
  </si>
  <si>
    <t>24-09-24-003359.991-194.jpg</t>
  </si>
  <si>
    <t>24-09-24-003402.086-195.jpg</t>
  </si>
  <si>
    <t>24-09-24-003404.258-196.jpg</t>
  </si>
  <si>
    <t>24-09-24-003406.452-197.jpg</t>
  </si>
  <si>
    <t>24-09-24-003408.641-198.jpg</t>
  </si>
  <si>
    <t>24-09-24-003410.842-199.jpg</t>
  </si>
  <si>
    <t>24-09-24-003413.040-200.jpg</t>
  </si>
  <si>
    <t>24-09-24-003415.245-201.jpg</t>
  </si>
  <si>
    <t>24-09-24-003417.432-202.jpg</t>
  </si>
  <si>
    <t>24-09-24-003419.623-203.jpg</t>
  </si>
  <si>
    <t>24-09-24-003421.811-204.jpg</t>
  </si>
  <si>
    <t>24-09-24-003423.003-205.jpg</t>
  </si>
  <si>
    <t>24-09-24-003426.185-206.jpg</t>
  </si>
  <si>
    <t>24-09-24-003428.374-207.jpg</t>
  </si>
  <si>
    <t>24-09-24-003430.560-208.jpg</t>
  </si>
  <si>
    <t>24-09-24-003433.735-209.jpg</t>
  </si>
  <si>
    <t>24-09-24-003435.795-210.jpg</t>
  </si>
  <si>
    <t>24-09-24-003437.911-211.jpg</t>
  </si>
  <si>
    <t>24-09-24-003439.957-212.jpg</t>
  </si>
  <si>
    <t>24-09-24-003442.068-213.jpg</t>
  </si>
  <si>
    <t>24-09-24-003444.126-214.jpg</t>
  </si>
  <si>
    <t>24-09-24-003446.254-215.jpg</t>
  </si>
  <si>
    <t>24-09-24-003448.433-216.jpg</t>
  </si>
  <si>
    <t>24-09-24-003450.622-217.jpg</t>
  </si>
  <si>
    <t>24-09-24-003452.836-218.jpg</t>
  </si>
  <si>
    <t>24-09-24-003454.945-219.jpg</t>
  </si>
  <si>
    <t>24-09-24-003457.122-220.jpg</t>
  </si>
  <si>
    <t>24-09-24-003459.324-221.jpg</t>
  </si>
  <si>
    <t>24-09-24-003501.416-222.jpg</t>
  </si>
  <si>
    <t>24-09-24-003503.604-223.jpg</t>
  </si>
  <si>
    <t>24-09-24-003505.803-224.jpg</t>
  </si>
  <si>
    <t>24-09-24-003508.994-225.jpg</t>
  </si>
  <si>
    <t>24-09-24-003511.086-226.jpg</t>
  </si>
  <si>
    <t>24-09-24-003513.274-227.jpg</t>
  </si>
  <si>
    <t>24-09-24-003515.462-228.jpg</t>
  </si>
  <si>
    <t>24-09-24-003517.671-229.jpg</t>
  </si>
  <si>
    <t>24-09-24-003519.863-230.jpg</t>
  </si>
  <si>
    <t>24-09-24-003522.052-231.jpg</t>
  </si>
  <si>
    <t>24-09-24-003525.159-232.jpg</t>
  </si>
  <si>
    <t>24-09-24-003527.256-233.jpg</t>
  </si>
  <si>
    <t>24-09-24-003529.408-234.jpg</t>
  </si>
  <si>
    <t>24-09-24-003531.486-235.jpg</t>
  </si>
  <si>
    <t>24-09-24-003533.639-236.jpg</t>
  </si>
  <si>
    <t>24-09-24-003535.812-237.jpg</t>
  </si>
  <si>
    <t>24-09-24-003537.994-238.jpg</t>
  </si>
  <si>
    <t>24-09-24-003540.162-239.jpg</t>
  </si>
  <si>
    <t>24-09-24-003543.200-240.jpg</t>
  </si>
  <si>
    <t>24-09-24-003545.383-241.jpg</t>
  </si>
  <si>
    <t>24-09-24-003547.486-242.jpg</t>
  </si>
  <si>
    <t>24-09-24-003549.677-243.jpg</t>
  </si>
  <si>
    <t>24-09-24-003551.903-244.jpg</t>
  </si>
  <si>
    <t>24-09-24-003554.091-245.jpg</t>
  </si>
  <si>
    <t>24-09-24-003556.177-246.jpg</t>
  </si>
  <si>
    <t>24-09-24-003558.317-247.jpg</t>
  </si>
  <si>
    <t>24-09-24-003600.492-248.jpg</t>
  </si>
  <si>
    <t>24-09-24-003602.653-249.jpg</t>
  </si>
  <si>
    <t>24-09-24-003604.813-250.jpg</t>
  </si>
  <si>
    <t>24-09-24-003606.963-251.jpg</t>
  </si>
  <si>
    <t>24-09-24-003609.122-252.jpg</t>
  </si>
  <si>
    <t>24-09-24-003611.268-253.jpg</t>
  </si>
  <si>
    <t>24-09-24-003613.417-254.jpg</t>
  </si>
  <si>
    <t>24-09-24-003615.601-255.jpg</t>
  </si>
  <si>
    <t>24-09-24-003617.763-256.jpg</t>
  </si>
  <si>
    <t>24-09-24-003619.944-257.jpg</t>
  </si>
  <si>
    <t>24-09-24-003622.121-258.jpg</t>
  </si>
  <si>
    <t>24-09-24-003624.333-259.jpg</t>
  </si>
  <si>
    <t>24-09-24-003627.244-260.jpg</t>
  </si>
  <si>
    <t>24-09-24-003629.329-261.jpg</t>
  </si>
  <si>
    <t>24-09-24-003631.484-262.jpg</t>
  </si>
  <si>
    <t>24-09-24-003633.675-263.jpg</t>
  </si>
  <si>
    <t>24-09-24-003635.765-264.jpg</t>
  </si>
  <si>
    <t>24-09-24-003637.932-265.jpg</t>
  </si>
  <si>
    <t>24-09-24-003640.114-266.jpg</t>
  </si>
  <si>
    <t>24-09-24-003643.198-267.jpg</t>
  </si>
  <si>
    <t>24-09-24-003645.382-268.jpg</t>
  </si>
  <si>
    <t>24-09-24-003647.572-269.jpg</t>
  </si>
  <si>
    <t>24-09-24-003649.762-270.jpg</t>
  </si>
  <si>
    <t>24-09-24-003651.867-271.jpg</t>
  </si>
  <si>
    <t>24-09-24-003654.047-272.jpg</t>
  </si>
  <si>
    <t>24-09-24-003656.165-273.jpg</t>
  </si>
  <si>
    <t>24-09-24-003659.311-274.jpg</t>
  </si>
  <si>
    <t>24-09-24-003701.437-275.jpg</t>
  </si>
  <si>
    <t>24-09-24-003703.624-276.jpg</t>
  </si>
  <si>
    <t>24-09-24-003705.832-277.jpg</t>
  </si>
  <si>
    <t>24-09-24-003708.045-278.jpg</t>
  </si>
  <si>
    <t>24-09-24-003710.137-279.jpg</t>
  </si>
  <si>
    <t>24-09-24-003712.314-280.jpg</t>
  </si>
  <si>
    <t>24-09-24-003715.411-281.jpg</t>
  </si>
  <si>
    <t>24-09-24-003717.506-282.jpg</t>
  </si>
  <si>
    <t>24-09-24-003719.671-283.jpg</t>
  </si>
  <si>
    <t>24-09-24-003721.853-284.jpg</t>
  </si>
  <si>
    <t>24-09-24-003724.031-285.jpg</t>
  </si>
  <si>
    <t>24-09-24-003726.224-286.jpg</t>
  </si>
  <si>
    <t>24-09-24-003728.297-287.jpg</t>
  </si>
  <si>
    <t>24-09-24-003730.437-288.jpg</t>
  </si>
  <si>
    <t>24-09-24-003732.497-289.jpg</t>
  </si>
  <si>
    <t>24-09-24-003734.622-290.jpg</t>
  </si>
  <si>
    <t>24-09-24-003736.686-291.jpg</t>
  </si>
  <si>
    <t>24-09-24-003739.548-292.jpg</t>
  </si>
  <si>
    <t>24-09-24-003741.713-293.jpg</t>
  </si>
  <si>
    <t>24-09-24-003743.872-294.jpg</t>
  </si>
  <si>
    <t>24-09-24-003746.052-295.jpg</t>
  </si>
  <si>
    <t>24-09-24-003748.225-296.jpg</t>
  </si>
  <si>
    <t>24-09-24-003750.306-297.jpg</t>
  </si>
  <si>
    <t>24-09-24-003752.443-298.jpg</t>
  </si>
  <si>
    <t>24-09-24-003754.606-299.jpg</t>
  </si>
  <si>
    <t>24-09-24-003757.663-300.jpg</t>
  </si>
  <si>
    <t>24-09-24-003759.742-301.jpg</t>
  </si>
  <si>
    <t>24-09-24-003801.888-302.jpg</t>
  </si>
  <si>
    <t>24-09-24-003803.966-303.jpg</t>
  </si>
  <si>
    <t>24-09-24-003806.119-304.jpg</t>
  </si>
  <si>
    <t>24-09-24-003808.304-305.jpg</t>
  </si>
  <si>
    <t>24-09-24-003810.492-306.jpg</t>
  </si>
  <si>
    <t>24-09-24-003812.684-307.jpg</t>
  </si>
  <si>
    <t>24-09-24-003814.862-308.jpg</t>
  </si>
  <si>
    <t>24-09-24-003817.970-309.jpg</t>
  </si>
  <si>
    <t>24-09-24-003820.066-310.jpg</t>
  </si>
  <si>
    <t>24-09-24-003822.238-311.jpg</t>
  </si>
  <si>
    <t>24-09-24-003824.443-312.jpg</t>
  </si>
  <si>
    <t>24-09-24-003826.652-313.jpg</t>
  </si>
  <si>
    <t>24-09-24-003828.854-314.jpg</t>
  </si>
  <si>
    <t>24-09-24-003831.042-315.jpg</t>
  </si>
  <si>
    <t>24-09-24-003833.233-316.jpg</t>
  </si>
  <si>
    <t>24-09-24-003836.383-317.jpg</t>
  </si>
  <si>
    <t>24-09-24-003838.572-318.jpg</t>
  </si>
  <si>
    <t>24-09-24-003840.762-319.jpg</t>
  </si>
  <si>
    <t>24-09-24-003842.943-320.jpg</t>
  </si>
  <si>
    <t>24-09-24-003845.132-321.jpg</t>
  </si>
  <si>
    <t>24-09-24-003847.320-322.jpg</t>
  </si>
  <si>
    <t>24-09-24-003849.492-323.jpg</t>
  </si>
  <si>
    <t>24-09-24-003851.673-324.jpg</t>
  </si>
  <si>
    <t>24-09-24-003853.863-325.jpg</t>
  </si>
  <si>
    <t>24-09-24-003856.057-326.jpg</t>
  </si>
  <si>
    <t>24-09-24-003858.243-327.jpg</t>
  </si>
  <si>
    <t>24-09-24-003900.421-328.jpg</t>
  </si>
  <si>
    <t>24-09-24-003902.621-329.jpg</t>
  </si>
  <si>
    <t>24-09-24-003904.801-330.jpg</t>
  </si>
  <si>
    <t>24-09-24-003906.983-331.jpg</t>
  </si>
  <si>
    <t>24-09-24-003909.161-332.jpg</t>
  </si>
  <si>
    <t>24-09-24-003911.366-333.jpg</t>
  </si>
  <si>
    <t>24-09-24-003913.562-334.jpg</t>
  </si>
  <si>
    <t>24-09-24-003915.657-335.jpg</t>
  </si>
  <si>
    <t>24-09-24-003917.842-336.jpg</t>
  </si>
  <si>
    <t>24-09-24-003919.937-337.jpg</t>
  </si>
  <si>
    <t>24-09-24-003922.114-338.jpg</t>
  </si>
  <si>
    <t>24-09-24-003924.311-339.jpg</t>
  </si>
  <si>
    <t>24-09-24-003927.464-340.jpg</t>
  </si>
  <si>
    <t>24-09-24-003929.651-341.jpg</t>
  </si>
  <si>
    <t>24-09-24-003931.852-342.jpg</t>
  </si>
  <si>
    <t>24-09-24-003933.936-343.jpg</t>
  </si>
  <si>
    <t>24-09-24-003936.089-344.jpg</t>
  </si>
  <si>
    <t>24-09-24-003938.262-345.jpg</t>
  </si>
  <si>
    <t>24-09-24-003940.356-346.jpg</t>
  </si>
  <si>
    <t>24-09-24-003942.522-347.jpg</t>
  </si>
  <si>
    <t>24-09-24-003944.714-348.jpg</t>
  </si>
  <si>
    <t>24-09-24-003946.796-349.jpg</t>
  </si>
  <si>
    <t>24-09-24-003948.936-350.jpg</t>
  </si>
  <si>
    <t>24-09-24-003950.006-351.jpg</t>
  </si>
  <si>
    <t>24-09-24-003953.147-352.jpg</t>
  </si>
  <si>
    <t>24-09-24-003955.302-353.jpg</t>
  </si>
  <si>
    <t>24-09-24-003957.451-354.jpg</t>
  </si>
  <si>
    <t>24-09-24-003959.612-355.jpg</t>
  </si>
  <si>
    <t>24-09-24-004001.763-356.jpg</t>
  </si>
  <si>
    <t>24-09-24-004004.896-357.jpg</t>
  </si>
  <si>
    <t>24-09-24-004007.047-358.jpg</t>
  </si>
  <si>
    <t>24-09-24-004009.222-359.jpg</t>
  </si>
  <si>
    <t>24-09-24-004011.402-360.jpg</t>
  </si>
  <si>
    <t>24-09-24-004013.572-361.jpg</t>
  </si>
  <si>
    <t>24-09-24-004015.742-362.jpg</t>
  </si>
  <si>
    <t>24-09-24-004017.912-363.jpg</t>
  </si>
  <si>
    <t>24-09-24-004020.091-364.jpg</t>
  </si>
  <si>
    <t>24-09-24-004023.045-365.jpg</t>
  </si>
  <si>
    <t>24-09-24-004025.241-366.jpg</t>
  </si>
  <si>
    <t>24-09-24-004027.335-367.jpg</t>
  </si>
  <si>
    <t>24-09-24-004029.488-368.jpg</t>
  </si>
  <si>
    <t>24-09-24-004031.682-369.jpg</t>
  </si>
  <si>
    <t>24-09-24-004033.871-370.jpg</t>
  </si>
  <si>
    <t>24-09-24-004036.062-371.jpg</t>
  </si>
  <si>
    <t>24-09-24-004038.263-372.jpg</t>
  </si>
  <si>
    <t>24-09-24-004040.366-373.jpg</t>
  </si>
  <si>
    <t>24-09-24-004042.526-374.jpg</t>
  </si>
  <si>
    <t>24-09-24-004044.722-375.jpg</t>
  </si>
  <si>
    <t>24-09-24-004046.913-376.jpg</t>
  </si>
  <si>
    <t>24-09-24-004049.103-377.jpg</t>
  </si>
  <si>
    <t>24-09-24-004051.278-378.jpg</t>
  </si>
  <si>
    <t>24-09-24-004054.345-379.jpg</t>
  </si>
  <si>
    <t>24-09-24-004056.426-380.jpg</t>
  </si>
  <si>
    <t>24-09-24-004058.580-381.jpg</t>
  </si>
  <si>
    <t>24-09-24-004100.761-382.jpg</t>
  </si>
  <si>
    <t>24-09-24-004102.941-383.jpg</t>
  </si>
  <si>
    <t>24-09-24-004105.123-384.jpg</t>
  </si>
  <si>
    <t>24-09-24-004107.306-385.jpg</t>
  </si>
  <si>
    <t>24-09-24-004109.500-386.jpg</t>
  </si>
  <si>
    <t>24-09-24-004112.629-387.jpg</t>
  </si>
  <si>
    <t>24-09-24-004114.832-388.jpg</t>
  </si>
  <si>
    <t>24-09-24-004117.031-389.jpg</t>
  </si>
  <si>
    <t>24-09-24-004119.232-390.jpg</t>
  </si>
  <si>
    <t>24-09-24-004121.421-391.jpg</t>
  </si>
  <si>
    <t>24-09-24-004123.611-392.jpg</t>
  </si>
  <si>
    <t>24-09-24-004125.781-393.jpg</t>
  </si>
  <si>
    <t>24-09-24-004127.982-394.jpg</t>
  </si>
  <si>
    <t>24-09-24-004130.161-395.jpg</t>
  </si>
  <si>
    <t>24-09-24-004132.266-396.jpg</t>
  </si>
  <si>
    <t>24-09-24-004134.428-397.jpg</t>
  </si>
  <si>
    <t>24-09-24-004136.612-398.jpg</t>
  </si>
  <si>
    <t>24-09-24-004138.792-399.jpg</t>
  </si>
  <si>
    <t>24-09-24-004140.971-400.jpg</t>
  </si>
  <si>
    <t>24-09-24-004143.173-401.jpg</t>
  </si>
  <si>
    <t>24-09-24-004145.256-402.jpg</t>
  </si>
  <si>
    <t>24-09-24-004147.414-403.jpg</t>
  </si>
  <si>
    <t>24-09-24-004149.581-404.jpg</t>
  </si>
  <si>
    <t>24-09-24-004151.762-405.jpg</t>
  </si>
  <si>
    <t>24-09-24-004153.934-406.jpg</t>
  </si>
  <si>
    <t>24-09-24-004156.102-407.jpg</t>
  </si>
  <si>
    <t>24-09-24-004158.282-408.jpg</t>
  </si>
  <si>
    <t>24-09-24-004200.464-409.jpg</t>
  </si>
  <si>
    <t>24-09-24-004202.557-410.jpg</t>
  </si>
  <si>
    <t>24-09-24-004204.693-411.jpg</t>
  </si>
  <si>
    <t>24-09-24-004206.799-412.jpg</t>
  </si>
  <si>
    <t>24-09-24-004208.942-413.jpg</t>
  </si>
  <si>
    <t>24-09-24-004211.035-414.jpg</t>
  </si>
  <si>
    <t>24-09-24-004213.201-415.jpg</t>
  </si>
  <si>
    <t>24-09-24-004216.326-416.jpg</t>
  </si>
  <si>
    <t>24-09-24-004218.511-417.jpg</t>
  </si>
  <si>
    <t>24-09-24-004220.700-418.jpg</t>
  </si>
  <si>
    <t>24-09-24-004222.912-419.jpg</t>
  </si>
  <si>
    <t>24-09-24-004225.111-420.jpg</t>
  </si>
  <si>
    <t>24-09-24-004227.312-421.jpg</t>
  </si>
  <si>
    <t>24-09-24-004229.416-422.jpg</t>
  </si>
  <si>
    <t>24-09-24-004231.614-423.jpg</t>
  </si>
  <si>
    <t>24-09-24-004233.705-424.jpg</t>
  </si>
  <si>
    <t>24-09-24-004235.880-425.jpg</t>
  </si>
  <si>
    <t>24-09-24-004238.051-426.jpg</t>
  </si>
  <si>
    <t>24-09-24-004240.202-427.jpg</t>
  </si>
  <si>
    <t>24-09-24-004242.341-428.jpg</t>
  </si>
  <si>
    <t>24-09-24-004244.470-429.jpg</t>
  </si>
  <si>
    <t>24-09-24-004246.597-430.jpg</t>
  </si>
  <si>
    <t>24-09-24-004248.722-431.jpg</t>
  </si>
  <si>
    <t>24-09-24-004250.765-432.jpg</t>
  </si>
  <si>
    <t>24-09-24-004252.918-433.jpg</t>
  </si>
  <si>
    <t>24-09-24-004255.098-434.jpg</t>
  </si>
  <si>
    <t>24-09-24-004257.185-435.jpg</t>
  </si>
  <si>
    <t>24-09-24-004259.339-436.jpg</t>
  </si>
  <si>
    <t>24-09-24-004301.512-437.jpg</t>
  </si>
  <si>
    <t>24-09-24-004303.691-438.jpg</t>
  </si>
  <si>
    <t>24-09-24-004305.861-439.jpg</t>
  </si>
  <si>
    <t>24-09-24-004308.033-440.jpg</t>
  </si>
  <si>
    <t>24-09-24-004310.221-441.jpg</t>
  </si>
  <si>
    <t>24-09-24-004312.295-442.jpg</t>
  </si>
  <si>
    <t>24-09-24-004314.448-443.jpg</t>
  </si>
  <si>
    <t>24-09-24-004316.525-444.jpg</t>
  </si>
  <si>
    <t>24-09-24-004318.679-445.jpg</t>
  </si>
  <si>
    <t>24-09-24-004320.863-446.jpg</t>
  </si>
  <si>
    <t>24-09-24-004322.936-447.jpg</t>
  </si>
  <si>
    <t>24-09-24-004325.089-448.jpg</t>
  </si>
  <si>
    <t>24-09-24-004327.273-449.jpg</t>
  </si>
  <si>
    <t>24-09-24-004329.355-450.jpg</t>
  </si>
  <si>
    <t>24-09-24-004331.522-451.jpg</t>
  </si>
  <si>
    <t>24-09-24-004333.616-452.jpg</t>
  </si>
  <si>
    <t>24-09-24-004335.783-453.jpg</t>
  </si>
  <si>
    <t>24-09-24-004337.994-454.jpg</t>
  </si>
  <si>
    <t>24-09-24-004340.193-455.jpg</t>
  </si>
  <si>
    <t>24-09-24-004343.375-456.jpg</t>
  </si>
  <si>
    <t>24-09-24-004345.496-457.jpg</t>
  </si>
  <si>
    <t>24-09-24-004347.685-458.jpg</t>
  </si>
  <si>
    <t>24-09-24-004349.892-459.jpg</t>
  </si>
  <si>
    <t>24-09-24-004351.006-460.jpg</t>
  </si>
  <si>
    <t>24-09-24-004354.187-461.jpg</t>
  </si>
  <si>
    <t>24-09-24-004357.275-462.jpg</t>
  </si>
  <si>
    <t>24-09-24-004359.462-463.jpg</t>
  </si>
  <si>
    <t>24-09-24-004401.641-464.jpg</t>
  </si>
  <si>
    <t>24-09-24-004403.822-465.jpg</t>
  </si>
  <si>
    <t>24-09-24-004405.006-466.jpg</t>
  </si>
  <si>
    <t>24-09-24-004408.183-467.jpg</t>
  </si>
  <si>
    <t>24-09-24-004410.256-468.jpg</t>
  </si>
  <si>
    <t>24-09-24-004412.408-469.jpg</t>
  </si>
  <si>
    <t>24-09-24-004415.434-470.jpg</t>
  </si>
  <si>
    <t>24-09-24-004417.525-471.jpg</t>
  </si>
  <si>
    <t>24-09-24-004419.699-472.jpg</t>
  </si>
  <si>
    <t>24-09-24-004421.786-473.jpg</t>
  </si>
  <si>
    <t>24-09-24-004423.938-474.jpg</t>
  </si>
  <si>
    <t>24-09-24-004426.035-475.jpg</t>
  </si>
  <si>
    <t>24-09-24-004428.188-476.jpg</t>
  </si>
  <si>
    <t>24-09-24-004430.275-477.jpg</t>
  </si>
  <si>
    <t>24-09-24-004433.359-478.jpg</t>
  </si>
  <si>
    <t>24-09-24-004435.457-479.jpg</t>
  </si>
  <si>
    <t>24-09-24-004437.637-480.jpg</t>
  </si>
  <si>
    <t>24-09-24-004439.843-481.jpg</t>
  </si>
  <si>
    <t>24-09-24-004442.042-482.jpg</t>
  </si>
  <si>
    <t>24-09-24-004444.232-483.jpg</t>
  </si>
  <si>
    <t>24-09-24-004446.421-484.jpg</t>
  </si>
  <si>
    <t>24-09-24-004449.409-485.jpg</t>
  </si>
  <si>
    <t>24-09-24-004451.506-486.jpg</t>
  </si>
  <si>
    <t>24-09-24-004453.672-487.jpg</t>
  </si>
  <si>
    <t>24-09-24-004455.756-488.jpg</t>
  </si>
  <si>
    <t>24-09-24-004457.921-489.jpg</t>
  </si>
  <si>
    <t>24-09-24-004500.103-490.jpg</t>
  </si>
  <si>
    <t>24-09-24-004502.187-491.jpg</t>
  </si>
  <si>
    <t>24-09-24-004504.352-492.jpg</t>
  </si>
  <si>
    <t>24-09-24-004507.185-493.jpg</t>
  </si>
  <si>
    <t>24-09-24-004509.265-494.jpg</t>
  </si>
  <si>
    <t>24-09-24-004511.406-495.jpg</t>
  </si>
  <si>
    <t>24-09-24-004513.573-496.jpg</t>
  </si>
  <si>
    <t>24-09-24-004515.635-497.jpg</t>
  </si>
  <si>
    <t>24-09-24-004517.751-498.jpg</t>
  </si>
  <si>
    <t>24-09-24-004519.902-499.jpg</t>
  </si>
  <si>
    <t>24-09-24-004522.060-500.jpg</t>
  </si>
  <si>
    <t>24-09-24-004524.212-501.jpg</t>
  </si>
  <si>
    <t>24-09-24-004526.370-502.jpg</t>
  </si>
  <si>
    <t>24-09-24-004528.546-503.jpg</t>
  </si>
  <si>
    <t>24-09-24-004530.743-504.jpg</t>
  </si>
  <si>
    <t>24-09-24-004532.911-505.jpg</t>
  </si>
  <si>
    <t>24-09-24-004535.092-506.jpg</t>
  </si>
  <si>
    <t>24-09-24-004537.176-507.jpg</t>
  </si>
  <si>
    <t>24-09-24-004539.331-508.jpg</t>
  </si>
  <si>
    <t>24-09-24-004541.502-509.jpg</t>
  </si>
  <si>
    <t>24-09-24-004543.683-510.jpg</t>
  </si>
  <si>
    <t>24-09-24-004546.762-511.jpg</t>
  </si>
  <si>
    <t>24-09-24-004548.855-512.jpg</t>
  </si>
  <si>
    <t>24-09-24-004551.027-513.jpg</t>
  </si>
  <si>
    <t>24-09-24-004553.224-514.jpg</t>
  </si>
  <si>
    <t>24-09-24-004555.411-515.jpg</t>
  </si>
  <si>
    <t>24-09-24-004557.604-516.jpg</t>
  </si>
  <si>
    <t>24-09-24-004559.801-517.jpg</t>
  </si>
  <si>
    <t>24-09-24-004602.926-518.jpg</t>
  </si>
  <si>
    <t>24-09-24-004605.016-519.jpg</t>
  </si>
  <si>
    <t>24-09-24-004607.181-520.jpg</t>
  </si>
  <si>
    <t>24-09-24-004609.372-521.jpg</t>
  </si>
  <si>
    <t>24-09-24-004611.572-522.jpg</t>
  </si>
  <si>
    <t>24-09-24-004613.656-523.jpg</t>
  </si>
  <si>
    <t>24-09-24-004615.808-524.jpg</t>
  </si>
  <si>
    <t>24-09-24-004617.994-525.jpg</t>
  </si>
  <si>
    <t>24-09-24-004620.076-526.jpg</t>
  </si>
  <si>
    <t>24-09-24-004622.241-527.jpg</t>
  </si>
  <si>
    <t>24-09-24-004624.411-528.jpg</t>
  </si>
  <si>
    <t>24-09-24-004626.486-529.jpg</t>
  </si>
  <si>
    <t>24-09-24-004628.639-530.jpg</t>
  </si>
  <si>
    <t>24-09-24-004630.802-531.jpg</t>
  </si>
  <si>
    <t>24-09-24-004632.971-532.jpg</t>
  </si>
  <si>
    <t>24-09-24-004636.035-533.jpg</t>
  </si>
  <si>
    <t>24-09-24-004638.213-534.jpg</t>
  </si>
  <si>
    <t>24-09-24-004640.392-535.jpg</t>
  </si>
  <si>
    <t>24-09-24-004642.572-536.jpg</t>
  </si>
  <si>
    <t>24-09-24-004644.752-537.jpg</t>
  </si>
  <si>
    <t>24-09-24-004646.931-538.jpg</t>
  </si>
  <si>
    <t>24-09-24-004649.112-539.jpg</t>
  </si>
  <si>
    <t>24-09-24-004651.293-540.jpg</t>
  </si>
  <si>
    <t>24-09-24-004654.319-541.jpg</t>
  </si>
  <si>
    <t>24-09-24-004656.416-542.jpg</t>
  </si>
  <si>
    <t>24-09-24-004658.581-543.jpg</t>
  </si>
  <si>
    <t>24-09-24-004700.762-544.jpg</t>
  </si>
  <si>
    <t>24-09-24-004702.942-545.jpg</t>
  </si>
  <si>
    <t>24-09-24-004705.122-546.jpg</t>
  </si>
  <si>
    <t>24-09-24-004707.302-547.jpg</t>
  </si>
  <si>
    <t>24-09-24-004709.484-548.jpg</t>
  </si>
  <si>
    <t>24-09-24-004712.570-549.jpg</t>
  </si>
  <si>
    <t>24-09-24-004714.753-550.jpg</t>
  </si>
  <si>
    <t>24-09-24-004716.924-551.jpg</t>
  </si>
  <si>
    <t>24-09-24-004719.073-552.jpg</t>
  </si>
  <si>
    <t>24-09-24-004721.213-553.jpg</t>
  </si>
  <si>
    <t>24-09-24-004723.350-554.jpg</t>
  </si>
  <si>
    <t>24-09-24-004725.416-555.jpg</t>
  </si>
  <si>
    <t>24-09-24-004727.558-556.jpg</t>
  </si>
  <si>
    <t>24-09-24-004729.744-557.jpg</t>
  </si>
  <si>
    <t>24-09-24-004731.926-558.jpg</t>
  </si>
  <si>
    <t>24-09-24-004734.135-559.jpg</t>
  </si>
  <si>
    <t>24-09-24-004736.228-560.jpg</t>
  </si>
  <si>
    <t>24-09-24-004738.397-561.jpg</t>
  </si>
  <si>
    <t>24-09-24-004740.480-562.jpg</t>
  </si>
  <si>
    <t>24-09-24-004742.640-563.jpg</t>
  </si>
  <si>
    <t>24-09-24-004744.841-564.jpg</t>
  </si>
  <si>
    <t>24-09-24-004747.028-565.jpg</t>
  </si>
  <si>
    <t>24-09-24-004749.227-566.jpg</t>
  </si>
  <si>
    <t>24-09-24-004751.310-567.jpg</t>
  </si>
  <si>
    <t>24-09-24-004754.212-568.jpg</t>
  </si>
  <si>
    <t>24-09-24-004756.377-569.jpg</t>
  </si>
  <si>
    <t>24-09-24-004758.545-570.jpg</t>
  </si>
  <si>
    <t>24-09-24-004800.733-571.jpg</t>
  </si>
  <si>
    <t>24-09-24-004802.928-572.jpg</t>
  </si>
  <si>
    <t>24-09-24-004805.127-573.jpg</t>
  </si>
  <si>
    <t>24-09-24-004807.327-574.jpg</t>
  </si>
  <si>
    <t>24-09-24-004809.525-575.jpg</t>
  </si>
  <si>
    <t>24-09-24-004811.738-576.jpg</t>
  </si>
  <si>
    <t>24-09-24-004813.953-577.jpg</t>
  </si>
  <si>
    <t>24-09-24-004816.040-578.jpg</t>
  </si>
  <si>
    <t>24-09-24-004818.206-579.jpg</t>
  </si>
  <si>
    <t>24-09-24-004820.290-580.jpg</t>
  </si>
  <si>
    <t>24-09-24-004822.456-581.jpg</t>
  </si>
  <si>
    <t>24-09-24-004824.647-582.jpg</t>
  </si>
  <si>
    <t>24-09-24-004826.837-583.jpg</t>
  </si>
  <si>
    <t>24-09-24-004829.727-584.jpg</t>
  </si>
  <si>
    <t>24-09-24-004831.915-585.jpg</t>
  </si>
  <si>
    <t>24-09-24-004834.106-586.jpg</t>
  </si>
  <si>
    <t>24-09-24-004836.298-587.jpg</t>
  </si>
  <si>
    <t>24-09-24-004838.499-588.jpg</t>
  </si>
  <si>
    <t>24-09-24-004840.685-589.jpg</t>
  </si>
  <si>
    <t>24-09-24-004842.879-590.jpg</t>
  </si>
  <si>
    <t>24-09-24-004845.065-591.jpg</t>
  </si>
  <si>
    <t>24-09-24-004848.203-592.jpg</t>
  </si>
  <si>
    <t>24-09-24-004850.300-593.jpg</t>
  </si>
  <si>
    <t>24-09-24-004852.476-594.jpg</t>
  </si>
  <si>
    <t>24-09-24-004854.674-595.jpg</t>
  </si>
  <si>
    <t>24-09-24-004856.865-596.jpg</t>
  </si>
  <si>
    <t>24-09-24-004859.055-597.jpg</t>
  </si>
  <si>
    <t>24-09-24-004901.245-598.jpg</t>
  </si>
  <si>
    <t>24-09-24-004903.434-599.jpg</t>
  </si>
  <si>
    <t>24-09-24-004905.635-600.jpg</t>
  </si>
  <si>
    <t>24-09-24-004907.813-601.jpg</t>
  </si>
  <si>
    <t>24-09-24-004909.995-602.jpg</t>
  </si>
  <si>
    <t>24-09-24-004912.174-603.jpg</t>
  </si>
  <si>
    <t>24-09-24-004914.364-604.jpg</t>
  </si>
  <si>
    <t>24-09-24-004916.448-605.jpg</t>
  </si>
  <si>
    <t>24-09-24-004918.613-606.jpg</t>
  </si>
  <si>
    <t>24-09-24-004920.804-607.jpg</t>
  </si>
  <si>
    <t>24-09-24-004923.931-608.jpg</t>
  </si>
  <si>
    <t>24-09-24-004926.123-609.jpg</t>
  </si>
  <si>
    <t>24-09-24-004928.218-610.jpg</t>
  </si>
  <si>
    <t>24-09-24-004930.388-611.jpg</t>
  </si>
  <si>
    <t>24-09-24-004932.574-612.jpg</t>
  </si>
  <si>
    <t>24-09-24-004934.754-613.jpg</t>
  </si>
  <si>
    <t>24-09-24-004936.944-614.jpg</t>
  </si>
  <si>
    <t>24-09-24-004939.036-615.jpg</t>
  </si>
  <si>
    <t>24-09-24-004941.216-616.jpg</t>
  </si>
  <si>
    <t>24-09-24-004943.327-617.jpg</t>
  </si>
  <si>
    <t>24-09-24-004945.491-618.jpg</t>
  </si>
  <si>
    <t>24-09-24-004947.671-619.jpg</t>
  </si>
  <si>
    <t>24-09-24-004949.851-620.jpg</t>
  </si>
  <si>
    <t>24-09-24-004952.041-621.jpg</t>
  </si>
  <si>
    <t>24-09-24-004954.221-622.jpg</t>
  </si>
  <si>
    <t>24-09-24-004956.295-623.jpg</t>
  </si>
  <si>
    <t>24-09-24-004959.358-624.jpg</t>
  </si>
  <si>
    <t>24-09-24-005001.406-625.jpg</t>
  </si>
  <si>
    <t>24-09-24-005003.507-626.jpg</t>
  </si>
  <si>
    <t>24-09-24-005005.631-627.jpg</t>
  </si>
  <si>
    <t>24-09-24-005007.747-628.jpg</t>
  </si>
  <si>
    <t>24-09-24-005009.870-629.jpg</t>
  </si>
  <si>
    <t>24-09-24-005011.997-630.jpg</t>
  </si>
  <si>
    <t>24-09-24-005014.152-631.jpg</t>
  </si>
  <si>
    <t>24-09-24-005016.301-632.jpg</t>
  </si>
  <si>
    <t>24-09-24-005018.472-633.jpg</t>
  </si>
  <si>
    <t>24-09-24-005020.652-634.jpg</t>
  </si>
  <si>
    <t>24-09-24-005022.003-635.jpg</t>
  </si>
  <si>
    <t>24-09-24-005025.096-636.jpg</t>
  </si>
  <si>
    <t>24-09-24-005027.464-637.jpg</t>
  </si>
  <si>
    <t>24-09-24-005029.652-638.jpg</t>
  </si>
  <si>
    <t>24-09-24-005031.862-639.jpg</t>
  </si>
  <si>
    <t>24-09-24-005034.040-640.jpg</t>
  </si>
  <si>
    <t>24-09-24-005036.224-641.jpg</t>
  </si>
  <si>
    <t>24-09-24-005038.411-642.jpg</t>
  </si>
  <si>
    <t>24-09-24-005041.612-643.jpg</t>
  </si>
  <si>
    <t>24-09-24-005043.810-644.jpg</t>
  </si>
  <si>
    <t>24-09-24-005045.004-645.jpg</t>
  </si>
  <si>
    <t>24-09-24-005048.182-646.jpg</t>
  </si>
  <si>
    <t>24-09-24-005050.371-647.jpg</t>
  </si>
  <si>
    <t>24-09-24-005052.562-648.jpg</t>
  </si>
  <si>
    <t>24-09-24-005054.755-649.jpg</t>
  </si>
  <si>
    <t>24-09-24-005056.933-650.jpg</t>
  </si>
  <si>
    <t>24-09-24-005059.123-651.jpg</t>
  </si>
  <si>
    <t>24-09-24-005101.309-652.jpg</t>
  </si>
  <si>
    <t>24-09-24-005103.482-653.jpg</t>
  </si>
  <si>
    <t>24-09-24-005105.642-654.jpg</t>
  </si>
  <si>
    <t>24-09-24-005107.791-655.jpg</t>
  </si>
  <si>
    <t>24-09-24-005109.942-656.jpg</t>
  </si>
  <si>
    <t>24-09-24-005112.091-657.jpg</t>
  </si>
  <si>
    <t>24-09-24-005114.238-658.jpg</t>
  </si>
  <si>
    <t>24-09-24-005116.372-659.jpg</t>
  </si>
  <si>
    <t>24-09-24-005118.516-660.jpg</t>
  </si>
  <si>
    <t>24-09-24-005121.333-661.jpg</t>
  </si>
  <si>
    <t>24-09-24-005123.386-662.jpg</t>
  </si>
  <si>
    <t>24-09-24-005125.513-663.jpg</t>
  </si>
  <si>
    <t>24-09-24-005127.671-664.jpg</t>
  </si>
  <si>
    <t>24-09-24-005129.841-665.jpg</t>
  </si>
  <si>
    <t>24-09-24-005132.021-666.jpg</t>
  </si>
  <si>
    <t>24-09-24-005134.215-667.jpg</t>
  </si>
  <si>
    <t>24-09-24-005136.296-668.jpg</t>
  </si>
  <si>
    <t>24-09-24-005138.452-669.jpg</t>
  </si>
  <si>
    <t>24-09-24-005141.083-670.jpg</t>
  </si>
  <si>
    <t>24-09-24-005143.273-671.jpg</t>
  </si>
  <si>
    <t>24-09-24-005145.386-672.jpg</t>
  </si>
  <si>
    <t>24-09-24-005147.566-673.jpg</t>
  </si>
  <si>
    <t>24-09-24-005149.774-674.jpg</t>
  </si>
  <si>
    <t>24-09-24-005151.973-675.jpg</t>
  </si>
  <si>
    <t>24-09-24-005154.161-676.jpg</t>
  </si>
  <si>
    <t>24-09-24-005157.247-677.jpg</t>
  </si>
  <si>
    <t>24-09-24-005159.347-678.jpg</t>
  </si>
  <si>
    <t>24-09-24-005201.549-679.jpg</t>
  </si>
  <si>
    <t>24-09-24-005203.742-680.jpg</t>
  </si>
  <si>
    <t>24-09-24-005205.933-681.jpg</t>
  </si>
  <si>
    <t>24-09-24-005208.036-682.jpg</t>
  </si>
  <si>
    <t>24-09-24-005210.214-683.jpg</t>
  </si>
  <si>
    <t>24-09-24-005212.413-684.jpg</t>
  </si>
  <si>
    <t>24-09-24-005214.506-685.jpg</t>
  </si>
  <si>
    <t>24-09-24-005216.681-686.jpg</t>
  </si>
  <si>
    <t>24-09-24-005218.874-687.jpg</t>
  </si>
  <si>
    <t>24-09-24-005221.062-688.jpg</t>
  </si>
  <si>
    <t>24-09-24-005223.252-689.jpg</t>
  </si>
  <si>
    <t>24-09-24-005225.443-690.jpg</t>
  </si>
  <si>
    <t>24-09-24-005227.652-691.jpg</t>
  </si>
  <si>
    <t>24-09-24-005229.862-692.jpg</t>
  </si>
  <si>
    <t>24-09-24-005232.064-693.jpg</t>
  </si>
  <si>
    <t>24-09-24-005234.156-694.jpg</t>
  </si>
  <si>
    <t>24-09-24-005236.321-695.jpg</t>
  </si>
  <si>
    <t>24-09-24-005238.406-696.jpg</t>
  </si>
  <si>
    <t>24-09-24-005240.571-697.jpg</t>
  </si>
  <si>
    <t>24-09-24-005242.762-698.jpg</t>
  </si>
  <si>
    <t>24-09-24-005244.857-699.jpg</t>
  </si>
  <si>
    <t>24-09-24-005247.899-700.jpg</t>
  </si>
  <si>
    <t>24-09-24-005249.987-701.jpg</t>
  </si>
  <si>
    <t>24-09-24-005252.174-702.jpg</t>
  </si>
  <si>
    <t>24-09-24-005254.353-703.jpg</t>
  </si>
  <si>
    <t>24-09-24-005256.532-704.jpg</t>
  </si>
  <si>
    <t>24-09-24-005258.721-705.jpg</t>
  </si>
  <si>
    <t>24-09-24-005300.902-706.jpg</t>
  </si>
  <si>
    <t>24-09-24-005303.081-707.jpg</t>
  </si>
  <si>
    <t>24-09-24-005306.143-708.jpg</t>
  </si>
  <si>
    <t>24-09-24-005308.225-709.jpg</t>
  </si>
  <si>
    <t>24-09-24-005310.392-710.jpg</t>
  </si>
  <si>
    <t>24-09-24-005312.486-711.jpg</t>
  </si>
  <si>
    <t>24-09-24-005314.652-712.jpg</t>
  </si>
  <si>
    <t>24-09-24-005316.844-713.jpg</t>
  </si>
  <si>
    <t>24-09-24-005319.031-714.jpg</t>
  </si>
  <si>
    <t>24-09-24-005321.212-715.jpg</t>
  </si>
  <si>
    <t>24-09-24-005323.403-716.jpg</t>
  </si>
  <si>
    <t>24-09-24-005325.581-717.jpg</t>
  </si>
  <si>
    <t>24-09-24-005327.763-718.jpg</t>
  </si>
  <si>
    <t>24-09-24-005329.857-719.jpg</t>
  </si>
  <si>
    <t>24-09-24-005332.032-720.jpg</t>
  </si>
  <si>
    <t>24-09-24-005334.213-721.jpg</t>
  </si>
  <si>
    <t>24-09-24-005336.393-722.jpg</t>
  </si>
  <si>
    <t>24-09-24-005338.562-723.jpg</t>
  </si>
  <si>
    <t>24-09-24-005341.623-724.jpg</t>
  </si>
  <si>
    <t>24-09-24-005343.696-725.jpg</t>
  </si>
  <si>
    <t>24-09-24-005345.849-726.jpg</t>
  </si>
  <si>
    <t>24-09-24-005348.013-727.jpg</t>
  </si>
  <si>
    <t>24-09-24-005350.173-728.jpg</t>
  </si>
  <si>
    <t>24-09-24-005352.342-729.jpg</t>
  </si>
  <si>
    <t>24-09-24-005354.416-730.jpg</t>
  </si>
  <si>
    <t>24-09-24-005356.542-731.jpg</t>
  </si>
  <si>
    <t>24-09-24-005358.712-732.jpg</t>
  </si>
  <si>
    <t>24-09-24-005401.749-733.jpg</t>
  </si>
  <si>
    <t>24-09-24-005403.827-734.jpg</t>
  </si>
  <si>
    <t>24-09-24-005405.978-735.jpg</t>
  </si>
  <si>
    <t>24-09-24-005408.057-736.jpg</t>
  </si>
  <si>
    <t>24-09-24-005410.212-737.jpg</t>
  </si>
  <si>
    <t>24-09-24-005412.296-738.jpg</t>
  </si>
  <si>
    <t>24-09-24-005414.449-739.jpg</t>
  </si>
  <si>
    <t>24-09-24-005416.622-740.jpg</t>
  </si>
  <si>
    <t>24-09-24-005419.570-741.jpg</t>
  </si>
  <si>
    <t>24-09-24-005421.648-742.jpg</t>
  </si>
  <si>
    <t>24-09-24-005423.801-743.jpg</t>
  </si>
  <si>
    <t>24-09-24-005425.983-744.jpg</t>
  </si>
  <si>
    <t>24-09-24-005428.174-745.jpg</t>
  </si>
  <si>
    <t>24-09-24-005430.354-746.jpg</t>
  </si>
  <si>
    <t>24-09-24-005432.542-747.jpg</t>
  </si>
  <si>
    <t>24-09-24-005434.732-748.jpg</t>
  </si>
  <si>
    <t>24-09-24-005436.914-749.jpg</t>
  </si>
  <si>
    <t>24-09-24-005439.092-750.jpg</t>
  </si>
  <si>
    <t>24-09-24-005441.273-751.jpg</t>
  </si>
  <si>
    <t>24-09-24-005443.452-752.jpg</t>
  </si>
  <si>
    <t>24-09-24-005445.632-753.jpg</t>
  </si>
  <si>
    <t>24-09-24-005447.823-754.jpg</t>
  </si>
  <si>
    <t>24-09-24-005449.004-755.jpg</t>
  </si>
  <si>
    <t>24-09-24-005452.182-756.jpg</t>
  </si>
  <si>
    <t>24-09-24-005455.203-757.jpg</t>
  </si>
  <si>
    <t>24-09-24-005457.394-758.jpg</t>
  </si>
  <si>
    <t>24-09-24-005459.585-759.jpg</t>
  </si>
  <si>
    <t>24-09-24-005501.773-760.jpg</t>
  </si>
  <si>
    <t>24-09-24-005503.964-761.jpg</t>
  </si>
  <si>
    <t>24-09-24-005506.135-762.jpg</t>
  </si>
  <si>
    <t>24-09-24-005508.324-763.jpg</t>
  </si>
  <si>
    <t>24-09-24-005510.475-764.jpg</t>
  </si>
  <si>
    <t>24-09-24-005512.816-765.jpg</t>
  </si>
  <si>
    <t>24-09-24-005514.956-766.jpg</t>
  </si>
  <si>
    <t>24-09-24-005517.092-767.jpg</t>
  </si>
  <si>
    <t>24-09-24-005519.243-768.jpg</t>
  </si>
  <si>
    <t>24-09-24-005521.388-769.jpg</t>
  </si>
  <si>
    <t>24-09-24-005523.533-770.jpg</t>
  </si>
  <si>
    <t>24-09-24-005525.684-771.jpg</t>
  </si>
  <si>
    <t>24-09-24-005527.843-772.jpg</t>
  </si>
  <si>
    <t>24-09-24-005530.013-773.jpg</t>
  </si>
  <si>
    <t>24-09-24-005532.183-774.jpg</t>
  </si>
  <si>
    <t>24-09-24-005535.283-775.jpg</t>
  </si>
  <si>
    <t>24-09-24-005537.464-776.jpg</t>
  </si>
  <si>
    <t>24-09-24-005539.654-777.jpg</t>
  </si>
  <si>
    <t>24-09-24-005541.833-778.jpg</t>
  </si>
  <si>
    <t>24-09-24-005544.014-779.jpg</t>
  </si>
  <si>
    <t>24-09-24-005546.194-780.jpg</t>
  </si>
  <si>
    <t>24-09-24-005548.373-781.jpg</t>
  </si>
  <si>
    <t>24-09-24-005550.555-782.jpg</t>
  </si>
  <si>
    <t>24-09-24-005552.744-783.jpg</t>
  </si>
  <si>
    <t>24-09-24-005554.934-784.jpg</t>
  </si>
  <si>
    <t>24-09-24-005557.124-785.jpg</t>
  </si>
  <si>
    <t>24-09-24-005559.324-786.jpg</t>
  </si>
  <si>
    <t>24-09-24-005601.524-787.jpg</t>
  </si>
  <si>
    <t>24-09-24-005603.723-788.jpg</t>
  </si>
  <si>
    <t>24-09-24-005605.912-789.jpg</t>
  </si>
  <si>
    <t>24-09-24-005609.019-790.jpg</t>
  </si>
  <si>
    <t>24-09-24-005611.214-791.jpg</t>
  </si>
  <si>
    <t>24-09-24-005613.404-792.jpg</t>
  </si>
  <si>
    <t>24-09-24-005615.497-793.jpg</t>
  </si>
  <si>
    <t>24-09-24-005617.672-794.jpg</t>
  </si>
  <si>
    <t>24-09-24-005619.767-795.jpg</t>
  </si>
  <si>
    <t>24-09-24-005621.933-796.jpg</t>
  </si>
  <si>
    <t>24-09-24-005625.031-797.jpg</t>
  </si>
  <si>
    <t>24-09-24-005627.108-798.jpg</t>
  </si>
  <si>
    <t>24-09-24-005629.247-799.jpg</t>
  </si>
  <si>
    <t>24-09-24-005631.403-800.jpg</t>
  </si>
  <si>
    <t>24-09-24-005633.551-801.jpg</t>
  </si>
  <si>
    <t>24-09-24-005635.692-802.jpg</t>
  </si>
  <si>
    <t>24-09-24-005637.842-803.jpg</t>
  </si>
  <si>
    <t>24-09-24-005639.991-804.jpg</t>
  </si>
  <si>
    <t>24-09-24-005642.151-805.jpg</t>
  </si>
  <si>
    <t>24-09-24-005644.313-806.jpg</t>
  </si>
  <si>
    <t>24-09-24-005647.392-807.jpg</t>
  </si>
  <si>
    <t>24-09-24-005649.571-808.jpg</t>
  </si>
  <si>
    <t>24-09-24-005651.743-809.jpg</t>
  </si>
  <si>
    <t>24-09-24-005653.934-810.jpg</t>
  </si>
  <si>
    <t>24-09-24-005656.123-811.jpg</t>
  </si>
  <si>
    <t>24-09-24-005658.326-812.jpg</t>
  </si>
  <si>
    <t>24-09-24-005700.513-813.jpg</t>
  </si>
  <si>
    <t>24-09-24-005702.705-814.jpg</t>
  </si>
  <si>
    <t>24-09-24-005705.919-815.jpg</t>
  </si>
  <si>
    <t>24-09-24-005708.124-816.jpg</t>
  </si>
  <si>
    <t>24-09-24-005710.329-817.jpg</t>
  </si>
  <si>
    <t>24-09-24-005712.520-818.jpg</t>
  </si>
  <si>
    <t>24-09-24-005714.611-819.jpg</t>
  </si>
  <si>
    <t>24-09-24-005716.777-820.jpg</t>
  </si>
  <si>
    <t>24-09-24-005718.956-821.jpg</t>
  </si>
  <si>
    <t>24-09-24-005721.145-822.jpg</t>
  </si>
  <si>
    <t>24-09-24-005723.358-823.jpg</t>
  </si>
  <si>
    <t>24-09-24-005725.533-824.jpg</t>
  </si>
  <si>
    <t>24-09-24-005727.696-825.jpg</t>
  </si>
  <si>
    <t>24-09-24-005729.843-826.jpg</t>
  </si>
  <si>
    <t>24-09-24-005731.984-827.jpg</t>
  </si>
  <si>
    <t>24-09-24-005734.123-828.jpg</t>
  </si>
  <si>
    <t>24-09-24-005736.262-829.jpg</t>
  </si>
  <si>
    <t>24-09-24-005738.422-830.jpg</t>
  </si>
  <si>
    <t>24-09-24-005740.593-831.jpg</t>
  </si>
  <si>
    <t>24-09-24-005742.753-832.jpg</t>
  </si>
  <si>
    <t>24-09-24-005745.839-833.jpg</t>
  </si>
  <si>
    <t>24-09-24-005747.927-834.jpg</t>
  </si>
  <si>
    <t>24-09-24-005750.090-835.jpg</t>
  </si>
  <si>
    <t>24-09-24-005752.177-836.jpg</t>
  </si>
  <si>
    <t>24-09-24-005754.348-837.jpg</t>
  </si>
  <si>
    <t>24-09-24-005756.546-838.jpg</t>
  </si>
  <si>
    <t>24-09-24-005758.732-839.jpg</t>
  </si>
  <si>
    <t>24-09-24-005801.820-840.jpg</t>
  </si>
  <si>
    <t>24-09-24-005803.918-841.jpg</t>
  </si>
  <si>
    <t>24-09-24-005806.097-842.jpg</t>
  </si>
  <si>
    <t>24-09-24-005808.196-843.jpg</t>
  </si>
  <si>
    <t>24-09-24-005810.381-844.jpg</t>
  </si>
  <si>
    <t>24-09-24-005812.582-845.jpg</t>
  </si>
  <si>
    <t>24-09-24-005814.677-846.jpg</t>
  </si>
  <si>
    <t>24-09-24-005817.840-847.jpg</t>
  </si>
  <si>
    <t>24-09-24-005819.937-848.jpg</t>
  </si>
  <si>
    <t>24-09-24-005822.117-849.jpg</t>
  </si>
  <si>
    <t>24-09-24-005824.317-850.jpg</t>
  </si>
  <si>
    <t>24-09-24-005826.516-851.jpg</t>
  </si>
  <si>
    <t>24-09-24-005828.607-852.jpg</t>
  </si>
  <si>
    <t>24-09-24-005830.773-853.jpg</t>
  </si>
  <si>
    <t>24-09-24-005832.990-854.jpg</t>
  </si>
  <si>
    <t>24-09-24-005835.201-855.jpg</t>
  </si>
  <si>
    <t>24-09-24-005837.297-856.jpg</t>
  </si>
  <si>
    <t>24-09-24-005839.462-857.jpg</t>
  </si>
  <si>
    <t>24-09-24-005841.642-858.jpg</t>
  </si>
  <si>
    <t>24-09-24-005843.832-859.jpg</t>
  </si>
  <si>
    <t>24-09-24-005846.013-860.jpg</t>
  </si>
  <si>
    <t>24-09-24-005849.113-861.jpg</t>
  </si>
  <si>
    <t>24-09-24-005851.292-862.jpg</t>
  </si>
  <si>
    <t>24-09-24-005853.482-863.jpg</t>
  </si>
  <si>
    <t>24-09-24-005855.671-864.jpg</t>
  </si>
  <si>
    <t>24-09-24-005857.872-865.jpg</t>
  </si>
  <si>
    <t>24-09-24-005900.071-866.jpg</t>
  </si>
  <si>
    <t>24-09-24-005902.166-867.jpg</t>
  </si>
  <si>
    <t>24-09-24-005904.385-868.jpg</t>
  </si>
  <si>
    <t>24-09-24-005906.486-869.jpg</t>
  </si>
  <si>
    <t>24-09-24-005908.687-870.jpg</t>
  </si>
  <si>
    <t>24-09-24-005910.799-871.jpg</t>
  </si>
  <si>
    <t>24-09-24-005912.985-872.jpg</t>
  </si>
  <si>
    <t>24-09-24-005915.214-873.jpg</t>
  </si>
  <si>
    <t>24-09-24-005917.411-874.jpg</t>
  </si>
  <si>
    <t>24-09-24-005919.518-875.jpg</t>
  </si>
  <si>
    <t>24-09-24-005921.733-876.jpg</t>
  </si>
  <si>
    <t>24-09-24-005923.923-877.jpg</t>
  </si>
  <si>
    <t>24-09-24-005926.123-878.jpg</t>
  </si>
  <si>
    <t>24-09-24-005928.238-879.jpg</t>
  </si>
  <si>
    <t>24-09-24-005930.415-880.jpg</t>
  </si>
  <si>
    <t>24-09-24-005932.604-881.jpg</t>
  </si>
  <si>
    <t>24-09-24-005934.783-882.jpg</t>
  </si>
  <si>
    <t>24-09-24-005936.952-883.jpg</t>
  </si>
  <si>
    <t>24-09-24-005939.018-884.jpg</t>
  </si>
  <si>
    <t>24-09-24-005941.159-885.jpg</t>
  </si>
  <si>
    <t>24-09-24-005943.336-886.jpg</t>
  </si>
  <si>
    <t>24-09-24-005945.495-887.jpg</t>
  </si>
  <si>
    <t>24-09-24-005947.653-888.jpg</t>
  </si>
  <si>
    <t>24-09-24-005949.813-889.jpg</t>
  </si>
  <si>
    <t>24-09-24-005951.997-890.jpg</t>
  </si>
  <si>
    <t>24-09-24-005954.163-891.jpg</t>
  </si>
  <si>
    <t>24-09-24-005956.323-892.jpg</t>
  </si>
  <si>
    <t>24-09-24-005958.475-893.jpg</t>
  </si>
  <si>
    <t>24-09-24-010000.624-894.jpg</t>
  </si>
  <si>
    <t>24-09-24-010002.788-895.jpg</t>
  </si>
  <si>
    <t>24-09-24-010004.941-896.jpg</t>
  </si>
  <si>
    <t>24-09-24-010007.104-897.jpg</t>
  </si>
  <si>
    <t>24-09-24-010009.272-898.jpg</t>
  </si>
  <si>
    <t>24-09-24-010011.443-899.jpg</t>
  </si>
  <si>
    <t>24-09-24-010014.406-900.jpg</t>
  </si>
  <si>
    <t>24-09-24-010016.467-901.jpg</t>
  </si>
  <si>
    <t>24-09-24-010018.596-902.jpg</t>
  </si>
  <si>
    <t>24-09-24-010020.657-903.jpg</t>
  </si>
  <si>
    <t>24-09-24-010022.784-904.jpg</t>
  </si>
  <si>
    <t>24-09-24-010024.943-905.jpg</t>
  </si>
  <si>
    <t>24-09-24-010026.006-906.jpg</t>
  </si>
  <si>
    <t>24-09-24-010029.134-907.jpg</t>
  </si>
  <si>
    <t>24-09-24-010031.292-908.jpg</t>
  </si>
  <si>
    <t>24-09-24-010033.368-909.jpg</t>
  </si>
  <si>
    <t>24-09-24-010035.520-910.jpg</t>
  </si>
  <si>
    <t>24-09-24-010037.704-911.jpg</t>
  </si>
  <si>
    <t>24-09-24-010039.885-912.jpg</t>
  </si>
  <si>
    <t>24-09-24-010042.074-913.jpg</t>
  </si>
  <si>
    <t>24-09-24-010044.253-914.jpg</t>
  </si>
  <si>
    <t>24-09-24-010046.435-915.jpg</t>
  </si>
  <si>
    <t>24-09-24-010048.508-916.jpg</t>
  </si>
  <si>
    <t>24-09-24-010050.663-917.jpg</t>
  </si>
  <si>
    <t>24-09-24-010052.841-918.jpg</t>
  </si>
  <si>
    <t>24-09-24-010055.024-919.jpg</t>
  </si>
  <si>
    <t>24-09-24-010057.206-920.jpg</t>
  </si>
  <si>
    <t>24-09-24-010059.374-921.jpg</t>
  </si>
  <si>
    <t>24-09-24-010101.447-922.jpg</t>
  </si>
  <si>
    <t>24-09-24-010103.599-923.jpg</t>
  </si>
  <si>
    <t>24-09-24-010105.793-924.jpg</t>
  </si>
  <si>
    <t>24-09-24-010108.737-925.jpg</t>
  </si>
  <si>
    <t>24-09-24-010110.817-926.jpg</t>
  </si>
  <si>
    <t>24-09-24-010112.961-927.jpg</t>
  </si>
  <si>
    <t>24-09-24-010115.134-928.jpg</t>
  </si>
  <si>
    <t>24-09-24-010117.334-929.jpg</t>
  </si>
  <si>
    <t>24-09-24-010119.523-930.jpg</t>
  </si>
  <si>
    <t>24-09-24-010121.723-931.jpg</t>
  </si>
  <si>
    <t>24-09-24-010124.809-932.jpg</t>
  </si>
  <si>
    <t>24-09-24-010127.011-933.jpg</t>
  </si>
  <si>
    <t>24-09-24-010129.213-934.jpg</t>
  </si>
  <si>
    <t>24-09-24-010131.413-935.jpg</t>
  </si>
  <si>
    <t>24-09-24-010133.623-936.jpg</t>
  </si>
  <si>
    <t>24-09-24-010135.843-937.jpg</t>
  </si>
  <si>
    <t>24-09-24-010138.756-938.jpg</t>
  </si>
  <si>
    <t>24-09-24-010140.962-939.jpg</t>
  </si>
  <si>
    <t>24-09-24-010143.171-940.jpg</t>
  </si>
  <si>
    <t>24-09-24-010145.374-941.jpg</t>
  </si>
  <si>
    <t>24-09-24-010147.582-942.jpg</t>
  </si>
  <si>
    <t>24-09-24-010149.783-943.jpg</t>
  </si>
  <si>
    <t>24-09-24-010151.982-944.jpg</t>
  </si>
  <si>
    <t>24-09-24-010154.076-945.jpg</t>
  </si>
  <si>
    <t>24-09-24-010156.275-946.jpg</t>
  </si>
  <si>
    <t>24-09-24-010158.462-947.jpg</t>
  </si>
  <si>
    <t>24-09-24-010200.652-948.jpg</t>
  </si>
  <si>
    <t>24-09-24-010202.843-949.jpg</t>
  </si>
  <si>
    <t>24-09-24-010205.033-950.jpg</t>
  </si>
  <si>
    <t>24-09-24-010207.863-951.jpg</t>
  </si>
  <si>
    <t>24-09-24-010210.041-952.jpg</t>
  </si>
  <si>
    <t>24-09-24-010212.222-953.jpg</t>
  </si>
  <si>
    <t>24-09-24-010214.382-954.jpg</t>
  </si>
  <si>
    <t>24-09-24-010216.553-955.jpg</t>
  </si>
  <si>
    <t>24-09-24-010218.721-956.jpg</t>
  </si>
  <si>
    <t>24-09-24-010220.894-957.jpg</t>
  </si>
  <si>
    <t>24-09-24-010223.073-958.jpg</t>
  </si>
  <si>
    <t>24-09-24-010226.139-959.jpg</t>
  </si>
  <si>
    <t>24-09-24-010228.333-960.jpg</t>
  </si>
  <si>
    <t>24-09-24-010230.416-961.jpg</t>
  </si>
  <si>
    <t>24-09-24-010232.583-962.jpg</t>
  </si>
  <si>
    <t>24-09-24-010234.773-963.jpg</t>
  </si>
  <si>
    <t>24-09-24-010236.963-964.jpg</t>
  </si>
  <si>
    <t>24-09-24-010239.162-965.jpg</t>
  </si>
  <si>
    <t>24-09-24-010241.354-966.jpg</t>
  </si>
  <si>
    <t>24-09-24-010243.556-967.jpg</t>
  </si>
  <si>
    <t>24-09-24-010245.657-968.jpg</t>
  </si>
  <si>
    <t>24-09-24-010247.835-969.jpg</t>
  </si>
  <si>
    <t>24-09-24-010250.043-970.jpg</t>
  </si>
  <si>
    <t>24-09-24-010252.243-971.jpg</t>
  </si>
  <si>
    <t>24-09-24-010254.348-972.jpg</t>
  </si>
  <si>
    <t>24-09-24-010257.477-973.jpg</t>
  </si>
  <si>
    <t>24-09-24-010259.588-974.jpg</t>
  </si>
  <si>
    <t>24-09-24-010301.750-975.jpg</t>
  </si>
  <si>
    <t>24-09-24-010303.932-976.jpg</t>
  </si>
  <si>
    <t>24-09-24-010306.100-977.jpg</t>
  </si>
  <si>
    <t>24-09-24-010308.263-978.jpg</t>
  </si>
  <si>
    <t>24-09-24-010310.422-979.jpg</t>
  </si>
  <si>
    <t>24-09-24-010312.592-980.jpg</t>
  </si>
  <si>
    <t>24-09-24-010314.762-981.jpg</t>
  </si>
  <si>
    <t>24-09-24-010316.837-982.jpg</t>
  </si>
  <si>
    <t>24-09-24-010318.975-983.jpg</t>
  </si>
  <si>
    <t>24-09-24-010321.150-984.jpg</t>
  </si>
  <si>
    <t>24-09-24-010323.343-985.jpg</t>
  </si>
  <si>
    <t>24-09-24-010325.512-986.jpg</t>
  </si>
  <si>
    <t>24-09-24-010327.596-987.jpg</t>
  </si>
  <si>
    <t>24-09-24-010329.749-988.jpg</t>
  </si>
  <si>
    <t>24-09-24-010331.923-989.jpg</t>
  </si>
  <si>
    <t>24-09-24-010334.104-990.jpg</t>
  </si>
  <si>
    <t>24-09-24-010336.293-991.jpg</t>
  </si>
  <si>
    <t>24-09-24-010338.472-992.jpg</t>
  </si>
  <si>
    <t>24-09-24-010340.662-993.jpg</t>
  </si>
  <si>
    <t>24-09-24-010342.842-994.jpg</t>
  </si>
  <si>
    <t>24-09-24-010345.013-995.jpg</t>
  </si>
  <si>
    <t>24-09-24-010347.191-996.jpg</t>
  </si>
  <si>
    <t>24-09-24-010350.203-997.jpg</t>
  </si>
  <si>
    <t>24-09-24-010352.296-998.jpg</t>
  </si>
  <si>
    <t>24-09-24-010354.450-999.jpg</t>
  </si>
  <si>
    <t>24-09-24-010356.622-1000.jpg</t>
  </si>
  <si>
    <t>24-09-24-010358.809-1001.jpg</t>
  </si>
  <si>
    <t>24-09-24-010400.992-1002.jpg</t>
  </si>
  <si>
    <t>24-09-24-010403.152-1003.jpg</t>
  </si>
  <si>
    <t>24-09-24-010405.322-1004.jpg</t>
  </si>
  <si>
    <t>24-09-24-010407.506-1005.jpg</t>
  </si>
  <si>
    <t>24-09-24-010409.678-1006.jpg</t>
  </si>
  <si>
    <t>24-09-24-010411.853-1007.jpg</t>
  </si>
  <si>
    <t>24-09-24-010414.042-1008.jpg</t>
  </si>
  <si>
    <t>24-09-24-010416.223-1009.jpg</t>
  </si>
  <si>
    <t>24-09-24-010418.402-1010.jpg</t>
  </si>
  <si>
    <t>24-09-24-010420.485-1011.jpg</t>
  </si>
  <si>
    <t>24-09-24-010422.656-1012.jpg</t>
  </si>
  <si>
    <t>24-09-24-010425.768-1013.jpg</t>
  </si>
  <si>
    <t>24-09-24-010427.942-1014.jpg</t>
  </si>
  <si>
    <t>24-09-24-010430.121-1015.jpg</t>
  </si>
  <si>
    <t>24-09-24-010432.292-1016.jpg</t>
  </si>
  <si>
    <t>24-09-24-010434.460-1017.jpg</t>
  </si>
  <si>
    <t>24-09-24-010436.632-1018.jpg</t>
  </si>
  <si>
    <t>24-09-24-010438.790-1019.jpg</t>
  </si>
  <si>
    <t>24-09-24-010440.937-1020.jpg</t>
  </si>
  <si>
    <t>24-09-24-010443.105-1021.jpg</t>
  </si>
  <si>
    <t>24-09-24-010446.092-1022.jpg</t>
  </si>
  <si>
    <t>24-09-24-010448.166-1023.jpg</t>
  </si>
  <si>
    <t>24-09-24-010450.305-1024.jpg</t>
  </si>
  <si>
    <t>24-09-24-010452.473-1025.jpg</t>
  </si>
  <si>
    <t>24-09-24-010454.632-1026.jpg</t>
  </si>
  <si>
    <t>24-09-24-010456.781-1027.jpg</t>
  </si>
  <si>
    <t>24-09-24-010458.928-1028.jpg</t>
  </si>
  <si>
    <t>24-09-24-010500.976-1029.jpg</t>
  </si>
  <si>
    <t>24-09-24-010503.102-1030.jpg</t>
  </si>
  <si>
    <t>24-09-24-010506.194-1031.jpg</t>
  </si>
  <si>
    <t>24-09-24-010508.276-1032.jpg</t>
  </si>
  <si>
    <t>24-09-24-010510.434-1033.jpg</t>
  </si>
  <si>
    <t>24-09-24-010512.622-1034.jpg</t>
  </si>
  <si>
    <t>24-09-24-010514.706-1035.jpg</t>
  </si>
  <si>
    <t>24-09-24-010516.859-1036.jpg</t>
  </si>
  <si>
    <t>24-09-24-010519.034-1037.jpg</t>
  </si>
  <si>
    <t>24-09-24-010521.203-1038.jpg</t>
  </si>
  <si>
    <t>24-09-24-010523.383-1039.jpg</t>
  </si>
  <si>
    <t>24-09-24-010525.436-1040.jpg</t>
  </si>
  <si>
    <t>24-09-24-010527.564-1041.jpg</t>
  </si>
  <si>
    <t>24-09-24-010529.721-1042.jpg</t>
  </si>
  <si>
    <t>24-09-24-010531.871-1043.jpg</t>
  </si>
  <si>
    <t>24-09-24-010534.022-1044.jpg</t>
  </si>
  <si>
    <t>24-09-24-010536.193-1045.jpg</t>
  </si>
  <si>
    <t>24-09-24-010538.372-1046.jpg</t>
  </si>
  <si>
    <t>24-09-24-010540.456-1047.jpg</t>
  </si>
  <si>
    <t>24-09-24-010543.605-1048.jpg</t>
  </si>
  <si>
    <t>24-09-24-010545.707-1049.jpg</t>
  </si>
  <si>
    <t>24-09-24-010547.887-1050.jpg</t>
  </si>
  <si>
    <t>24-09-24-010550.103-1051.jpg</t>
  </si>
  <si>
    <t>24-09-24-010552.187-1052.jpg</t>
  </si>
  <si>
    <t>24-09-24-010554.341-1053.jpg</t>
  </si>
  <si>
    <t>24-09-24-010556.523-1054.jpg</t>
  </si>
  <si>
    <t>24-09-24-010558.713-1055.jpg</t>
  </si>
  <si>
    <t>24-09-24-010600.880-1056.jpg</t>
  </si>
  <si>
    <t>24-09-24-010603.073-1057.jpg</t>
  </si>
  <si>
    <t>24-09-24-010605.263-1058.jpg</t>
  </si>
  <si>
    <t>24-09-24-010607.452-1059.jpg</t>
  </si>
  <si>
    <t>24-09-24-010609.643-1060.jpg</t>
  </si>
  <si>
    <t>24-09-24-010611.823-1061.jpg</t>
  </si>
  <si>
    <t>24-09-24-010614.012-1062.jpg</t>
  </si>
  <si>
    <t>24-09-24-010616.191-1063.jpg</t>
  </si>
  <si>
    <t>24-09-24-010618.382-1064.jpg</t>
  </si>
  <si>
    <t>24-09-24-010620.561-1065.jpg</t>
  </si>
  <si>
    <t>24-09-24-010622.752-1066.jpg</t>
  </si>
  <si>
    <t>24-09-24-010624.952-1067.jpg</t>
  </si>
  <si>
    <t>24-09-24-010627.153-1068.jpg</t>
  </si>
  <si>
    <t>24-09-24-010629.635-1069.jpg</t>
  </si>
  <si>
    <t>24-09-24-010631.737-1070.jpg</t>
  </si>
  <si>
    <t>24-09-24-010633.913-1071.jpg</t>
  </si>
  <si>
    <t>24-09-24-010636.102-1072.jpg</t>
  </si>
  <si>
    <t>24-09-24-010638.294-1073.jpg</t>
  </si>
  <si>
    <t>24-09-24-010640.496-1074.jpg</t>
  </si>
  <si>
    <t>24-09-24-010642.673-1075.jpg</t>
  </si>
  <si>
    <t>24-09-24-010645.506-1076.jpg</t>
  </si>
  <si>
    <t>24-09-24-010647.701-1077.jpg</t>
  </si>
  <si>
    <t>24-09-24-010649.895-1078.jpg</t>
  </si>
  <si>
    <t>24-09-24-010652.066-1079.jpg</t>
  </si>
  <si>
    <t>24-09-24-010654.261-1080.jpg</t>
  </si>
  <si>
    <t>24-09-24-010656.445-1081.jpg</t>
  </si>
  <si>
    <t>24-09-24-010658.526-1082.jpg</t>
  </si>
  <si>
    <t>24-09-24-010700.681-1083.jpg</t>
  </si>
  <si>
    <t>24-09-24-010703.329-1084.jpg</t>
  </si>
  <si>
    <t>24-09-24-010705.416-1085.jpg</t>
  </si>
  <si>
    <t>24-09-24-010707.582-1086.jpg</t>
  </si>
  <si>
    <t>24-09-24-010709.762-1087.jpg</t>
  </si>
  <si>
    <t>24-09-24-010711.954-1088.jpg</t>
  </si>
  <si>
    <t>24-09-24-010714.136-1089.jpg</t>
  </si>
  <si>
    <t>24-09-24-010716.302-1090.jpg</t>
  </si>
  <si>
    <t>24-09-24-010718.478-1091.jpg</t>
  </si>
  <si>
    <t>24-09-24-010721.576-1092.jpg</t>
  </si>
  <si>
    <t>24-09-24-010723.758-1093.jpg</t>
  </si>
  <si>
    <t>24-09-24-010725.934-1094.jpg</t>
  </si>
  <si>
    <t>24-09-24-010728.143-1095.jpg</t>
  </si>
  <si>
    <t>24-09-24-010730.345-1096.jpg</t>
  </si>
  <si>
    <t>24-09-24-010732.541-1097.jpg</t>
  </si>
  <si>
    <t>NI202409_CAP-EC_D06</t>
  </si>
  <si>
    <t>Picam HQ Lens (commonlands GoPro 2.6mm 120°) (R7 - Rack Main)</t>
  </si>
  <si>
    <t>23-09-24-184351.704-00.jpg</t>
  </si>
  <si>
    <t>23-09-24-184353.898-01.jpg</t>
  </si>
  <si>
    <t>23-09-24-184356.079-02.jpg</t>
  </si>
  <si>
    <t>23-09-24-184358.268-03.jpg</t>
  </si>
  <si>
    <t>23-09-24-184400.450-04.jpg</t>
  </si>
  <si>
    <t>23-09-24-184402.638-05.jpg</t>
  </si>
  <si>
    <t>23-09-24-184404.819-06.jpg</t>
  </si>
  <si>
    <t>23-09-24-184407.007-07.jpg</t>
  </si>
  <si>
    <t>23-09-24-184409.196-08.jpg</t>
  </si>
  <si>
    <t>23-09-24-184411.364-09.jpg</t>
  </si>
  <si>
    <t>23-09-24-184413.550-10.jpg</t>
  </si>
  <si>
    <t>23-09-24-184415.678-11.jpg</t>
  </si>
  <si>
    <t>23-09-24-184417.850-12.jpg</t>
  </si>
  <si>
    <t>23-09-24-184419.001-13.jpg</t>
  </si>
  <si>
    <t>23-09-24-184422.124-14.jpg</t>
  </si>
  <si>
    <t>23-09-24-184424.292-15.jpg</t>
  </si>
  <si>
    <t>23-09-24-184426.462-16.jpg</t>
  </si>
  <si>
    <t>23-09-24-184428.641-17.jpg</t>
  </si>
  <si>
    <t>23-09-24-184430.821-18.jpg</t>
  </si>
  <si>
    <t>23-09-24-184433.970-19.jpg</t>
  </si>
  <si>
    <t>23-09-24-184436.055-20.jpg</t>
  </si>
  <si>
    <t>23-09-24-184438.228-21.jpg</t>
  </si>
  <si>
    <t>23-09-24-184440.402-22.jpg</t>
  </si>
  <si>
    <t>23-09-24-184442.581-23.jpg</t>
  </si>
  <si>
    <t>23-09-24-184444.753-24.jpg</t>
  </si>
  <si>
    <t>23-09-24-184446.931-25.jpg</t>
  </si>
  <si>
    <t>23-09-24-184449.111-26.jpg</t>
  </si>
  <si>
    <t>23-09-24-184451.290-27.jpg</t>
  </si>
  <si>
    <t>23-09-24-184453.462-28.jpg</t>
  </si>
  <si>
    <t>23-09-24-184455.640-29.jpg</t>
  </si>
  <si>
    <t>23-09-24-184457.735-30.jpg</t>
  </si>
  <si>
    <t>23-09-24-184459.896-31.jpg</t>
  </si>
  <si>
    <t>23-09-24-184502.071-32.jpg</t>
  </si>
  <si>
    <t>23-09-24-184504.240-33.jpg</t>
  </si>
  <si>
    <t>23-09-24-184506.412-34.jpg</t>
  </si>
  <si>
    <t>23-09-24-184508.583-35.jpg</t>
  </si>
  <si>
    <t>23-09-24-184510.752-36.jpg</t>
  </si>
  <si>
    <t>23-09-24-184512.823-37.jpg</t>
  </si>
  <si>
    <t>23-09-24-184514.964-38.jpg</t>
  </si>
  <si>
    <t>23-09-24-184517.045-39.jpg</t>
  </si>
  <si>
    <t>23-09-24-184519.209-40.jpg</t>
  </si>
  <si>
    <t>23-09-24-184521.391-41.jpg</t>
  </si>
  <si>
    <t>23-09-24-184523.561-42.jpg</t>
  </si>
  <si>
    <t>23-09-24-184525.731-43.jpg</t>
  </si>
  <si>
    <t>23-09-24-184527.901-44.jpg</t>
  </si>
  <si>
    <t>23-09-24-184530.070-45.jpg</t>
  </si>
  <si>
    <t>23-09-24-184532.144-46.jpg</t>
  </si>
  <si>
    <t>23-09-24-184534.285-47.jpg</t>
  </si>
  <si>
    <t>23-09-24-184536.344-48.jpg</t>
  </si>
  <si>
    <t>23-09-24-184538.502-49.jpg</t>
  </si>
  <si>
    <t>23-09-24-184540.684-50.jpg</t>
  </si>
  <si>
    <t>23-09-24-184542.763-51.jpg</t>
  </si>
  <si>
    <t>23-09-24-184544.919-52.jpg</t>
  </si>
  <si>
    <t>23-09-24-184547.080-53.jpg</t>
  </si>
  <si>
    <t>23-09-24-184549.250-54.jpg</t>
  </si>
  <si>
    <t>23-09-24-184551.420-55.jpg</t>
  </si>
  <si>
    <t>23-09-24-184553.589-56.jpg</t>
  </si>
  <si>
    <t>23-09-24-184555.750-57.jpg</t>
  </si>
  <si>
    <t>23-09-24-184557.909-58.jpg</t>
  </si>
  <si>
    <t>23-09-24-184600.520-59.jpg</t>
  </si>
  <si>
    <t>23-09-24-184602.670-60.jpg</t>
  </si>
  <si>
    <t>23-09-24-184604.830-61.jpg</t>
  </si>
  <si>
    <t>23-09-24-184606.885-62.jpg</t>
  </si>
  <si>
    <t>23-09-24-184609.012-63.jpg</t>
  </si>
  <si>
    <t>23-09-24-184611.170-64.jpg</t>
  </si>
  <si>
    <t>23-09-24-184613.330-65.jpg</t>
  </si>
  <si>
    <t>23-09-24-184615.489-66.jpg</t>
  </si>
  <si>
    <t>23-09-24-184617.650-67.jpg</t>
  </si>
  <si>
    <t>23-09-24-184619.812-68.jpg</t>
  </si>
  <si>
    <t>23-09-24-184621.979-69.jpg</t>
  </si>
  <si>
    <t>23-09-24-184624.151-70.jpg</t>
  </si>
  <si>
    <t>23-09-24-184626.214-71.jpg</t>
  </si>
  <si>
    <t>23-09-24-184628.355-72.jpg</t>
  </si>
  <si>
    <t>23-09-24-184630.522-73.jpg</t>
  </si>
  <si>
    <t>23-09-24-184632.709-74.jpg</t>
  </si>
  <si>
    <t>23-09-24-184634.774-75.jpg</t>
  </si>
  <si>
    <t>23-09-24-184636.927-76.jpg</t>
  </si>
  <si>
    <t>23-09-24-184639.102-77.jpg</t>
  </si>
  <si>
    <t>23-09-24-184641.279-78.jpg</t>
  </si>
  <si>
    <t>23-09-24-184643.452-79.jpg</t>
  </si>
  <si>
    <t>23-09-24-184646.500-80.jpg</t>
  </si>
  <si>
    <t>23-09-24-184648.584-81.jpg</t>
  </si>
  <si>
    <t>23-09-24-184650.749-82.jpg</t>
  </si>
  <si>
    <t>23-09-24-184652.923-83.jpg</t>
  </si>
  <si>
    <t>23-09-24-184655.119-84.jpg</t>
  </si>
  <si>
    <t>23-09-24-184657.309-85.jpg</t>
  </si>
  <si>
    <t>23-09-24-184659.492-86.jpg</t>
  </si>
  <si>
    <t>23-09-24-184701.585-87.jpg</t>
  </si>
  <si>
    <t>23-09-24-184703.740-88.jpg</t>
  </si>
  <si>
    <t>23-09-24-184706.862-89.jpg</t>
  </si>
  <si>
    <t>23-09-24-184709.041-90.jpg</t>
  </si>
  <si>
    <t>23-09-24-184711.221-91.jpg</t>
  </si>
  <si>
    <t>23-09-24-184713.304-92.jpg</t>
  </si>
  <si>
    <t>23-09-24-184715.469-93.jpg</t>
  </si>
  <si>
    <t>23-09-24-184717.651-94.jpg</t>
  </si>
  <si>
    <t>23-09-24-184719.840-95.jpg</t>
  </si>
  <si>
    <t>23-09-24-184722.019-96.jpg</t>
  </si>
  <si>
    <t>23-09-24-184724.202-97.jpg</t>
  </si>
  <si>
    <t>23-09-24-184727.416-98.jpg</t>
  </si>
  <si>
    <t>23-09-24-184729.505-99.jpg</t>
  </si>
  <si>
    <t>23-09-24-184731.669-100.jpg</t>
  </si>
  <si>
    <t>23-09-24-184733.852-101.jpg</t>
  </si>
  <si>
    <t>23-09-24-184735.944-102.jpg</t>
  </si>
  <si>
    <t>23-09-24-184738.113-103.jpg</t>
  </si>
  <si>
    <t>23-09-24-184740.293-104.jpg</t>
  </si>
  <si>
    <t>23-09-24-184742.489-105.jpg</t>
  </si>
  <si>
    <t>23-09-24-184744.670-106.jpg</t>
  </si>
  <si>
    <t>23-09-24-184747.491-107.jpg</t>
  </si>
  <si>
    <t>23-09-24-184749.565-108.jpg</t>
  </si>
  <si>
    <t>23-09-24-184751.703-109.jpg</t>
  </si>
  <si>
    <t>23-09-24-184753.868-110.jpg</t>
  </si>
  <si>
    <t>23-09-24-184756.038-111.jpg</t>
  </si>
  <si>
    <t>23-09-24-184758.111-112.jpg</t>
  </si>
  <si>
    <t>23-09-24-184800.264-113.jpg</t>
  </si>
  <si>
    <t>23-09-24-184802.437-114.jpg</t>
  </si>
  <si>
    <t>23-09-24-184804.617-115.jpg</t>
  </si>
  <si>
    <t>23-09-24-184806.788-116.jpg</t>
  </si>
  <si>
    <t>23-09-24-184809.828-117.jpg</t>
  </si>
  <si>
    <t>23-09-24-184811.900-118.jpg</t>
  </si>
  <si>
    <t>23-09-24-184814.055-119.jpg</t>
  </si>
  <si>
    <t>23-09-24-184816.228-120.jpg</t>
  </si>
  <si>
    <t>23-09-24-184818.406-121.jpg</t>
  </si>
  <si>
    <t>23-09-24-184820.588-122.jpg</t>
  </si>
  <si>
    <t>23-09-24-184822.766-123.jpg</t>
  </si>
  <si>
    <t>23-09-24-184824.928-124.jpg</t>
  </si>
  <si>
    <t>23-09-24-184827.087-125.jpg</t>
  </si>
  <si>
    <t>23-09-24-184829.247-126.jpg</t>
  </si>
  <si>
    <t>23-09-24-184831.426-127.jpg</t>
  </si>
  <si>
    <t>23-09-24-184833.588-128.jpg</t>
  </si>
  <si>
    <t>23-09-24-184835.746-129.jpg</t>
  </si>
  <si>
    <t>23-09-24-184837.915-130.jpg</t>
  </si>
  <si>
    <t>23-09-24-184840.078-131.jpg</t>
  </si>
  <si>
    <t>23-09-24-184842.236-132.jpg</t>
  </si>
  <si>
    <t>23-09-24-184844.399-133.jpg</t>
  </si>
  <si>
    <t>23-09-24-184846.568-134.jpg</t>
  </si>
  <si>
    <t>23-09-24-184848.726-135.jpg</t>
  </si>
  <si>
    <t>23-09-24-184850.887-136.jpg</t>
  </si>
  <si>
    <t>23-09-24-184853.047-137.jpg</t>
  </si>
  <si>
    <t>23-09-24-184855.217-138.jpg</t>
  </si>
  <si>
    <t>23-09-24-184857.377-139.jpg</t>
  </si>
  <si>
    <t>23-09-24-184859.536-140.jpg</t>
  </si>
  <si>
    <t>23-09-24-184901.696-141.jpg</t>
  </si>
  <si>
    <t>23-09-24-184903.760-142.jpg</t>
  </si>
  <si>
    <t>23-09-24-184905.888-143.jpg</t>
  </si>
  <si>
    <t>23-09-24-184908.047-144.jpg</t>
  </si>
  <si>
    <t>23-09-24-184910.207-145.jpg</t>
  </si>
  <si>
    <t>23-09-24-184912.367-146.jpg</t>
  </si>
  <si>
    <t>23-09-24-184914.537-147.jpg</t>
  </si>
  <si>
    <t>23-09-24-184917.560-148.jpg</t>
  </si>
  <si>
    <t>23-09-24-184919.726-149.jpg</t>
  </si>
  <si>
    <t>23-09-24-184921.898-150.jpg</t>
  </si>
  <si>
    <t>23-09-24-184924.058-151.jpg</t>
  </si>
  <si>
    <t>23-09-24-184926.131-152.jpg</t>
  </si>
  <si>
    <t>23-09-24-184928.283-153.jpg</t>
  </si>
  <si>
    <t>23-09-24-184930.456-154.jpg</t>
  </si>
  <si>
    <t>23-09-24-184932.637-155.jpg</t>
  </si>
  <si>
    <t>23-09-24-184934.816-156.jpg</t>
  </si>
  <si>
    <t>23-09-24-184937.881-157.jpg</t>
  </si>
  <si>
    <t>23-09-24-184939.970-158.jpg</t>
  </si>
  <si>
    <t>23-09-24-184942.125-159.jpg</t>
  </si>
  <si>
    <t>23-09-24-184944.305-160.jpg</t>
  </si>
  <si>
    <t>23-09-24-184946.380-161.jpg</t>
  </si>
  <si>
    <t>23-09-24-184948.534-162.jpg</t>
  </si>
  <si>
    <t>23-09-24-184950.621-163.jpg</t>
  </si>
  <si>
    <t>23-09-24-184952.777-164.jpg</t>
  </si>
  <si>
    <t>23-09-24-184954.843-165.jpg</t>
  </si>
  <si>
    <t>23-09-24-184956.984-166.jpg</t>
  </si>
  <si>
    <t>23-09-24-184959.150-167.jpg</t>
  </si>
  <si>
    <t>23-09-24-185001.323-168.jpg</t>
  </si>
  <si>
    <t>23-09-24-185003.498-169.jpg</t>
  </si>
  <si>
    <t>23-09-24-185005.582-170.jpg</t>
  </si>
  <si>
    <t>23-09-24-185007.720-171.jpg</t>
  </si>
  <si>
    <t>23-09-24-185009.898-172.jpg</t>
  </si>
  <si>
    <t>23-09-24-185012.068-173.jpg</t>
  </si>
  <si>
    <t>23-09-24-185014.142-174.jpg</t>
  </si>
  <si>
    <t>23-09-24-185016.283-175.jpg</t>
  </si>
  <si>
    <t>23-09-24-185019.119-176.jpg</t>
  </si>
  <si>
    <t>23-09-24-185021.289-177.jpg</t>
  </si>
  <si>
    <t>23-09-24-185023.458-178.jpg</t>
  </si>
  <si>
    <t>23-09-24-185025.618-179.jpg</t>
  </si>
  <si>
    <t>23-09-24-185027.779-180.jpg</t>
  </si>
  <si>
    <t>23-09-24-185029.950-181.jpg</t>
  </si>
  <si>
    <t>23-09-24-185032.023-182.jpg</t>
  </si>
  <si>
    <t>23-09-24-185034.175-183.jpg</t>
  </si>
  <si>
    <t>23-09-24-185036.347-184.jpg</t>
  </si>
  <si>
    <t>23-09-24-185038.520-185.jpg</t>
  </si>
  <si>
    <t>23-09-24-185040.708-186.jpg</t>
  </si>
  <si>
    <t>23-09-24-185042.877-187.jpg</t>
  </si>
  <si>
    <t>23-09-24-185045.049-188.jpg</t>
  </si>
  <si>
    <t>23-09-24-185047.220-189.jpg</t>
  </si>
  <si>
    <t>23-09-24-185049.397-190.jpg</t>
  </si>
  <si>
    <t>23-09-24-185051.577-191.jpg</t>
  </si>
  <si>
    <t>23-09-24-185053.651-192.jpg</t>
  </si>
  <si>
    <t>23-09-24-185055.804-193.jpg</t>
  </si>
  <si>
    <t>23-09-24-185057.992-194.jpg</t>
  </si>
  <si>
    <t>23-09-24-185100.178-195.jpg</t>
  </si>
  <si>
    <t>23-09-24-185102.347-196.jpg</t>
  </si>
  <si>
    <t>23-09-24-185104.527-197.jpg</t>
  </si>
  <si>
    <t>23-09-24-185106.706-198.jpg</t>
  </si>
  <si>
    <t>23-09-24-185108.887-199.jpg</t>
  </si>
  <si>
    <t>23-09-24-185111.077-200.jpg</t>
  </si>
  <si>
    <t>23-09-24-185113.260-201.jpg</t>
  </si>
  <si>
    <t>23-09-24-185116.202-202.jpg</t>
  </si>
  <si>
    <t>23-09-24-185118.396-203.jpg</t>
  </si>
  <si>
    <t>23-09-24-185120.599-204.jpg</t>
  </si>
  <si>
    <t>23-09-24-185122.799-205.jpg</t>
  </si>
  <si>
    <t>23-09-24-185124.883-206.jpg</t>
  </si>
  <si>
    <t>23-09-24-185127.049-207.jpg</t>
  </si>
  <si>
    <t>23-09-24-185129.240-208.jpg</t>
  </si>
  <si>
    <t>23-09-24-185131.417-209.jpg</t>
  </si>
  <si>
    <t>23-09-24-185134.524-210.jpg</t>
  </si>
  <si>
    <t>23-09-24-185136.612-211.jpg</t>
  </si>
  <si>
    <t>23-09-24-185138.753-212.jpg</t>
  </si>
  <si>
    <t>23-09-24-185140.940-213.jpg</t>
  </si>
  <si>
    <t>23-09-24-185143.107-214.jpg</t>
  </si>
  <si>
    <t>23-09-24-185145.268-215.jpg</t>
  </si>
  <si>
    <t>23-09-24-185147.430-216.jpg</t>
  </si>
  <si>
    <t>23-09-24-185149.578-217.jpg</t>
  </si>
  <si>
    <t>23-09-24-185151.747-218.jpg</t>
  </si>
  <si>
    <t>23-09-24-185153.812-219.jpg</t>
  </si>
  <si>
    <t>23-09-24-185155.941-220.jpg</t>
  </si>
  <si>
    <t>23-09-24-185158.097-221.jpg</t>
  </si>
  <si>
    <t>23-09-24-185200.265-222.jpg</t>
  </si>
  <si>
    <t>23-09-24-185202.437-223.jpg</t>
  </si>
  <si>
    <t>23-09-24-185204.608-224.jpg</t>
  </si>
  <si>
    <t>23-09-24-185206.768-225.jpg</t>
  </si>
  <si>
    <t>23-09-24-185208.937-226.jpg</t>
  </si>
  <si>
    <t>23-09-24-185211.107-227.jpg</t>
  </si>
  <si>
    <t>23-09-24-185213.276-228.jpg</t>
  </si>
  <si>
    <t>23-09-24-185216.373-229.jpg</t>
  </si>
  <si>
    <t>23-09-24-185218.451-230.jpg</t>
  </si>
  <si>
    <t>23-09-24-185220.593-231.jpg</t>
  </si>
  <si>
    <t>23-09-24-185222.768-232.jpg</t>
  </si>
  <si>
    <t>23-09-24-185224.947-233.jpg</t>
  </si>
  <si>
    <t>23-09-24-185227.109-234.jpg</t>
  </si>
  <si>
    <t>23-09-24-185229.267-235.jpg</t>
  </si>
  <si>
    <t>23-09-24-185231.438-236.jpg</t>
  </si>
  <si>
    <t>23-09-24-185233.607-237.jpg</t>
  </si>
  <si>
    <t>23-09-24-185236.547-238.jpg</t>
  </si>
  <si>
    <t>23-09-24-185238.717-239.jpg</t>
  </si>
  <si>
    <t>23-09-24-185240.885-240.jpg</t>
  </si>
  <si>
    <t>23-09-24-185243.065-241.jpg</t>
  </si>
  <si>
    <t>23-09-24-185245.141-242.jpg</t>
  </si>
  <si>
    <t>23-09-24-185247.281-243.jpg</t>
  </si>
  <si>
    <t>23-09-24-185249.456-244.jpg</t>
  </si>
  <si>
    <t>23-09-24-185251.626-245.jpg</t>
  </si>
  <si>
    <t>23-09-24-185253.815-246.jpg</t>
  </si>
  <si>
    <t>23-09-24-185256.006-247.jpg</t>
  </si>
  <si>
    <t>23-09-24-185258.179-248.jpg</t>
  </si>
  <si>
    <t>23-09-24-185300.376-249.jpg</t>
  </si>
  <si>
    <t>23-09-24-185302.558-250.jpg</t>
  </si>
  <si>
    <t>23-09-24-185304.740-251.jpg</t>
  </si>
  <si>
    <t>23-09-24-185306.821-252.jpg</t>
  </si>
  <si>
    <t>23-09-24-185308.962-253.jpg</t>
  </si>
  <si>
    <t>23-09-24-185311.137-254.jpg</t>
  </si>
  <si>
    <t>23-09-24-185313.319-255.jpg</t>
  </si>
  <si>
    <t>23-09-24-185315.500-256.jpg</t>
  </si>
  <si>
    <t>23-09-24-185317.687-257.jpg</t>
  </si>
  <si>
    <t>23-09-24-185319.857-258.jpg</t>
  </si>
  <si>
    <t>23-09-24-185322.057-259.jpg</t>
  </si>
  <si>
    <t>23-09-24-185324.245-260.jpg</t>
  </si>
  <si>
    <t>23-09-24-185326.437-261.jpg</t>
  </si>
  <si>
    <t>23-09-24-185328.530-262.jpg</t>
  </si>
  <si>
    <t>23-09-24-185330.701-263.jpg</t>
  </si>
  <si>
    <t>23-09-24-185332.897-264.jpg</t>
  </si>
  <si>
    <t>23-09-24-185334.990-265.jpg</t>
  </si>
  <si>
    <t>23-09-24-185337.148-266.jpg</t>
  </si>
  <si>
    <t>23-09-24-185339.316-267.jpg</t>
  </si>
  <si>
    <t>23-09-24-185341.486-268.jpg</t>
  </si>
  <si>
    <t>23-09-24-185343.646-269.jpg</t>
  </si>
  <si>
    <t>23-09-24-185345.806-270.jpg</t>
  </si>
  <si>
    <t>23-09-24-185347.955-271.jpg</t>
  </si>
  <si>
    <t>23-09-24-185349.000-272.jpg</t>
  </si>
  <si>
    <t>23-09-24-185352.115-273.jpg</t>
  </si>
  <si>
    <t>23-09-24-185354.268-274.jpg</t>
  </si>
  <si>
    <t>23-09-24-185356.330-275.jpg</t>
  </si>
  <si>
    <t>23-09-24-185358.458-276.jpg</t>
  </si>
  <si>
    <t>23-09-24-185400.617-277.jpg</t>
  </si>
  <si>
    <t>23-09-24-185402.767-278.jpg</t>
  </si>
  <si>
    <t>23-09-24-185404.931-279.jpg</t>
  </si>
  <si>
    <t>23-09-24-185407.097-280.jpg</t>
  </si>
  <si>
    <t>23-09-24-185409.261-281.jpg</t>
  </si>
  <si>
    <t>23-09-24-185411.427-282.jpg</t>
  </si>
  <si>
    <t>23-09-24-185413.596-283.jpg</t>
  </si>
  <si>
    <t>23-09-24-185415.756-284.jpg</t>
  </si>
  <si>
    <t>23-09-24-185417.928-285.jpg</t>
  </si>
  <si>
    <t>23-09-24-185420.109-286.jpg</t>
  </si>
  <si>
    <t>23-09-24-185422.277-287.jpg</t>
  </si>
  <si>
    <t>23-09-24-185424.437-288.jpg</t>
  </si>
  <si>
    <t>23-09-24-185426.597-289.jpg</t>
  </si>
  <si>
    <t>23-09-24-185428.777-290.jpg</t>
  </si>
  <si>
    <t>23-09-24-185430.947-291.jpg</t>
  </si>
  <si>
    <t>23-09-24-185433.106-292.jpg</t>
  </si>
  <si>
    <t>23-09-24-185435.266-293.jpg</t>
  </si>
  <si>
    <t>23-09-24-185437.449-294.jpg</t>
  </si>
  <si>
    <t>23-09-24-185439.634-295.jpg</t>
  </si>
  <si>
    <t>23-09-24-185441.827-296.jpg</t>
  </si>
  <si>
    <t>23-09-24-185444.006-297.jpg</t>
  </si>
  <si>
    <t>23-09-24-185446.187-298.jpg</t>
  </si>
  <si>
    <t>23-09-24-185448.365-299.jpg</t>
  </si>
  <si>
    <t>23-09-24-185450.547-300.jpg</t>
  </si>
  <si>
    <t>23-09-24-185452.726-301.jpg</t>
  </si>
  <si>
    <t>23-09-24-185454.910-302.jpg</t>
  </si>
  <si>
    <t>23-09-24-185457.077-303.jpg</t>
  </si>
  <si>
    <t>23-09-24-185459.150-304.jpg</t>
  </si>
  <si>
    <t>23-09-24-185501.303-305.jpg</t>
  </si>
  <si>
    <t>23-09-24-185503.486-306.jpg</t>
  </si>
  <si>
    <t>23-09-24-185505.657-307.jpg</t>
  </si>
  <si>
    <t>23-09-24-185507.815-308.jpg</t>
  </si>
  <si>
    <t>23-09-24-185509.975-309.jpg</t>
  </si>
  <si>
    <t>23-09-24-185512.145-310.jpg</t>
  </si>
  <si>
    <t>23-09-24-185514.327-311.jpg</t>
  </si>
  <si>
    <t>23-09-24-185516.499-312.jpg</t>
  </si>
  <si>
    <t>23-09-24-185518.689-313.jpg</t>
  </si>
  <si>
    <t>23-09-24-185520.866-314.jpg</t>
  </si>
  <si>
    <t>23-09-24-185523.035-315.jpg</t>
  </si>
  <si>
    <t>23-09-24-185525.217-316.jpg</t>
  </si>
  <si>
    <t>23-09-24-185527.396-317.jpg</t>
  </si>
  <si>
    <t>23-09-24-185529.576-318.jpg</t>
  </si>
  <si>
    <t>23-09-24-185531.660-319.jpg</t>
  </si>
  <si>
    <t>23-09-24-185533.827-320.jpg</t>
  </si>
  <si>
    <t>23-09-24-185536.046-321.jpg</t>
  </si>
  <si>
    <t>23-09-24-185538.130-322.jpg</t>
  </si>
  <si>
    <t>23-09-24-185540.295-323.jpg</t>
  </si>
  <si>
    <t>23-09-24-185542.478-324.jpg</t>
  </si>
  <si>
    <t>23-09-24-185544.647-325.jpg</t>
  </si>
  <si>
    <t>23-09-24-185546.817-326.jpg</t>
  </si>
  <si>
    <t>23-09-24-185548.996-327.jpg</t>
  </si>
  <si>
    <t>23-09-24-185551.166-328.jpg</t>
  </si>
  <si>
    <t>23-09-24-185554.010-329.jpg</t>
  </si>
  <si>
    <t>23-09-24-185556.079-330.jpg</t>
  </si>
  <si>
    <t>23-09-24-185558.218-331.jpg</t>
  </si>
  <si>
    <t>23-09-24-185600.387-332.jpg</t>
  </si>
  <si>
    <t>23-09-24-185602.546-333.jpg</t>
  </si>
  <si>
    <t>23-09-24-185604.707-334.jpg</t>
  </si>
  <si>
    <t>23-09-24-185606.866-335.jpg</t>
  </si>
  <si>
    <t>23-09-24-185609.025-336.jpg</t>
  </si>
  <si>
    <t>23-09-24-185611.196-337.jpg</t>
  </si>
  <si>
    <t>23-09-24-185613.355-338.jpg</t>
  </si>
  <si>
    <t>23-09-24-185616.515-339.jpg</t>
  </si>
  <si>
    <t>23-09-24-185618.686-340.jpg</t>
  </si>
  <si>
    <t>23-09-24-185620.854-341.jpg</t>
  </si>
  <si>
    <t>23-09-24-185622.939-342.jpg</t>
  </si>
  <si>
    <t>23-09-24-185625.097-343.jpg</t>
  </si>
  <si>
    <t>23-09-24-185627.273-344.jpg</t>
  </si>
  <si>
    <t>23-09-24-185629.455-345.jpg</t>
  </si>
  <si>
    <t>23-09-24-185631.636-346.jpg</t>
  </si>
  <si>
    <t>23-09-24-185633.824-347.jpg</t>
  </si>
  <si>
    <t>23-09-24-185636.015-348.jpg</t>
  </si>
  <si>
    <t>23-09-24-185639.042-349.jpg</t>
  </si>
  <si>
    <t>23-09-24-185641.255-350.jpg</t>
  </si>
  <si>
    <t>23-09-24-185643.454-351.jpg</t>
  </si>
  <si>
    <t>23-09-24-185645.570-352.jpg</t>
  </si>
  <si>
    <t>23-09-24-185647.769-353.jpg</t>
  </si>
  <si>
    <t>23-09-24-185649.868-354.jpg</t>
  </si>
  <si>
    <t>23-09-24-185652.992-355.jpg</t>
  </si>
  <si>
    <t>23-09-24-185655.110-356.jpg</t>
  </si>
  <si>
    <t>23-09-24-185657.308-357.jpg</t>
  </si>
  <si>
    <t>23-09-24-185659.408-358.jpg</t>
  </si>
  <si>
    <t>23-09-24-185701.586-359.jpg</t>
  </si>
  <si>
    <t>23-09-24-185703.772-360.jpg</t>
  </si>
  <si>
    <t>23-09-24-185705.965-361.jpg</t>
  </si>
  <si>
    <t>23-09-24-185708.060-362.jpg</t>
  </si>
  <si>
    <t>23-09-24-185710.230-363.jpg</t>
  </si>
  <si>
    <t>23-09-24-185712.408-364.jpg</t>
  </si>
  <si>
    <t>23-09-24-185714.490-365.jpg</t>
  </si>
  <si>
    <t>23-09-24-185716.643-366.jpg</t>
  </si>
  <si>
    <t>23-09-24-185718.740-367.jpg</t>
  </si>
  <si>
    <t>23-09-24-185720.905-368.jpg</t>
  </si>
  <si>
    <t>23-09-24-185723.096-369.jpg</t>
  </si>
  <si>
    <t>23-09-24-185725.285-370.jpg</t>
  </si>
  <si>
    <t>23-09-24-185728.419-371.jpg</t>
  </si>
  <si>
    <t>23-09-24-185730.499-372.jpg</t>
  </si>
  <si>
    <t>23-09-24-185732.652-373.jpg</t>
  </si>
  <si>
    <t>23-09-24-185734.826-374.jpg</t>
  </si>
  <si>
    <t>23-09-24-185737.008-375.jpg</t>
  </si>
  <si>
    <t>23-09-24-185739.177-376.jpg</t>
  </si>
  <si>
    <t>23-09-24-185741.338-377.jpg</t>
  </si>
  <si>
    <t>23-09-24-185743.516-378.jpg</t>
  </si>
  <si>
    <t>23-09-24-185745.707-379.jpg</t>
  </si>
  <si>
    <t>23-09-24-185747.791-380.jpg</t>
  </si>
  <si>
    <t>23-09-24-185749.962-381.jpg</t>
  </si>
  <si>
    <t>23-09-24-185752.040-382.jpg</t>
  </si>
  <si>
    <t>23-09-24-185754.204-383.jpg</t>
  </si>
  <si>
    <t>23-09-24-185756.395-384.jpg</t>
  </si>
  <si>
    <t>23-09-24-185758.587-385.jpg</t>
  </si>
  <si>
    <t>23-09-24-185800.768-386.jpg</t>
  </si>
  <si>
    <t>23-09-24-185802.849-387.jpg</t>
  </si>
  <si>
    <t>23-09-24-185805.030-388.jpg</t>
  </si>
  <si>
    <t>23-09-24-185807.226-389.jpg</t>
  </si>
  <si>
    <t>23-09-24-185809.425-390.jpg</t>
  </si>
  <si>
    <t>23-09-24-185811.597-391.jpg</t>
  </si>
  <si>
    <t>23-09-24-185813.775-392.jpg</t>
  </si>
  <si>
    <t>23-09-24-185815.957-393.jpg</t>
  </si>
  <si>
    <t>23-09-24-185818.137-394.jpg</t>
  </si>
  <si>
    <t>23-09-24-185820.315-395.jpg</t>
  </si>
  <si>
    <t>23-09-24-185822.500-396.jpg</t>
  </si>
  <si>
    <t>23-09-24-185824.676-397.jpg</t>
  </si>
  <si>
    <t>23-09-24-185826.847-398.jpg</t>
  </si>
  <si>
    <t>23-09-24-185828.921-399.jpg</t>
  </si>
  <si>
    <t>23-09-24-185831.065-400.jpg</t>
  </si>
  <si>
    <t>23-09-24-185833.226-401.jpg</t>
  </si>
  <si>
    <t>23-09-24-185835.281-402.jpg</t>
  </si>
  <si>
    <t>23-09-24-185837.435-403.jpg</t>
  </si>
  <si>
    <t>23-09-24-185839.512-404.jpg</t>
  </si>
  <si>
    <t>23-09-24-185841.642-405.jpg</t>
  </si>
  <si>
    <t>23-09-24-185843.806-406.jpg</t>
  </si>
  <si>
    <t>23-09-24-185845.951-407.jpg</t>
  </si>
  <si>
    <t>23-09-24-185847.000-408.jpg</t>
  </si>
  <si>
    <t>23-09-24-185850.115-409.jpg</t>
  </si>
  <si>
    <t>23-09-24-185852.255-410.jpg</t>
  </si>
  <si>
    <t>23-09-24-185854.404-411.jpg</t>
  </si>
  <si>
    <t>23-09-24-185856.541-412.jpg</t>
  </si>
  <si>
    <t>23-09-24-185858.672-413.jpg</t>
  </si>
  <si>
    <t>23-09-24-185900.812-414.jpg</t>
  </si>
  <si>
    <t>23-09-24-185902.964-415.jpg</t>
  </si>
  <si>
    <t>23-09-24-185905.113-416.jpg</t>
  </si>
  <si>
    <t>23-09-24-185907.254-417.jpg</t>
  </si>
  <si>
    <t>23-09-24-185909.428-418.jpg</t>
  </si>
  <si>
    <t>23-09-24-185911.605-419.jpg</t>
  </si>
  <si>
    <t>23-09-24-185913.785-420.jpg</t>
  </si>
  <si>
    <t>23-09-24-185915.966-421.jpg</t>
  </si>
  <si>
    <t>23-09-24-185918.146-422.jpg</t>
  </si>
  <si>
    <t>23-09-24-185920.324-423.jpg</t>
  </si>
  <si>
    <t>23-09-24-185922.507-424.jpg</t>
  </si>
  <si>
    <t>23-09-24-185924.699-425.jpg</t>
  </si>
  <si>
    <t>23-09-24-185926.901-426.jpg</t>
  </si>
  <si>
    <t>23-09-24-185928.001-427.jpg</t>
  </si>
  <si>
    <t>23-09-24-185931.184-428.jpg</t>
  </si>
  <si>
    <t>23-09-24-185933.280-429.jpg</t>
  </si>
  <si>
    <t>23-09-24-185935.454-430.jpg</t>
  </si>
  <si>
    <t>23-09-24-185937.648-431.jpg</t>
  </si>
  <si>
    <t>23-09-24-185939.741-432.jpg</t>
  </si>
  <si>
    <t>23-09-24-185941.908-433.jpg</t>
  </si>
  <si>
    <t>23-09-24-185945.017-434.jpg</t>
  </si>
  <si>
    <t>23-09-24-185947.100-435.jpg</t>
  </si>
  <si>
    <t>23-09-24-185949.246-436.jpg</t>
  </si>
  <si>
    <t>23-09-24-185951.431-437.jpg</t>
  </si>
  <si>
    <t>23-09-24-185953.606-438.jpg</t>
  </si>
  <si>
    <t>23-09-24-185955.777-439.jpg</t>
  </si>
  <si>
    <t>23-09-24-185957.946-440.jpg</t>
  </si>
  <si>
    <t>23-09-24-190000.119-441.jpg</t>
  </si>
  <si>
    <t>23-09-24-190002.286-442.jpg</t>
  </si>
  <si>
    <t>23-09-24-190004.467-443.jpg</t>
  </si>
  <si>
    <t>23-09-24-190006.638-444.jpg</t>
  </si>
  <si>
    <t>23-09-24-190008.808-445.jpg</t>
  </si>
  <si>
    <t>23-09-24-190010.977-446.jpg</t>
  </si>
  <si>
    <t>23-09-24-190013.050-447.jpg</t>
  </si>
  <si>
    <t>23-09-24-190015.203-448.jpg</t>
  </si>
  <si>
    <t>23-09-24-190017.387-449.jpg</t>
  </si>
  <si>
    <t>23-09-24-190019.576-450.jpg</t>
  </si>
  <si>
    <t>23-09-24-190021.660-451.jpg</t>
  </si>
  <si>
    <t>23-09-24-190023.813-452.jpg</t>
  </si>
  <si>
    <t>23-09-24-190025.893-453.jpg</t>
  </si>
  <si>
    <t>23-09-24-190028.056-454.jpg</t>
  </si>
  <si>
    <t>23-09-24-190030.238-455.jpg</t>
  </si>
  <si>
    <t>23-09-24-190032.426-456.jpg</t>
  </si>
  <si>
    <t>23-09-24-190034.617-457.jpg</t>
  </si>
  <si>
    <t>23-09-24-190036.786-458.jpg</t>
  </si>
  <si>
    <t>23-09-24-190038.869-459.jpg</t>
  </si>
  <si>
    <t>23-09-24-190041.944-460.jpg</t>
  </si>
  <si>
    <t>23-09-24-190044.041-461.jpg</t>
  </si>
  <si>
    <t>23-09-24-190046.207-462.jpg</t>
  </si>
  <si>
    <t>23-09-24-190048.291-463.jpg</t>
  </si>
  <si>
    <t>23-09-24-190050.456-464.jpg</t>
  </si>
  <si>
    <t>23-09-24-190052.647-465.jpg</t>
  </si>
  <si>
    <t>23-09-24-190054.827-466.jpg</t>
  </si>
  <si>
    <t>23-09-24-190057.016-467.jpg</t>
  </si>
  <si>
    <t>23-09-24-190100.008-468.jpg</t>
  </si>
  <si>
    <t>23-09-24-190102.080-469.jpg</t>
  </si>
  <si>
    <t>23-09-24-190104.221-470.jpg</t>
  </si>
  <si>
    <t>23-09-24-190106.279-471.jpg</t>
  </si>
  <si>
    <t>23-09-24-190108.419-472.jpg</t>
  </si>
  <si>
    <t>23-09-24-190110.578-473.jpg</t>
  </si>
  <si>
    <t>23-09-24-190112.746-474.jpg</t>
  </si>
  <si>
    <t>23-09-24-190114.810-475.jpg</t>
  </si>
  <si>
    <t>23-09-24-190116.951-476.jpg</t>
  </si>
  <si>
    <t>23-09-24-190119.109-477.jpg</t>
  </si>
  <si>
    <t>23-09-24-190121.287-478.jpg</t>
  </si>
  <si>
    <t>23-09-24-190123.371-479.jpg</t>
  </si>
  <si>
    <t>23-09-24-190125.548-480.jpg</t>
  </si>
  <si>
    <t>23-09-24-190127.728-481.jpg</t>
  </si>
  <si>
    <t>23-09-24-190129.907-482.jpg</t>
  </si>
  <si>
    <t>23-09-24-190131.980-483.jpg</t>
  </si>
  <si>
    <t>23-09-24-190134.131-484.jpg</t>
  </si>
  <si>
    <t>23-09-24-190136.317-485.jpg</t>
  </si>
  <si>
    <t>23-09-24-190138.475-486.jpg</t>
  </si>
  <si>
    <t>23-09-24-190141.573-487.jpg</t>
  </si>
  <si>
    <t>23-09-24-190143.619-488.jpg</t>
  </si>
  <si>
    <t>23-09-24-190145.730-489.jpg</t>
  </si>
  <si>
    <t>23-09-24-190147.886-490.jpg</t>
  </si>
  <si>
    <t>23-09-24-190150.046-491.jpg</t>
  </si>
  <si>
    <t>23-09-24-190152.195-492.jpg</t>
  </si>
  <si>
    <t>23-09-24-190154.345-493.jpg</t>
  </si>
  <si>
    <t>23-09-24-190156.515-494.jpg</t>
  </si>
  <si>
    <t>23-09-24-190158.677-495.jpg</t>
  </si>
  <si>
    <t>23-09-24-190200.837-496.jpg</t>
  </si>
  <si>
    <t>23-09-24-190202.997-497.jpg</t>
  </si>
  <si>
    <t>23-09-24-190205.168-498.jpg</t>
  </si>
  <si>
    <t>23-09-24-190207.219-499.jpg</t>
  </si>
  <si>
    <t>23-09-24-190209.320-500.jpg</t>
  </si>
  <si>
    <t>23-09-24-190211.468-501.jpg</t>
  </si>
  <si>
    <t>23-09-24-190213.612-502.jpg</t>
  </si>
  <si>
    <t>23-09-24-190215.668-503.jpg</t>
  </si>
  <si>
    <t>23-09-24-190217.781-504.jpg</t>
  </si>
  <si>
    <t>23-09-24-190219.840-505.jpg</t>
  </si>
  <si>
    <t>23-09-24-190221.966-506.jpg</t>
  </si>
  <si>
    <t>23-09-24-190224.116-507.jpg</t>
  </si>
  <si>
    <t>23-09-24-190226.274-508.jpg</t>
  </si>
  <si>
    <t>23-09-24-190228.426-509.jpg</t>
  </si>
  <si>
    <t>23-09-24-190230.576-510.jpg</t>
  </si>
  <si>
    <t>23-09-24-190232.713-511.jpg</t>
  </si>
  <si>
    <t>23-09-24-190234.854-512.jpg</t>
  </si>
  <si>
    <t>23-09-24-190237.004-513.jpg</t>
  </si>
  <si>
    <t>23-09-24-190239.148-514.jpg</t>
  </si>
  <si>
    <t>23-09-24-190241.198-515.jpg</t>
  </si>
  <si>
    <t>23-09-24-190243.310-516.jpg</t>
  </si>
  <si>
    <t>23-09-24-190245.465-517.jpg</t>
  </si>
  <si>
    <t>23-09-24-190247.529-518.jpg</t>
  </si>
  <si>
    <t>23-09-24-190249.644-519.jpg</t>
  </si>
  <si>
    <t>23-09-24-190251.794-520.jpg</t>
  </si>
  <si>
    <t>23-09-24-190253.934-521.jpg</t>
  </si>
  <si>
    <t>23-09-24-190256.087-522.jpg</t>
  </si>
  <si>
    <t>23-09-24-190258.235-523.jpg</t>
  </si>
  <si>
    <t>23-09-24-190300.383-524.jpg</t>
  </si>
  <si>
    <t>23-09-24-190302.438-525.jpg</t>
  </si>
  <si>
    <t>23-09-24-190304.555-526.jpg</t>
  </si>
  <si>
    <t>23-09-24-190306.704-527.jpg</t>
  </si>
  <si>
    <t>23-09-24-190308.865-528.jpg</t>
  </si>
  <si>
    <t>23-09-24-190311.026-529.jpg</t>
  </si>
  <si>
    <t>23-09-24-190313.186-530.jpg</t>
  </si>
  <si>
    <t>23-09-24-190315.346-531.jpg</t>
  </si>
  <si>
    <t>23-09-24-190317.420-532.jpg</t>
  </si>
  <si>
    <t>23-09-24-190320.522-533.jpg</t>
  </si>
  <si>
    <t>23-09-24-190322.696-534.jpg</t>
  </si>
  <si>
    <t>23-09-24-190324.769-535.jpg</t>
  </si>
  <si>
    <t>23-09-24-190326.929-536.jpg</t>
  </si>
  <si>
    <t>23-09-24-190329.085-537.jpg</t>
  </si>
  <si>
    <t>23-09-24-190331.247-538.jpg</t>
  </si>
  <si>
    <t>23-09-24-190333.407-539.jpg</t>
  </si>
  <si>
    <t>23-09-24-190335.577-540.jpg</t>
  </si>
  <si>
    <t>23-09-24-190337.757-541.jpg</t>
  </si>
  <si>
    <t>23-09-24-190339.821-542.jpg</t>
  </si>
  <si>
    <t>23-09-24-190342.808-543.jpg</t>
  </si>
  <si>
    <t>23-09-24-190344.983-544.jpg</t>
  </si>
  <si>
    <t>23-09-24-190347.135-545.jpg</t>
  </si>
  <si>
    <t>23-09-24-190349.270-546.jpg</t>
  </si>
  <si>
    <t>23-09-24-190351.415-547.jpg</t>
  </si>
  <si>
    <t>23-09-24-190353.565-548.jpg</t>
  </si>
  <si>
    <t>23-09-24-190355.711-549.jpg</t>
  </si>
  <si>
    <t>23-09-24-190357.844-550.jpg</t>
  </si>
  <si>
    <t>23-09-24-190359.991-551.jpg</t>
  </si>
  <si>
    <t>23-09-24-190402.126-552.jpg</t>
  </si>
  <si>
    <t>23-09-24-190404.273-553.jpg</t>
  </si>
  <si>
    <t>23-09-24-190406.418-554.jpg</t>
  </si>
  <si>
    <t>23-09-24-190408.554-555.jpg</t>
  </si>
  <si>
    <t>23-09-24-190410.716-556.jpg</t>
  </si>
  <si>
    <t>23-09-24-190412.876-557.jpg</t>
  </si>
  <si>
    <t>23-09-24-190415.035-558.jpg</t>
  </si>
  <si>
    <t>23-09-24-190417.193-559.jpg</t>
  </si>
  <si>
    <t>23-09-24-190419.355-560.jpg</t>
  </si>
  <si>
    <t>23-09-24-190421.512-561.jpg</t>
  </si>
  <si>
    <t>23-09-24-190423.654-562.jpg</t>
  </si>
  <si>
    <t>23-09-24-190425.709-563.jpg</t>
  </si>
  <si>
    <t>23-09-24-190427.822-564.jpg</t>
  </si>
  <si>
    <t>23-09-24-190429.870-565.jpg</t>
  </si>
  <si>
    <t>23-09-24-190431.971-566.jpg</t>
  </si>
  <si>
    <t>23-09-24-190434.113-567.jpg</t>
  </si>
  <si>
    <t>23-09-24-190436.254-568.jpg</t>
  </si>
  <si>
    <t>23-09-24-190438.406-569.jpg</t>
  </si>
  <si>
    <t>23-09-24-190440.557-570.jpg</t>
  </si>
  <si>
    <t>23-09-24-190442.707-571.jpg</t>
  </si>
  <si>
    <t>23-09-24-190444.761-572.jpg</t>
  </si>
  <si>
    <t>23-09-24-190446.886-573.jpg</t>
  </si>
  <si>
    <t>23-09-24-190449.059-574.jpg</t>
  </si>
  <si>
    <t>23-09-24-190451.206-575.jpg</t>
  </si>
  <si>
    <t>23-09-24-190453.357-576.jpg</t>
  </si>
  <si>
    <t>23-09-24-190455.518-577.jpg</t>
  </si>
  <si>
    <t>23-09-24-190457.678-578.jpg</t>
  </si>
  <si>
    <t>23-09-24-190459.740-579.jpg</t>
  </si>
  <si>
    <t>23-09-24-190501.868-580.jpg</t>
  </si>
  <si>
    <t>23-09-24-190504.029-581.jpg</t>
  </si>
  <si>
    <t>23-09-24-190506.081-582.jpg</t>
  </si>
  <si>
    <t>23-09-24-190508.193-583.jpg</t>
  </si>
  <si>
    <t>23-09-24-190510.240-584.jpg</t>
  </si>
  <si>
    <t>23-09-24-190512.340-585.jpg</t>
  </si>
  <si>
    <t>23-09-24-190514.380-586.jpg</t>
  </si>
  <si>
    <t>23-09-24-190516.491-587.jpg</t>
  </si>
  <si>
    <t>23-09-24-190518.633-588.jpg</t>
  </si>
  <si>
    <t>23-09-24-190521.375-589.jpg</t>
  </si>
  <si>
    <t>23-09-24-190523.524-590.jpg</t>
  </si>
  <si>
    <t>23-09-24-190525.589-591.jpg</t>
  </si>
  <si>
    <t>23-09-24-190527.730-592.jpg</t>
  </si>
  <si>
    <t>23-09-24-190529.894-593.jpg</t>
  </si>
  <si>
    <t>23-09-24-190532.055-594.jpg</t>
  </si>
  <si>
    <t>23-09-24-190534.224-595.jpg</t>
  </si>
  <si>
    <t>23-09-24-190536.394-596.jpg</t>
  </si>
  <si>
    <t>23-09-24-190538.458-597.jpg</t>
  </si>
  <si>
    <t>23-09-24-190540.569-598.jpg</t>
  </si>
  <si>
    <t>23-09-24-190542.717-599.jpg</t>
  </si>
  <si>
    <t>23-09-24-190544.880-600.jpg</t>
  </si>
  <si>
    <t>23-09-24-190547.038-601.jpg</t>
  </si>
  <si>
    <t>23-09-24-190549.186-602.jpg</t>
  </si>
  <si>
    <t>23-09-24-190551.249-603.jpg</t>
  </si>
  <si>
    <t>23-09-24-190553.389-604.jpg</t>
  </si>
  <si>
    <t>23-09-24-190555.535-605.jpg</t>
  </si>
  <si>
    <t>23-09-24-190557.686-606.jpg</t>
  </si>
  <si>
    <t>23-09-24-190559.836-607.jpg</t>
  </si>
  <si>
    <t>23-09-24-190601.994-608.jpg</t>
  </si>
  <si>
    <t>23-09-24-190604.049-609.jpg</t>
  </si>
  <si>
    <t>23-09-24-190606.175-610.jpg</t>
  </si>
  <si>
    <t>23-09-24-190608.326-611.jpg</t>
  </si>
  <si>
    <t>23-09-24-190611.060-612.jpg</t>
  </si>
  <si>
    <t>23-09-24-190613.121-613.jpg</t>
  </si>
  <si>
    <t>23-09-24-190615.263-614.jpg</t>
  </si>
  <si>
    <t>23-09-24-190617.428-615.jpg</t>
  </si>
  <si>
    <t>23-09-24-190619.598-616.jpg</t>
  </si>
  <si>
    <t>23-09-24-190621.768-617.jpg</t>
  </si>
  <si>
    <t>23-09-24-190623.938-618.jpg</t>
  </si>
  <si>
    <t>23-09-24-190626.109-619.jpg</t>
  </si>
  <si>
    <t>23-09-24-190628.288-620.jpg</t>
  </si>
  <si>
    <t>23-09-24-190630.459-621.jpg</t>
  </si>
  <si>
    <t>23-09-24-190632.522-622.jpg</t>
  </si>
  <si>
    <t>23-09-24-190634.662-623.jpg</t>
  </si>
  <si>
    <t>23-09-24-190636.830-624.jpg</t>
  </si>
  <si>
    <t>23-09-24-190638.913-625.jpg</t>
  </si>
  <si>
    <t>23-09-24-190641.079-626.jpg</t>
  </si>
  <si>
    <t>23-09-24-190643.162-627.jpg</t>
  </si>
  <si>
    <t>23-09-24-190645.316-628.jpg</t>
  </si>
  <si>
    <t>23-09-24-190648.276-629.jpg</t>
  </si>
  <si>
    <t>23-09-24-190650.352-630.jpg</t>
  </si>
  <si>
    <t>23-09-24-190652.495-631.jpg</t>
  </si>
  <si>
    <t>23-09-24-190654.651-632.jpg</t>
  </si>
  <si>
    <t>23-09-24-190656.817-633.jpg</t>
  </si>
  <si>
    <t>23-09-24-190658.978-634.jpg</t>
  </si>
  <si>
    <t>23-09-24-190701.128-635.jpg</t>
  </si>
  <si>
    <t>23-09-24-190703.287-636.jpg</t>
  </si>
  <si>
    <t>23-09-24-190705.449-637.jpg</t>
  </si>
  <si>
    <t>23-09-24-190707.617-638.jpg</t>
  </si>
  <si>
    <t>23-09-24-190709.799-639.jpg</t>
  </si>
  <si>
    <t>23-09-24-190711.990-640.jpg</t>
  </si>
  <si>
    <t>23-09-24-190714.160-641.jpg</t>
  </si>
  <si>
    <t>23-09-24-190716.232-642.jpg</t>
  </si>
  <si>
    <t>23-09-24-190718.373-643.jpg</t>
  </si>
  <si>
    <t>23-09-24-190720.444-644.jpg</t>
  </si>
  <si>
    <t>23-09-24-190722.583-645.jpg</t>
  </si>
  <si>
    <t>23-09-24-190724.740-646.jpg</t>
  </si>
  <si>
    <t>23-09-24-190726.898-647.jpg</t>
  </si>
  <si>
    <t>23-09-24-190729.049-648.jpg</t>
  </si>
  <si>
    <t>23-09-24-190731.178-649.jpg</t>
  </si>
  <si>
    <t>23-09-24-190733.378-650.jpg</t>
  </si>
  <si>
    <t>23-09-24-190735.498-651.jpg</t>
  </si>
  <si>
    <t>23-09-24-190737.618-652.jpg</t>
  </si>
  <si>
    <t>23-09-24-190739.722-653.jpg</t>
  </si>
  <si>
    <t>23-09-24-190741.815-654.jpg</t>
  </si>
  <si>
    <t>23-09-24-190743.912-655.jpg</t>
  </si>
  <si>
    <t>23-09-24-190746.011-656.jpg</t>
  </si>
  <si>
    <t>23-09-24-190748.102-657.jpg</t>
  </si>
  <si>
    <t>23-09-24-190750.201-658.jpg</t>
  </si>
  <si>
    <t>23-09-24-190752.290-659.jpg</t>
  </si>
  <si>
    <t>23-09-24-190754.393-660.jpg</t>
  </si>
  <si>
    <t>23-09-24-190756.504-661.jpg</t>
  </si>
  <si>
    <t>23-09-24-190758.555-662.jpg</t>
  </si>
  <si>
    <t>23-09-24-190800.664-663.jpg</t>
  </si>
  <si>
    <t>23-09-24-190802.839-664.jpg</t>
  </si>
  <si>
    <t>23-09-24-190805.021-665.jpg</t>
  </si>
  <si>
    <t>23-09-24-190807.104-666.jpg</t>
  </si>
  <si>
    <t>23-09-24-190809.268-667.jpg</t>
  </si>
  <si>
    <t>23-09-24-190811.470-668.jpg</t>
  </si>
  <si>
    <t>23-09-24-190813.685-669.jpg</t>
  </si>
  <si>
    <t>23-09-24-190815.911-670.jpg</t>
  </si>
  <si>
    <t>23-09-24-190818.127-671.jpg</t>
  </si>
  <si>
    <t>23-09-24-190820.266-672.jpg</t>
  </si>
  <si>
    <t>23-09-24-190822.514-673.jpg</t>
  </si>
  <si>
    <t>23-09-24-190824.756-674.jpg</t>
  </si>
  <si>
    <t>23-09-24-190826.894-675.jpg</t>
  </si>
  <si>
    <t>23-09-24-190829.131-676.jpg</t>
  </si>
  <si>
    <t>23-09-24-190831.387-677.jpg</t>
  </si>
  <si>
    <t>23-09-24-190833.654-678.jpg</t>
  </si>
  <si>
    <t>23-09-24-190836.858-679.jpg</t>
  </si>
  <si>
    <t>23-09-24-190839.022-680.jpg</t>
  </si>
  <si>
    <t>23-09-24-190841.286-681.jpg</t>
  </si>
  <si>
    <t>23-09-24-190843.536-682.jpg</t>
  </si>
  <si>
    <t>23-09-24-190845.797-683.jpg</t>
  </si>
  <si>
    <t>23-09-24-190847.927-684.jpg</t>
  </si>
  <si>
    <t>23-09-24-190850.087-685.jpg</t>
  </si>
  <si>
    <t>23-09-24-190852.242-686.jpg</t>
  </si>
  <si>
    <t>23-09-24-190854.380-687.jpg</t>
  </si>
  <si>
    <t>23-09-24-190856.558-688.jpg</t>
  </si>
  <si>
    <t>23-09-24-190858.696-689.jpg</t>
  </si>
  <si>
    <t>23-09-24-190900.852-690.jpg</t>
  </si>
  <si>
    <t>23-09-24-190903.006-691.jpg</t>
  </si>
  <si>
    <t>23-09-24-190905.150-692.jpg</t>
  </si>
  <si>
    <t>23-09-24-190907.334-693.jpg</t>
  </si>
  <si>
    <t>23-09-24-190909.522-694.jpg</t>
  </si>
  <si>
    <t>23-09-24-190911.712-695.jpg</t>
  </si>
  <si>
    <t>23-09-24-190913.891-696.jpg</t>
  </si>
  <si>
    <t>23-09-24-190916.080-697.jpg</t>
  </si>
  <si>
    <t>23-09-24-190918.279-698.jpg</t>
  </si>
  <si>
    <t>23-09-24-190920.484-699.jpg</t>
  </si>
  <si>
    <t>23-09-24-190922.692-700.jpg</t>
  </si>
  <si>
    <t>23-09-24-190924.896-701.jpg</t>
  </si>
  <si>
    <t>23-09-24-190927.099-702.jpg</t>
  </si>
  <si>
    <t>23-09-24-190929.324-703.jpg</t>
  </si>
  <si>
    <t>23-09-24-190931.513-704.jpg</t>
  </si>
  <si>
    <t>23-09-24-190933.714-705.jpg</t>
  </si>
  <si>
    <t>23-09-24-190935.913-706.jpg</t>
  </si>
  <si>
    <t>23-09-24-190938.111-707.jpg</t>
  </si>
  <si>
    <t>23-09-24-190940.311-708.jpg</t>
  </si>
  <si>
    <t>23-09-24-190942.511-709.jpg</t>
  </si>
  <si>
    <t>23-09-24-190944.714-710.jpg</t>
  </si>
  <si>
    <t>23-09-24-190946.916-711.jpg</t>
  </si>
  <si>
    <t>23-09-24-190949.014-712.jpg</t>
  </si>
  <si>
    <t>23-09-24-190951.208-713.jpg</t>
  </si>
  <si>
    <t>23-09-24-190953.410-714.jpg</t>
  </si>
  <si>
    <t>23-09-24-190955.611-715.jpg</t>
  </si>
  <si>
    <t>23-09-24-190957.792-716.jpg</t>
  </si>
  <si>
    <t>23-09-24-190959.994-717.jpg</t>
  </si>
  <si>
    <t>23-09-24-191002.190-718.jpg</t>
  </si>
  <si>
    <t>23-09-24-191004.390-719.jpg</t>
  </si>
  <si>
    <t>23-09-24-191006.569-720.jpg</t>
  </si>
  <si>
    <t>23-09-24-191008.759-721.jpg</t>
  </si>
  <si>
    <t>23-09-24-191010.852-722.jpg</t>
  </si>
  <si>
    <t>23-09-24-191013.018-723.jpg</t>
  </si>
  <si>
    <t>23-09-24-191015.198-724.jpg</t>
  </si>
  <si>
    <t>23-09-24-191017.367-725.jpg</t>
  </si>
  <si>
    <t>23-09-24-191019.548-726.jpg</t>
  </si>
  <si>
    <t>23-09-24-191021.728-727.jpg</t>
  </si>
  <si>
    <t>23-09-24-191023.909-728.jpg</t>
  </si>
  <si>
    <t>23-09-24-191026.097-729.jpg</t>
  </si>
  <si>
    <t>23-09-24-191028.286-730.jpg</t>
  </si>
  <si>
    <t>23-09-24-191030.618-731.jpg</t>
  </si>
  <si>
    <t>23-09-24-191032.806-732.jpg</t>
  </si>
  <si>
    <t>23-09-24-191034.997-733.jpg</t>
  </si>
  <si>
    <t>23-09-24-191037.175-734.jpg</t>
  </si>
  <si>
    <t>23-09-24-191039.366-735.jpg</t>
  </si>
  <si>
    <t>23-09-24-191041.557-736.jpg</t>
  </si>
  <si>
    <t>23-09-24-191043.746-737.jpg</t>
  </si>
  <si>
    <t>23-09-24-191045.935-738.jpg</t>
  </si>
  <si>
    <t>23-09-24-191049.082-739.jpg</t>
  </si>
  <si>
    <t>23-09-24-191051.181-740.jpg</t>
  </si>
  <si>
    <t>23-09-24-191053.348-741.jpg</t>
  </si>
  <si>
    <t>23-09-24-191055.431-742.jpg</t>
  </si>
  <si>
    <t>23-09-24-191057.598-743.jpg</t>
  </si>
  <si>
    <t>23-09-24-191059.804-744.jpg</t>
  </si>
  <si>
    <t>23-09-24-191101.995-745.jpg</t>
  </si>
  <si>
    <t>23-09-24-191104.185-746.jpg</t>
  </si>
  <si>
    <t>23-09-24-191107.379-747.jpg</t>
  </si>
  <si>
    <t>23-09-24-191109.569-748.jpg</t>
  </si>
  <si>
    <t>23-09-24-191111.717-749.jpg</t>
  </si>
  <si>
    <t>23-09-24-191113.769-750.jpg</t>
  </si>
  <si>
    <t>23-09-24-191115.895-751.jpg</t>
  </si>
  <si>
    <t>23-09-24-191118.033-752.jpg</t>
  </si>
  <si>
    <t>23-09-24-191120.197-753.jpg</t>
  </si>
  <si>
    <t>23-09-24-191122.386-754.jpg</t>
  </si>
  <si>
    <t>23-09-24-191124.566-755.jpg</t>
  </si>
  <si>
    <t>23-09-24-191126.756-756.jpg</t>
  </si>
  <si>
    <t>23-09-24-191128.947-757.jpg</t>
  </si>
  <si>
    <t>23-09-24-191131.135-758.jpg</t>
  </si>
  <si>
    <t>23-09-24-191133.228-759.jpg</t>
  </si>
  <si>
    <t>23-09-24-191135.394-760.jpg</t>
  </si>
  <si>
    <t>23-09-24-191137.575-761.jpg</t>
  </si>
  <si>
    <t>23-09-24-191139.766-762.jpg</t>
  </si>
  <si>
    <t>23-09-24-191141.956-763.jpg</t>
  </si>
  <si>
    <t>23-09-24-191144.146-764.jpg</t>
  </si>
  <si>
    <t>23-09-24-191146.251-765.jpg</t>
  </si>
  <si>
    <t>23-09-24-191148.349-766.jpg</t>
  </si>
  <si>
    <t>23-09-24-191150.491-767.jpg</t>
  </si>
  <si>
    <t>23-09-24-191152.630-768.jpg</t>
  </si>
  <si>
    <t>23-09-24-191154.770-769.jpg</t>
  </si>
  <si>
    <t>23-09-24-191156.931-770.jpg</t>
  </si>
  <si>
    <t>23-09-24-191159.082-771.jpg</t>
  </si>
  <si>
    <t>23-09-24-191201.144-772.jpg</t>
  </si>
  <si>
    <t>23-09-24-191203.269-773.jpg</t>
  </si>
  <si>
    <t>23-09-24-191205.419-774.jpg</t>
  </si>
  <si>
    <t>23-09-24-191207.568-775.jpg</t>
  </si>
  <si>
    <t>23-09-24-191209.710-776.jpg</t>
  </si>
  <si>
    <t>23-09-24-191211.849-777.jpg</t>
  </si>
  <si>
    <t>23-09-24-191214.840-778.jpg</t>
  </si>
  <si>
    <t>23-09-24-191216.935-779.jpg</t>
  </si>
  <si>
    <t>23-09-24-191219.102-780.jpg</t>
  </si>
  <si>
    <t>23-09-24-191221.282-781.jpg</t>
  </si>
  <si>
    <t>23-09-24-191223.363-782.jpg</t>
  </si>
  <si>
    <t>23-09-24-191225.517-783.jpg</t>
  </si>
  <si>
    <t>23-09-24-191227.594-784.jpg</t>
  </si>
  <si>
    <t>23-09-24-191229.771-785.jpg</t>
  </si>
  <si>
    <t>23-09-24-191232.703-786.jpg</t>
  </si>
  <si>
    <t>23-09-24-191234.889-787.jpg</t>
  </si>
  <si>
    <t>23-09-24-191236.986-788.jpg</t>
  </si>
  <si>
    <t>23-09-24-191239.162-789.jpg</t>
  </si>
  <si>
    <t>23-09-24-191241.350-790.jpg</t>
  </si>
  <si>
    <t>23-09-24-191243.538-791.jpg</t>
  </si>
  <si>
    <t>23-09-24-191245.720-792.jpg</t>
  </si>
  <si>
    <t>23-09-24-191247.880-793.jpg</t>
  </si>
  <si>
    <t>23-09-24-191250.032-794.jpg</t>
  </si>
  <si>
    <t>23-09-24-191252.178-795.jpg</t>
  </si>
  <si>
    <t>23-09-24-191254.315-796.jpg</t>
  </si>
  <si>
    <t>23-09-24-191256.380-797.jpg</t>
  </si>
  <si>
    <t>23-09-24-191258.485-798.jpg</t>
  </si>
  <si>
    <t>23-09-24-191300.667-799.jpg</t>
  </si>
  <si>
    <t>23-09-24-191302.839-800.jpg</t>
  </si>
  <si>
    <t>23-09-24-191305.016-801.jpg</t>
  </si>
  <si>
    <t>23-09-24-191307.100-802.jpg</t>
  </si>
  <si>
    <t>23-09-24-191309.252-803.jpg</t>
  </si>
  <si>
    <t>23-09-24-191311.436-804.jpg</t>
  </si>
  <si>
    <t>23-09-24-191313.615-805.jpg</t>
  </si>
  <si>
    <t>23-09-24-191316.402-806.jpg</t>
  </si>
  <si>
    <t>23-09-24-191318.480-807.jpg</t>
  </si>
  <si>
    <t>23-09-24-191320.643-808.jpg</t>
  </si>
  <si>
    <t>23-09-24-191322.828-809.jpg</t>
  </si>
  <si>
    <t>23-09-24-191325.017-810.jpg</t>
  </si>
  <si>
    <t>23-09-24-191327.105-811.jpg</t>
  </si>
  <si>
    <t>23-09-24-191329.257-812.jpg</t>
  </si>
  <si>
    <t>23-09-24-191331.360-813.jpg</t>
  </si>
  <si>
    <t>23-09-24-191333.508-814.jpg</t>
  </si>
  <si>
    <t>23-09-24-191335.626-815.jpg</t>
  </si>
  <si>
    <t>23-09-24-191337.791-816.jpg</t>
  </si>
  <si>
    <t>23-09-24-191339.991-817.jpg</t>
  </si>
  <si>
    <t>23-09-24-191342.192-818.jpg</t>
  </si>
  <si>
    <t>23-09-24-191344.381-819.jpg</t>
  </si>
  <si>
    <t>23-09-24-191346.591-820.jpg</t>
  </si>
  <si>
    <t>23-09-24-191348.792-821.jpg</t>
  </si>
  <si>
    <t>23-09-24-191350.979-822.jpg</t>
  </si>
  <si>
    <t>23-09-24-191353.162-823.jpg</t>
  </si>
  <si>
    <t>23-09-24-191355.350-824.jpg</t>
  </si>
  <si>
    <t>23-09-24-191357.539-825.jpg</t>
  </si>
  <si>
    <t>23-09-24-191359.719-826.jpg</t>
  </si>
  <si>
    <t>23-09-24-191401.898-827.jpg</t>
  </si>
  <si>
    <t>23-09-24-191405.042-828.jpg</t>
  </si>
  <si>
    <t>23-09-24-191407.187-829.jpg</t>
  </si>
  <si>
    <t>23-09-24-191409.330-830.jpg</t>
  </si>
  <si>
    <t>23-09-24-191411.486-831.jpg</t>
  </si>
  <si>
    <t>23-09-24-191413.544-832.jpg</t>
  </si>
  <si>
    <t>23-09-24-191415.672-833.jpg</t>
  </si>
  <si>
    <t>23-09-24-191417.818-834.jpg</t>
  </si>
  <si>
    <t>23-09-24-191419.958-835.jpg</t>
  </si>
  <si>
    <t>23-09-24-191422.149-836.jpg</t>
  </si>
  <si>
    <t>23-09-24-191424.350-837.jpg</t>
  </si>
  <si>
    <t>23-09-24-191426.541-838.jpg</t>
  </si>
  <si>
    <t>23-09-24-191428.720-839.jpg</t>
  </si>
  <si>
    <t>23-09-24-191430.801-840.jpg</t>
  </si>
  <si>
    <t>23-09-24-191432.967-841.jpg</t>
  </si>
  <si>
    <t>23-09-24-191435.050-842.jpg</t>
  </si>
  <si>
    <t>23-09-24-191437.234-843.jpg</t>
  </si>
  <si>
    <t>23-09-24-191439.436-844.jpg</t>
  </si>
  <si>
    <t>23-09-24-191441.624-845.jpg</t>
  </si>
  <si>
    <t>23-09-24-191443.807-846.jpg</t>
  </si>
  <si>
    <t>23-09-24-191445.900-847.jpg</t>
  </si>
  <si>
    <t>23-09-24-191448.082-848.jpg</t>
  </si>
  <si>
    <t>23-09-24-191450.266-849.jpg</t>
  </si>
  <si>
    <t>23-09-24-191452.455-850.jpg</t>
  </si>
  <si>
    <t>23-09-24-191454.645-851.jpg</t>
  </si>
  <si>
    <t>23-09-24-191456.792-852.jpg</t>
  </si>
  <si>
    <t>23-09-24-191458.834-853.jpg</t>
  </si>
  <si>
    <t>23-09-24-191500.947-854.jpg</t>
  </si>
  <si>
    <t>23-09-24-191503.113-855.jpg</t>
  </si>
  <si>
    <t>23-09-24-191505.296-856.jpg</t>
  </si>
  <si>
    <t>23-09-24-191508.260-857.jpg</t>
  </si>
  <si>
    <t>23-09-24-191510.341-858.jpg</t>
  </si>
  <si>
    <t>23-09-24-191512.490-859.jpg</t>
  </si>
  <si>
    <t>23-09-24-191514.683-860.jpg</t>
  </si>
  <si>
    <t>23-09-24-191516.884-861.jpg</t>
  </si>
  <si>
    <t>23-09-24-191518.984-862.jpg</t>
  </si>
  <si>
    <t>23-09-24-191521.168-863.jpg</t>
  </si>
  <si>
    <t>23-09-24-191523.264-864.jpg</t>
  </si>
  <si>
    <t>23-09-24-191526.300-865.jpg</t>
  </si>
  <si>
    <t>23-09-24-191528.393-866.jpg</t>
  </si>
  <si>
    <t>23-09-24-191530.521-867.jpg</t>
  </si>
  <si>
    <t>23-09-24-191532.614-868.jpg</t>
  </si>
  <si>
    <t>23-09-24-191534.780-869.jpg</t>
  </si>
  <si>
    <t>23-09-24-191536.981-870.jpg</t>
  </si>
  <si>
    <t>23-09-24-191539.172-871.jpg</t>
  </si>
  <si>
    <t>23-09-24-191541.264-872.jpg</t>
  </si>
  <si>
    <t>23-09-24-191544.100-873.jpg</t>
  </si>
  <si>
    <t>23-09-24-191546.204-874.jpg</t>
  </si>
  <si>
    <t>23-09-24-191548.401-875.jpg</t>
  </si>
  <si>
    <t>23-09-24-191550.495-876.jpg</t>
  </si>
  <si>
    <t>23-09-24-191552.681-877.jpg</t>
  </si>
  <si>
    <t>23-09-24-191554.881-878.jpg</t>
  </si>
  <si>
    <t>23-09-24-191557.081-879.jpg</t>
  </si>
  <si>
    <t>23-09-24-191600.166-880.jpg</t>
  </si>
  <si>
    <t>23-09-24-191602.361-881.jpg</t>
  </si>
  <si>
    <t>23-09-24-191604.561-882.jpg</t>
  </si>
  <si>
    <t>23-09-24-191606.732-883.jpg</t>
  </si>
  <si>
    <t>23-09-24-191608.794-884.jpg</t>
  </si>
  <si>
    <t>23-09-24-191610.919-885.jpg</t>
  </si>
  <si>
    <t>23-09-24-191613.111-886.jpg</t>
  </si>
  <si>
    <t>23-09-24-191615.301-887.jpg</t>
  </si>
  <si>
    <t>23-09-24-191618.366-888.jpg</t>
  </si>
  <si>
    <t>23-09-24-191620.570-889.jpg</t>
  </si>
  <si>
    <t>23-09-24-191622.779-890.jpg</t>
  </si>
  <si>
    <t>23-09-24-191624.894-891.jpg</t>
  </si>
  <si>
    <t>23-09-24-191627.071-892.jpg</t>
  </si>
  <si>
    <t>23-09-24-191629.135-893.jpg</t>
  </si>
  <si>
    <t>23-09-24-191631.246-894.jpg</t>
  </si>
  <si>
    <t>23-09-24-191633.401-895.jpg</t>
  </si>
  <si>
    <t>23-09-24-191635.580-896.jpg</t>
  </si>
  <si>
    <t>23-09-24-191637.775-897.jpg</t>
  </si>
  <si>
    <t>23-09-24-191639.960-898.jpg</t>
  </si>
  <si>
    <t>23-09-24-191642.051-899.jpg</t>
  </si>
  <si>
    <t>23-09-24-191644.209-900.jpg</t>
  </si>
  <si>
    <t>23-09-24-191646.388-901.jpg</t>
  </si>
  <si>
    <t>23-09-24-191648.461-902.jpg</t>
  </si>
  <si>
    <t>23-09-24-191650.613-903.jpg</t>
  </si>
  <si>
    <t>23-09-24-191652.791-904.jpg</t>
  </si>
  <si>
    <t>23-09-24-191654.971-905.jpg</t>
  </si>
  <si>
    <t>23-09-24-191657.140-906.jpg</t>
  </si>
  <si>
    <t>23-09-24-191659.300-907.jpg</t>
  </si>
  <si>
    <t>23-09-24-191701.469-908.jpg</t>
  </si>
  <si>
    <t>23-09-24-191704.441-909.jpg</t>
  </si>
  <si>
    <t>23-09-24-191706.626-910.jpg</t>
  </si>
  <si>
    <t>23-09-24-191708.801-911.jpg</t>
  </si>
  <si>
    <t>23-09-24-191710.967-912.jpg</t>
  </si>
  <si>
    <t>23-09-24-191713.136-913.jpg</t>
  </si>
  <si>
    <t>23-09-24-191715.303-914.jpg</t>
  </si>
  <si>
    <t>23-09-24-191717.458-915.jpg</t>
  </si>
  <si>
    <t>23-09-24-191719.532-916.jpg</t>
  </si>
  <si>
    <t>23-09-24-191721.721-917.jpg</t>
  </si>
  <si>
    <t>23-09-24-191723.916-918.jpg</t>
  </si>
  <si>
    <t>23-09-24-191726.111-919.jpg</t>
  </si>
  <si>
    <t>23-09-24-191729.271-920.jpg</t>
  </si>
  <si>
    <t>23-09-24-191731.374-921.jpg</t>
  </si>
  <si>
    <t>23-09-24-191733.589-922.jpg</t>
  </si>
  <si>
    <t>23-09-24-191735.795-923.jpg</t>
  </si>
  <si>
    <t>23-09-24-191737.001-924.jpg</t>
  </si>
  <si>
    <t>23-09-24-191740.200-925.jpg</t>
  </si>
  <si>
    <t>23-09-24-191742.420-926.jpg</t>
  </si>
  <si>
    <t>23-09-24-191744.630-927.jpg</t>
  </si>
  <si>
    <t>23-09-24-191746.812-928.jpg</t>
  </si>
  <si>
    <t>23-09-24-191749.010-929.jpg</t>
  </si>
  <si>
    <t>23-09-24-191751.181-930.jpg</t>
  </si>
  <si>
    <t>23-09-24-191753.315-931.jpg</t>
  </si>
  <si>
    <t>23-09-24-191755.474-932.jpg</t>
  </si>
  <si>
    <t>23-09-24-191757.631-933.jpg</t>
  </si>
  <si>
    <t>23-09-24-191759.821-934.jpg</t>
  </si>
  <si>
    <t>23-09-24-191802.021-935.jpg</t>
  </si>
  <si>
    <t>23-09-24-191804.221-936.jpg</t>
  </si>
  <si>
    <t>23-09-24-191806.402-937.jpg</t>
  </si>
  <si>
    <t>23-09-24-191808.601-938.jpg</t>
  </si>
  <si>
    <t>23-09-24-191810.800-939.jpg</t>
  </si>
  <si>
    <t>23-09-24-191812.990-940.jpg</t>
  </si>
  <si>
    <t>23-09-24-191815.171-941.jpg</t>
  </si>
  <si>
    <t>23-09-24-191817.370-942.jpg</t>
  </si>
  <si>
    <t>23-09-24-191820.432-943.jpg</t>
  </si>
  <si>
    <t>23-09-24-191822.628-944.jpg</t>
  </si>
  <si>
    <t>23-09-24-191824.728-945.jpg</t>
  </si>
  <si>
    <t>23-09-24-191826.899-946.jpg</t>
  </si>
  <si>
    <t>23-09-24-191829.089-947.jpg</t>
  </si>
  <si>
    <t>23-09-24-191831.291-948.jpg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</si>
</sst>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b/>
      <color theme="1"/>
      <name val="Arial"/>
      <scheme val="minor"/>
    </font>
    <font>
      <color rgb="FFFFFFFF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000000"/>
        <bgColor rgb="FF000000"/>
      </patternFill>
    </fill>
    <fill>
      <patternFill patternType="solid">
        <fgColor rgb="FF3D85C6"/>
        <bgColor rgb="FF3D85C6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CC0000"/>
        <bgColor rgb="FFCC0000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3" numFmtId="0" xfId="0" applyAlignment="1" applyFill="1" applyFont="1">
      <alignment vertical="bottom"/>
    </xf>
    <xf borderId="0" fillId="6" fontId="1" numFmtId="164" xfId="0" applyAlignment="1" applyFont="1" applyNumberFormat="1">
      <alignment readingOrder="0"/>
    </xf>
    <xf borderId="0" fillId="6" fontId="1" numFmtId="0" xfId="0" applyAlignment="1" applyFont="1">
      <alignment readingOrder="0"/>
    </xf>
    <xf borderId="0" fillId="7" fontId="1" numFmtId="0" xfId="0" applyAlignment="1" applyFill="1" applyFont="1">
      <alignment horizontal="center" readingOrder="0"/>
    </xf>
    <xf borderId="0" fillId="7" fontId="1" numFmtId="0" xfId="0" applyAlignment="1" applyFont="1">
      <alignment readingOrder="0"/>
    </xf>
    <xf borderId="0" fillId="7" fontId="1" numFmtId="0" xfId="0" applyFont="1"/>
    <xf borderId="0" fillId="0" fontId="2" numFmtId="0" xfId="0" applyAlignment="1" applyFont="1">
      <alignment horizontal="center" readingOrder="0"/>
    </xf>
    <xf borderId="0" fillId="8" fontId="2" numFmtId="0" xfId="0" applyFill="1" applyFont="1"/>
    <xf borderId="0" fillId="9" fontId="2" numFmtId="0" xfId="0" applyFill="1" applyFont="1"/>
    <xf borderId="0" fillId="8" fontId="4" numFmtId="0" xfId="0" applyFont="1"/>
    <xf borderId="0" fillId="7" fontId="2" numFmtId="0" xfId="0" applyFont="1"/>
    <xf borderId="0" fillId="0" fontId="4" numFmtId="0" xfId="0" applyFont="1"/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5" fontId="1" numFmtId="0" xfId="0" applyAlignment="1" applyFont="1">
      <alignment horizontal="left" readingOrder="0"/>
    </xf>
    <xf borderId="0" fillId="6" fontId="3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5" fontId="1" numFmtId="0" xfId="0" applyAlignment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11" fontId="1" numFmtId="0" xfId="0" applyAlignment="1" applyFill="1" applyFont="1">
      <alignment horizontal="center" readingOrder="0"/>
    </xf>
    <xf borderId="0" fillId="12" fontId="1" numFmtId="0" xfId="0" applyAlignment="1" applyFill="1" applyFont="1">
      <alignment horizontal="center" readingOrder="0"/>
    </xf>
  </cellXfs>
  <cellStyles count="1">
    <cellStyle xfId="0" name="Normal" builtinId="0"/>
  </cellStyles>
  <dxfs count="8">
    <dxf>
      <font>
        <b/>
        <color rgb="FFFFFFFF"/>
      </font>
      <fill>
        <patternFill patternType="solid">
          <fgColor theme="7"/>
          <bgColor theme="7"/>
        </patternFill>
      </fill>
      <border/>
    </dxf>
    <dxf>
      <font>
        <b/>
        <color theme="0"/>
      </font>
      <fill>
        <patternFill patternType="solid">
          <fgColor theme="5"/>
          <bgColor theme="5"/>
        </patternFill>
      </fill>
      <border/>
    </dxf>
    <dxf>
      <font>
        <b/>
        <color theme="0"/>
      </font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  <color theme="0"/>
      </font>
      <fill>
        <patternFill patternType="solid">
          <fgColor rgb="FFEA4335"/>
          <bgColor rgb="FFEA433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9.75"/>
    <col customWidth="1" min="3" max="3" width="8.0"/>
    <col customWidth="1" min="4" max="6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>
        <f>'NI202409_CAP-EC_D01'!K3+'NI202409_CAP-EC_D02'!K3+'NI202409_CAP-EC_D03'!K3</f>
        <v>625</v>
      </c>
      <c r="C2" s="3">
        <f>'NI202409_CAP-EC_D01'!K3</f>
        <v>289</v>
      </c>
      <c r="D2" s="4">
        <f>'NI202409_CAP-EC_D02'!K3</f>
        <v>257</v>
      </c>
      <c r="E2" s="4">
        <f>'NI202409_CAP-EC_D03'!K3</f>
        <v>79</v>
      </c>
      <c r="F2" s="4">
        <v>1.0</v>
      </c>
      <c r="G2" s="4" t="s">
        <v>6</v>
      </c>
    </row>
    <row r="3">
      <c r="A3" s="2">
        <v>2.0</v>
      </c>
      <c r="B3" s="3">
        <f>'NI202409_CAP-EC_D01'!M3+'NI202409_CAP-EC_D02'!M3+'NI202409_CAP-EC_D03'!M3</f>
        <v>752</v>
      </c>
      <c r="C3" s="3">
        <f>'NI202409_CAP-EC_D01'!M3</f>
        <v>324</v>
      </c>
      <c r="D3" s="4">
        <f>'NI202409_CAP-EC_D02'!M3</f>
        <v>362</v>
      </c>
      <c r="E3" s="4">
        <f>'NI202409_CAP-EC_D03'!M3</f>
        <v>66</v>
      </c>
      <c r="F3" s="4">
        <v>1.0</v>
      </c>
      <c r="G3" s="4" t="s">
        <v>6</v>
      </c>
    </row>
    <row r="4">
      <c r="A4" s="2">
        <v>3.0</v>
      </c>
    </row>
    <row r="5">
      <c r="A5" s="2">
        <v>4.0</v>
      </c>
    </row>
    <row r="6">
      <c r="A6" s="2">
        <v>5.0</v>
      </c>
    </row>
    <row r="7">
      <c r="A7" s="2">
        <v>6.0</v>
      </c>
    </row>
    <row r="8">
      <c r="A8" s="2">
        <v>7.0</v>
      </c>
    </row>
    <row r="9">
      <c r="A9" s="2">
        <v>8.0</v>
      </c>
    </row>
    <row r="10">
      <c r="A10" s="2">
        <v>9.0</v>
      </c>
      <c r="B10" s="3">
        <f>'NI202409_CAP-EC_D01'!O3+'NI202409_CAP-EC_D02'!O3+'NI202409_CAP-EC_D03'!O3</f>
        <v>937</v>
      </c>
      <c r="C10" s="3">
        <f>'NI202409_CAP-EC_D01'!O3</f>
        <v>310</v>
      </c>
      <c r="D10" s="4">
        <f>'NI202409_CAP-EC_D02'!O3</f>
        <v>566</v>
      </c>
      <c r="E10" s="4">
        <f>'NI202409_CAP-EC_D03'!O3</f>
        <v>61</v>
      </c>
      <c r="F10" s="4">
        <v>1.0</v>
      </c>
      <c r="G10" s="4" t="s">
        <v>6</v>
      </c>
    </row>
    <row r="11">
      <c r="A11" s="2">
        <v>10.0</v>
      </c>
      <c r="B11" s="3">
        <f>'NI202409_CAP-EC_D01'!Q3+'NI202409_CAP-EC_D02'!Q3+'NI202409_CAP-EC_D03'!Q3</f>
        <v>427</v>
      </c>
      <c r="C11" s="3">
        <f>'NI202409_CAP-EC_D01'!Q3</f>
        <v>105</v>
      </c>
      <c r="D11" s="4">
        <f>'NI202409_CAP-EC_D02'!Q3</f>
        <v>286</v>
      </c>
      <c r="E11" s="4">
        <f>'NI202409_CAP-EC_D03'!Q3</f>
        <v>36</v>
      </c>
      <c r="F11" s="4">
        <v>1.0</v>
      </c>
      <c r="G11" s="4" t="s">
        <v>6</v>
      </c>
    </row>
    <row r="12">
      <c r="A12" s="2">
        <v>11.0</v>
      </c>
    </row>
    <row r="13">
      <c r="A13" s="2">
        <v>12.0</v>
      </c>
    </row>
    <row r="14">
      <c r="A14" s="2">
        <v>13.0</v>
      </c>
      <c r="B14" s="3">
        <f>'NI202409_CAP-EC_D01'!S3+'NI202409_CAP-EC_D02'!S3+'NI202409_CAP-EC_D03'!S3</f>
        <v>1066</v>
      </c>
      <c r="C14" s="3">
        <f>'NI202409_CAP-EC_D01'!S3</f>
        <v>381</v>
      </c>
      <c r="D14" s="4">
        <f>'NI202409_CAP-EC_D02'!S3</f>
        <v>606</v>
      </c>
      <c r="E14" s="4">
        <f>'NI202409_CAP-EC_D03'!S3</f>
        <v>79</v>
      </c>
      <c r="F14" s="4">
        <v>1.0</v>
      </c>
      <c r="G14" s="4" t="s">
        <v>6</v>
      </c>
    </row>
    <row r="15">
      <c r="A15" s="2">
        <v>14.0</v>
      </c>
    </row>
    <row r="16">
      <c r="A16" s="2">
        <v>15.0</v>
      </c>
      <c r="B16" s="3">
        <f>'NI202409_CAP-EC_D01'!U3+'NI202409_CAP-EC_D02'!U3+'NI202409_CAP-EC_D03'!U3</f>
        <v>497</v>
      </c>
      <c r="C16" s="3">
        <f>'NI202409_CAP-EC_D01'!U3</f>
        <v>185</v>
      </c>
      <c r="D16" s="4">
        <f>'NI202409_CAP-EC_D02'!U3</f>
        <v>261</v>
      </c>
      <c r="E16" s="4">
        <f>'NI202409_CAP-EC_D03'!U3</f>
        <v>51</v>
      </c>
      <c r="F16" s="4">
        <v>1.0</v>
      </c>
      <c r="G16" s="4" t="s">
        <v>6</v>
      </c>
    </row>
    <row r="17">
      <c r="A17" s="2">
        <v>16.0</v>
      </c>
    </row>
    <row r="18">
      <c r="A18" s="2">
        <v>17.0</v>
      </c>
    </row>
    <row r="19">
      <c r="A19" s="2">
        <v>18.0</v>
      </c>
    </row>
    <row r="20">
      <c r="A20" s="2">
        <v>19.0</v>
      </c>
    </row>
    <row r="21">
      <c r="A21" s="2">
        <v>20.0</v>
      </c>
    </row>
    <row r="22">
      <c r="A22" s="2">
        <v>21.0</v>
      </c>
    </row>
    <row r="23">
      <c r="A23" s="2">
        <v>22.0</v>
      </c>
    </row>
    <row r="24">
      <c r="A24" s="2">
        <v>23.0</v>
      </c>
    </row>
    <row r="25">
      <c r="A25" s="2">
        <v>24.0</v>
      </c>
    </row>
    <row r="26">
      <c r="A26" s="2">
        <v>25.0</v>
      </c>
    </row>
    <row r="27">
      <c r="A27" s="2">
        <v>26.0</v>
      </c>
      <c r="B27" s="3">
        <f>'SR202204_LDM-S_D01'!J3</f>
        <v>316</v>
      </c>
      <c r="C27" s="3">
        <f>'SR202204_LDM-S_D01'!J3</f>
        <v>316</v>
      </c>
      <c r="D27" s="4"/>
      <c r="E27" s="4"/>
      <c r="F27" s="4">
        <v>1.0</v>
      </c>
      <c r="G27" s="4" t="s">
        <v>7</v>
      </c>
    </row>
    <row r="28">
      <c r="A28" s="2">
        <v>27.0</v>
      </c>
    </row>
    <row r="29">
      <c r="A29" s="2">
        <v>28.0</v>
      </c>
      <c r="B29" s="3">
        <f>'SR202204_LDM-S_D01'!L3</f>
        <v>287</v>
      </c>
      <c r="C29" s="3">
        <f>'SR202204_LDM-S_D01'!L3</f>
        <v>287</v>
      </c>
      <c r="D29" s="4"/>
      <c r="E29" s="4"/>
      <c r="F29" s="4">
        <v>1.0</v>
      </c>
      <c r="G29" s="4" t="s">
        <v>7</v>
      </c>
    </row>
    <row r="30">
      <c r="A30" s="2">
        <v>29.0</v>
      </c>
      <c r="B30" s="3">
        <f>'SR202204_LDM-S_D01'!N3</f>
        <v>198</v>
      </c>
      <c r="C30" s="3">
        <f>'SR202204_LDM-S_D01'!N3</f>
        <v>198</v>
      </c>
      <c r="D30" s="4"/>
      <c r="E30" s="4"/>
      <c r="F30" s="4">
        <v>1.0</v>
      </c>
      <c r="G30" s="4" t="s">
        <v>7</v>
      </c>
    </row>
    <row r="31">
      <c r="A31" s="2">
        <v>30.0</v>
      </c>
      <c r="B31" s="3">
        <f>'SR202204_LDM-S_D01'!P3</f>
        <v>437</v>
      </c>
      <c r="C31" s="3">
        <f>'SR202204_LDM-S_D01'!P3</f>
        <v>437</v>
      </c>
      <c r="D31" s="4"/>
      <c r="E31" s="4"/>
      <c r="F31" s="4">
        <v>1.0</v>
      </c>
      <c r="G31" s="4" t="s">
        <v>7</v>
      </c>
    </row>
    <row r="32">
      <c r="A32" s="2">
        <v>31.0</v>
      </c>
    </row>
    <row r="33">
      <c r="A33" s="2">
        <v>32.0</v>
      </c>
    </row>
    <row r="34">
      <c r="A34" s="2">
        <v>33.0</v>
      </c>
      <c r="B34" s="3">
        <f>'SR202204_LDM-S_D01'!R3</f>
        <v>185</v>
      </c>
      <c r="C34" s="3">
        <f>'SR202204_LDM-S_D01'!R3</f>
        <v>185</v>
      </c>
      <c r="D34" s="4"/>
      <c r="E34" s="4"/>
      <c r="F34" s="4">
        <v>1.0</v>
      </c>
      <c r="G34" s="4" t="s">
        <v>7</v>
      </c>
    </row>
    <row r="35">
      <c r="A35" s="2">
        <v>34.0</v>
      </c>
    </row>
    <row r="36">
      <c r="A36" s="2">
        <v>35.0</v>
      </c>
    </row>
    <row r="37">
      <c r="A37" s="2">
        <v>36.0</v>
      </c>
    </row>
    <row r="38">
      <c r="A38" s="2">
        <v>37.0</v>
      </c>
    </row>
    <row r="39">
      <c r="A39" s="2">
        <v>38.0</v>
      </c>
    </row>
    <row r="40">
      <c r="A40" s="2">
        <v>39.0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8.0"/>
    <col customWidth="1" min="2" max="2" width="16.88"/>
    <col customWidth="1" min="3" max="3" width="10.25"/>
    <col customWidth="1" min="4" max="4" width="6.25"/>
    <col customWidth="1" min="6" max="6" width="5.88"/>
    <col customWidth="1" min="8" max="8" width="6.75"/>
    <col customWidth="1" min="9" max="9" width="10.25"/>
    <col customWidth="1" min="10" max="10" width="4.88"/>
    <col customWidth="1" min="11" max="11" width="14.5"/>
    <col customWidth="1" min="12" max="12" width="5.25"/>
    <col customWidth="1" min="13" max="13" width="10.75"/>
    <col customWidth="1" min="14" max="14" width="8.25"/>
    <col customWidth="1" min="15" max="15" width="11.5"/>
    <col customWidth="1" min="16" max="16" width="4.38"/>
    <col customWidth="1" min="17" max="17" width="10.63"/>
    <col customWidth="1" min="18" max="18" width="5.0"/>
    <col customWidth="1" min="19" max="19" width="4.63"/>
    <col customWidth="1" min="20" max="20" width="5.0"/>
    <col customWidth="1" min="21" max="21" width="5.75"/>
    <col customWidth="1" min="22" max="22" width="4.0"/>
    <col customWidth="1" min="23" max="23" width="5.38"/>
  </cols>
  <sheetData>
    <row r="1">
      <c r="A1" s="5" t="s">
        <v>8</v>
      </c>
      <c r="B1" s="6" t="s">
        <v>9</v>
      </c>
      <c r="C1" s="7" t="s">
        <v>10</v>
      </c>
      <c r="D1" s="6" t="s">
        <v>11</v>
      </c>
      <c r="E1" s="7" t="s">
        <v>12</v>
      </c>
      <c r="F1" s="6" t="s">
        <v>13</v>
      </c>
      <c r="G1" s="7" t="s">
        <v>14</v>
      </c>
      <c r="H1" s="6" t="s">
        <v>15</v>
      </c>
      <c r="I1" s="8">
        <v>44657.0</v>
      </c>
      <c r="J1" s="6" t="s">
        <v>16</v>
      </c>
      <c r="K1" s="9" t="s">
        <v>17</v>
      </c>
      <c r="L1" s="6" t="s">
        <v>18</v>
      </c>
      <c r="M1" s="9" t="s">
        <v>19</v>
      </c>
      <c r="N1" s="6" t="s">
        <v>20</v>
      </c>
      <c r="O1" s="9">
        <f>COUNTA(A4:A1247)</f>
        <v>1244</v>
      </c>
    </row>
    <row r="2">
      <c r="A2" s="10" t="s">
        <v>21</v>
      </c>
      <c r="B2" s="10" t="s">
        <v>22</v>
      </c>
      <c r="C2" s="10">
        <f>COUNTIF(B4:B1247,"YES")</f>
        <v>926</v>
      </c>
      <c r="D2" s="10" t="s">
        <v>23</v>
      </c>
      <c r="E2" s="10">
        <f>COUNTIF(C4:C1247,"1")</f>
        <v>601</v>
      </c>
      <c r="F2" s="10" t="s">
        <v>24</v>
      </c>
      <c r="G2" s="10">
        <f>COUNTIF(C4:C1247,"2")</f>
        <v>163</v>
      </c>
      <c r="H2" s="10" t="s">
        <v>25</v>
      </c>
      <c r="I2" s="11">
        <f>COUNTIF(C4:C1247,"3")</f>
        <v>153</v>
      </c>
      <c r="J2" s="10" t="s">
        <v>26</v>
      </c>
      <c r="K2" s="11">
        <f>COUNTIF(C4:C1247,"4")</f>
        <v>8</v>
      </c>
      <c r="L2" s="10" t="s">
        <v>27</v>
      </c>
      <c r="M2" s="12">
        <f>COUNTIF(C4:C1247,"5")</f>
        <v>1</v>
      </c>
      <c r="N2" s="10" t="s">
        <v>28</v>
      </c>
      <c r="O2" s="12">
        <f>G2+I2+K2+M2</f>
        <v>325</v>
      </c>
    </row>
    <row r="3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1" t="s">
        <v>37</v>
      </c>
      <c r="J3" s="12">
        <f>COUNTIF(D4:I1247,"26")</f>
        <v>316</v>
      </c>
      <c r="K3" s="11" t="s">
        <v>38</v>
      </c>
      <c r="L3" s="12">
        <f>COUNTIF(D4:I1247,"28")</f>
        <v>287</v>
      </c>
      <c r="M3" s="11" t="s">
        <v>39</v>
      </c>
      <c r="N3" s="12">
        <f>COUNTIF(D4:I1247,"29")</f>
        <v>198</v>
      </c>
      <c r="O3" s="11" t="s">
        <v>40</v>
      </c>
      <c r="P3" s="12">
        <f>COUNTIF(D4:I1247,"30")</f>
        <v>437</v>
      </c>
      <c r="Q3" s="11" t="s">
        <v>41</v>
      </c>
      <c r="R3" s="12">
        <f>COUNTIF(D4:I1247,"33")</f>
        <v>185</v>
      </c>
    </row>
    <row r="4">
      <c r="A4" s="4" t="s">
        <v>42</v>
      </c>
      <c r="B4" s="13" t="s">
        <v>43</v>
      </c>
      <c r="E4" s="3"/>
      <c r="K4" s="4" t="s">
        <v>44</v>
      </c>
    </row>
    <row r="5">
      <c r="A5" s="4" t="s">
        <v>45</v>
      </c>
      <c r="B5" s="13" t="s">
        <v>43</v>
      </c>
      <c r="E5" s="3"/>
      <c r="K5" s="14" t="str">
        <f t="array" ref="K5:O28">UNIQUE(D4:H1247)</f>
        <v/>
      </c>
      <c r="L5" s="3"/>
      <c r="M5" s="3"/>
      <c r="N5" s="3"/>
      <c r="O5" s="3"/>
    </row>
    <row r="6">
      <c r="A6" s="4" t="s">
        <v>46</v>
      </c>
      <c r="B6" s="13" t="s">
        <v>43</v>
      </c>
      <c r="E6" s="3"/>
      <c r="K6" s="15"/>
      <c r="L6" s="15"/>
      <c r="M6" s="15"/>
      <c r="N6" s="15">
        <v>30.0</v>
      </c>
      <c r="O6" s="15"/>
      <c r="P6" s="16">
        <f t="array" ref="P6">COUNTIF($D$4:$D$1247&amp;"|"&amp;$E$4:$E$1247&amp;"|"&amp;$F$4:$F$1247&amp;"|"&amp;$G$4:$G$1247&amp;"|"&amp;$H$4:$H$1247,$K6&amp;"|"&amp;$L6&amp;"|"&amp;$M6&amp;"|"&amp;$N6&amp;"|"&amp;$O6)</f>
        <v>179</v>
      </c>
      <c r="S6" s="4" t="s">
        <v>32</v>
      </c>
      <c r="T6" s="4" t="s">
        <v>33</v>
      </c>
      <c r="U6" s="4" t="s">
        <v>34</v>
      </c>
      <c r="V6" s="4" t="s">
        <v>35</v>
      </c>
      <c r="W6" s="4" t="s">
        <v>36</v>
      </c>
    </row>
    <row r="7">
      <c r="A7" s="4" t="s">
        <v>47</v>
      </c>
      <c r="B7" s="13" t="s">
        <v>48</v>
      </c>
      <c r="C7" s="4">
        <v>1.0</v>
      </c>
      <c r="E7" s="3"/>
      <c r="G7" s="4">
        <v>30.0</v>
      </c>
      <c r="K7" s="15"/>
      <c r="L7" s="15">
        <v>28.0</v>
      </c>
      <c r="M7" s="15"/>
      <c r="N7" s="15"/>
      <c r="O7" s="15"/>
      <c r="P7" s="16">
        <f t="array" ref="P7">COUNTIF($D$4:$D$1247&amp;"|"&amp;$E$4:$E$1247&amp;"|"&amp;$F$4:$F$1247&amp;"|"&amp;$G$4:$G$1247&amp;"|"&amp;$H$4:$H$1247,$K7&amp;"|"&amp;$L7&amp;"|"&amp;$M7&amp;"|"&amp;$N7&amp;"|"&amp;$O7)</f>
        <v>94</v>
      </c>
      <c r="R7" s="4" t="s">
        <v>32</v>
      </c>
      <c r="S7" s="17"/>
      <c r="T7" s="3">
        <f t="array" ref="T7">SUM((MMULT(--(K6:O28=26),TRANSPOSE(COLUMN(K6:O6)^0))&gt;0)*(MMULT(--(K6:O28=28),TRANSPOSE(COLUMN(K6:O6)^0))&gt;0)*P6:P28)</f>
        <v>180</v>
      </c>
      <c r="U7" s="3">
        <f t="array" ref="U7">SUM((MMULT(--(K6:O28=26),TRANSPOSE(COLUMN(K6:O6)^0))&gt;0)*(MMULT(--(K6:O28=29),TRANSPOSE(COLUMN(K6:O6)^0))&gt;0)*P6:P28)</f>
        <v>26</v>
      </c>
      <c r="V7" s="3">
        <f t="array" ref="V7">SUM((MMULT(--(K6:O28=26),TRANSPOSE(COLUMN(K6:O6)^0))&gt;0)*(MMULT(--(K6:O28=30),TRANSPOSE(COLUMN(K6:O6)^0))&gt;0)*P6:P28)</f>
        <v>249</v>
      </c>
      <c r="W7" s="3">
        <f t="array" ref="W7">SUM((MMULT(--(K6:O28=26),TRANSPOSE(COLUMN(K6:O6)^0))&gt;0)*(MMULT(--(K6:O28=33),TRANSPOSE(COLUMN(K6:O6)^0))&gt;0)*P6:P28)</f>
        <v>19</v>
      </c>
    </row>
    <row r="8">
      <c r="A8" s="4" t="s">
        <v>49</v>
      </c>
      <c r="B8" s="13" t="s">
        <v>48</v>
      </c>
      <c r="C8" s="4">
        <v>1.0</v>
      </c>
      <c r="E8" s="3"/>
      <c r="F8" s="4"/>
      <c r="G8" s="4">
        <v>30.0</v>
      </c>
      <c r="K8" s="15">
        <v>26.0</v>
      </c>
      <c r="L8" s="15"/>
      <c r="M8" s="15"/>
      <c r="N8" s="15"/>
      <c r="O8" s="15"/>
      <c r="P8" s="16">
        <f t="array" ref="P8">COUNTIF($D$4:$D$1247&amp;"|"&amp;$E$4:$E$1247&amp;"|"&amp;$F$4:$F$1247&amp;"|"&amp;$G$4:$G$1247&amp;"|"&amp;$H$4:$H$1247,$K8&amp;"|"&amp;$L8&amp;"|"&amp;$M8&amp;"|"&amp;$N8&amp;"|"&amp;$O8)</f>
        <v>14</v>
      </c>
      <c r="R8" s="4" t="s">
        <v>33</v>
      </c>
      <c r="S8" s="17"/>
      <c r="T8" s="17"/>
      <c r="U8" s="3">
        <f t="array" ref="U8">SUM((MMULT(--(K6:O28=28),TRANSPOSE(COLUMN(K6:O6)^0))&gt;0)*(MMULT(--(K6:O28=29),TRANSPOSE(COLUMN(K6:O6)^0))&gt;0)*P6:P28)</f>
        <v>6</v>
      </c>
      <c r="V8" s="3">
        <f t="array" ref="V8">SUM((MMULT(--(K6:O28=28),TRANSPOSE(COLUMN(K6:O6)^0))&gt;0)*(MMULT(--(K6:O28=30),TRANSPOSE(COLUMN(K6:O6)^0))&gt;0)*P6:P28)</f>
        <v>140</v>
      </c>
      <c r="W8" s="3">
        <f t="array" ref="W8">SUM((MMULT(--(K6:O28=28),TRANSPOSE(COLUMN(K6:O6)^0))&gt;0)*(MMULT(--(K6:O28=33),TRANSPOSE(COLUMN(K6:O6)^0))&gt;0)*P6:P28)</f>
        <v>17</v>
      </c>
    </row>
    <row r="9">
      <c r="A9" s="4" t="s">
        <v>50</v>
      </c>
      <c r="B9" s="13" t="s">
        <v>48</v>
      </c>
      <c r="C9" s="4">
        <v>1.0</v>
      </c>
      <c r="E9" s="3"/>
      <c r="G9" s="4">
        <v>30.0</v>
      </c>
      <c r="K9" s="15">
        <v>26.0</v>
      </c>
      <c r="L9" s="15">
        <v>28.0</v>
      </c>
      <c r="M9" s="15"/>
      <c r="N9" s="15"/>
      <c r="O9" s="15"/>
      <c r="P9" s="16">
        <f t="array" ref="P9">COUNTIF($D$4:$D$1247&amp;"|"&amp;$E$4:$E$1247&amp;"|"&amp;$F$4:$F$1247&amp;"|"&amp;$G$4:$G$1247&amp;"|"&amp;$H$4:$H$1247,$K9&amp;"|"&amp;$L9&amp;"|"&amp;$M9&amp;"|"&amp;$N9&amp;"|"&amp;$O9)</f>
        <v>38</v>
      </c>
      <c r="R9" s="4" t="s">
        <v>34</v>
      </c>
      <c r="S9" s="17"/>
      <c r="T9" s="17"/>
      <c r="U9" s="17"/>
      <c r="V9" s="3">
        <f t="array" ref="V9">SUM((MMULT(--(K6:O28=29),TRANSPOSE(COLUMN(K6:O6)^0))&gt;0)*(MMULT(--(K6:O28=30),TRANSPOSE(COLUMN(K6:O6)^0))&gt;0)*P6:P28)</f>
        <v>28</v>
      </c>
      <c r="W9" s="3">
        <f t="array" ref="W9">SUM((MMULT(--(K6:O28=29),TRANSPOSE(COLUMN(K6:O6)^0))&gt;0)*(MMULT(--(K6:O28=33),TRANSPOSE(COLUMN(K6:O6)^0))&gt;0)*P6:P28)</f>
        <v>7</v>
      </c>
    </row>
    <row r="10">
      <c r="A10" s="4" t="s">
        <v>51</v>
      </c>
      <c r="B10" s="13" t="s">
        <v>48</v>
      </c>
      <c r="C10" s="4">
        <v>1.0</v>
      </c>
      <c r="E10" s="3"/>
      <c r="G10" s="4">
        <v>30.0</v>
      </c>
      <c r="K10" s="15">
        <v>26.0</v>
      </c>
      <c r="L10" s="15"/>
      <c r="M10" s="15"/>
      <c r="N10" s="15">
        <v>30.0</v>
      </c>
      <c r="O10" s="15"/>
      <c r="P10" s="16">
        <f t="array" ref="P10">COUNTIF($D$4:$D$1247&amp;"|"&amp;$E$4:$E$1247&amp;"|"&amp;$F$4:$F$1247&amp;"|"&amp;$G$4:$G$1247&amp;"|"&amp;$H$4:$H$1247,$K10&amp;"|"&amp;$L10&amp;"|"&amp;$M10&amp;"|"&amp;$N10&amp;"|"&amp;$O10)</f>
        <v>92</v>
      </c>
      <c r="R10" s="4" t="s">
        <v>35</v>
      </c>
      <c r="S10" s="17"/>
      <c r="T10" s="17"/>
      <c r="U10" s="17"/>
      <c r="V10" s="17"/>
      <c r="W10" s="3">
        <f t="array" ref="W10">SUM((MMULT(--(K6:O28=30),TRANSPOSE(COLUMN(K6:O6)^0))&gt;0)*(MMULT(--(K6:O28=33),TRANSPOSE(COLUMN(K6:O6)^0))&gt;0)*P6:P28)</f>
        <v>8</v>
      </c>
    </row>
    <row r="11">
      <c r="A11" s="4" t="s">
        <v>52</v>
      </c>
      <c r="B11" s="13" t="s">
        <v>48</v>
      </c>
      <c r="C11" s="4">
        <v>1.0</v>
      </c>
      <c r="E11" s="3"/>
      <c r="G11" s="4">
        <v>30.0</v>
      </c>
      <c r="K11" s="15"/>
      <c r="L11" s="15"/>
      <c r="M11" s="15">
        <v>29.0</v>
      </c>
      <c r="N11" s="15"/>
      <c r="O11" s="15"/>
      <c r="P11" s="16">
        <f t="array" ref="P11">COUNTIF($D$4:$D$1247&amp;"|"&amp;$E$4:$E$1247&amp;"|"&amp;$F$4:$F$1247&amp;"|"&amp;$G$4:$G$1247&amp;"|"&amp;$H$4:$H$1247,$K11&amp;"|"&amp;$L11&amp;"|"&amp;$M11&amp;"|"&amp;$N11&amp;"|"&amp;$O11)</f>
        <v>163</v>
      </c>
      <c r="R11" s="4" t="s">
        <v>36</v>
      </c>
      <c r="S11" s="17"/>
      <c r="T11" s="17"/>
      <c r="U11" s="17"/>
      <c r="V11" s="17"/>
      <c r="W11" s="17"/>
    </row>
    <row r="12">
      <c r="A12" s="4" t="s">
        <v>53</v>
      </c>
      <c r="B12" s="13" t="s">
        <v>48</v>
      </c>
      <c r="C12" s="4">
        <v>1.0</v>
      </c>
      <c r="E12" s="3"/>
      <c r="G12" s="4">
        <v>30.0</v>
      </c>
      <c r="K12" s="15"/>
      <c r="L12" s="15"/>
      <c r="M12" s="15"/>
      <c r="N12" s="15"/>
      <c r="O12" s="15">
        <v>33.0</v>
      </c>
      <c r="P12" s="16">
        <f t="array" ref="P12">COUNTIF($D$4:$D$1247&amp;"|"&amp;$E$4:$E$1247&amp;"|"&amp;$F$4:$F$1247&amp;"|"&amp;$G$4:$G$1247&amp;"|"&amp;$H$4:$H$1247,$K12&amp;"|"&amp;$L12&amp;"|"&amp;$M12&amp;"|"&amp;$N12&amp;"|"&amp;$O12)</f>
        <v>151</v>
      </c>
    </row>
    <row r="13">
      <c r="A13" s="4" t="s">
        <v>54</v>
      </c>
      <c r="B13" s="13" t="s">
        <v>48</v>
      </c>
      <c r="C13" s="4">
        <v>1.0</v>
      </c>
      <c r="E13" s="3"/>
      <c r="G13" s="4">
        <v>30.0</v>
      </c>
      <c r="K13" s="15"/>
      <c r="L13" s="15">
        <v>28.0</v>
      </c>
      <c r="M13" s="15"/>
      <c r="N13" s="15">
        <v>30.0</v>
      </c>
      <c r="O13" s="15"/>
      <c r="P13" s="16">
        <f t="array" ref="P13">COUNTIF($D$4:$D$1247&amp;"|"&amp;$E$4:$E$1247&amp;"|"&amp;$F$4:$F$1247&amp;"|"&amp;$G$4:$G$1247&amp;"|"&amp;$H$4:$H$1247,$K13&amp;"|"&amp;$L13&amp;"|"&amp;$M13&amp;"|"&amp;$N13&amp;"|"&amp;$O13)</f>
        <v>2</v>
      </c>
    </row>
    <row r="14">
      <c r="A14" s="4" t="s">
        <v>55</v>
      </c>
      <c r="B14" s="13" t="s">
        <v>48</v>
      </c>
      <c r="C14" s="4">
        <v>1.0</v>
      </c>
      <c r="E14" s="3"/>
      <c r="G14" s="4">
        <v>30.0</v>
      </c>
      <c r="K14" s="15">
        <v>26.0</v>
      </c>
      <c r="L14" s="15">
        <v>28.0</v>
      </c>
      <c r="M14" s="15"/>
      <c r="N14" s="15">
        <v>30.0</v>
      </c>
      <c r="O14" s="15"/>
      <c r="P14" s="16">
        <f t="array" ref="P14">COUNTIF($D$4:$D$1247&amp;"|"&amp;$E$4:$E$1247&amp;"|"&amp;$F$4:$F$1247&amp;"|"&amp;$G$4:$G$1247&amp;"|"&amp;$H$4:$H$1247,$K14&amp;"|"&amp;$L14&amp;"|"&amp;$M14&amp;"|"&amp;$N14&amp;"|"&amp;$O14)</f>
        <v>131</v>
      </c>
    </row>
    <row r="15">
      <c r="A15" s="4" t="s">
        <v>56</v>
      </c>
      <c r="B15" s="13" t="s">
        <v>48</v>
      </c>
      <c r="C15" s="4">
        <v>1.0</v>
      </c>
      <c r="E15" s="3"/>
      <c r="G15" s="4">
        <v>30.0</v>
      </c>
      <c r="K15" s="15">
        <v>26.0</v>
      </c>
      <c r="L15" s="15"/>
      <c r="M15" s="15"/>
      <c r="N15" s="15">
        <v>30.0</v>
      </c>
      <c r="O15" s="15">
        <v>33.0</v>
      </c>
      <c r="P15" s="16">
        <f t="array" ref="P15">COUNTIF($D$4:$D$1247&amp;"|"&amp;$E$4:$E$1247&amp;"|"&amp;$F$4:$F$1247&amp;"|"&amp;$G$4:$G$1247&amp;"|"&amp;$H$4:$H$1247,$K15&amp;"|"&amp;$L15&amp;"|"&amp;$M15&amp;"|"&amp;$N15&amp;"|"&amp;$O15)</f>
        <v>3</v>
      </c>
    </row>
    <row r="16">
      <c r="A16" s="4" t="s">
        <v>57</v>
      </c>
      <c r="B16" s="13" t="s">
        <v>48</v>
      </c>
      <c r="C16" s="4">
        <v>1.0</v>
      </c>
      <c r="E16" s="3"/>
      <c r="G16" s="4">
        <v>30.0</v>
      </c>
      <c r="K16" s="15"/>
      <c r="L16" s="15"/>
      <c r="M16" s="15">
        <v>29.0</v>
      </c>
      <c r="N16" s="15"/>
      <c r="O16" s="15">
        <v>33.0</v>
      </c>
      <c r="P16" s="16">
        <f t="array" ref="P16">COUNTIF($D$4:$D$1247&amp;"|"&amp;$E$4:$E$1247&amp;"|"&amp;$F$4:$F$1247&amp;"|"&amp;$G$4:$G$1247&amp;"|"&amp;$H$4:$H$1247,$K16&amp;"|"&amp;$L16&amp;"|"&amp;$M16&amp;"|"&amp;$N16&amp;"|"&amp;$O16)</f>
        <v>3</v>
      </c>
    </row>
    <row r="17">
      <c r="A17" s="4" t="s">
        <v>58</v>
      </c>
      <c r="B17" s="13" t="s">
        <v>48</v>
      </c>
      <c r="C17" s="4">
        <v>1.0</v>
      </c>
      <c r="E17" s="3"/>
      <c r="G17" s="4">
        <v>30.0</v>
      </c>
      <c r="K17" s="15">
        <v>26.0</v>
      </c>
      <c r="L17" s="15"/>
      <c r="M17" s="15"/>
      <c r="N17" s="15"/>
      <c r="O17" s="15">
        <v>33.0</v>
      </c>
      <c r="P17" s="16">
        <f t="array" ref="P17">COUNTIF($D$4:$D$1247&amp;"|"&amp;$E$4:$E$1247&amp;"|"&amp;$F$4:$F$1247&amp;"|"&amp;$G$4:$G$1247&amp;"|"&amp;$H$4:$H$1247,$K17&amp;"|"&amp;$L17&amp;"|"&amp;$M17&amp;"|"&amp;$N17&amp;"|"&amp;$O17)</f>
        <v>7</v>
      </c>
    </row>
    <row r="18">
      <c r="A18" s="4" t="s">
        <v>59</v>
      </c>
      <c r="B18" s="13" t="s">
        <v>48</v>
      </c>
      <c r="C18" s="4">
        <v>1.0</v>
      </c>
      <c r="E18" s="3"/>
      <c r="G18" s="4">
        <v>30.0</v>
      </c>
      <c r="K18" s="15"/>
      <c r="L18" s="15">
        <v>28.0</v>
      </c>
      <c r="M18" s="15"/>
      <c r="N18" s="15"/>
      <c r="O18" s="15">
        <v>33.0</v>
      </c>
      <c r="P18" s="16">
        <f t="array" ref="P18">COUNTIF($D$4:$D$1247&amp;"|"&amp;$E$4:$E$1247&amp;"|"&amp;$F$4:$F$1247&amp;"|"&amp;$G$4:$G$1247&amp;"|"&amp;$H$4:$H$1247,$K18&amp;"|"&amp;$L18&amp;"|"&amp;$M18&amp;"|"&amp;$N18&amp;"|"&amp;$O18)</f>
        <v>11</v>
      </c>
    </row>
    <row r="19">
      <c r="A19" s="4" t="s">
        <v>60</v>
      </c>
      <c r="B19" s="13" t="s">
        <v>48</v>
      </c>
      <c r="C19" s="4">
        <v>1.0</v>
      </c>
      <c r="E19" s="3"/>
      <c r="G19" s="4">
        <v>30.0</v>
      </c>
      <c r="K19" s="15">
        <v>26.0</v>
      </c>
      <c r="L19" s="15">
        <v>28.0</v>
      </c>
      <c r="M19" s="15"/>
      <c r="N19" s="15"/>
      <c r="O19" s="15">
        <v>33.0</v>
      </c>
      <c r="P19" s="16">
        <f t="array" ref="P19">COUNTIF($D$4:$D$1247&amp;"|"&amp;$E$4:$E$1247&amp;"|"&amp;$F$4:$F$1247&amp;"|"&amp;$G$4:$G$1247&amp;"|"&amp;$H$4:$H$1247,$K19&amp;"|"&amp;$L19&amp;"|"&amp;$M19&amp;"|"&amp;$N19&amp;"|"&amp;$O19)</f>
        <v>4</v>
      </c>
    </row>
    <row r="20">
      <c r="A20" s="4" t="s">
        <v>61</v>
      </c>
      <c r="B20" s="13" t="s">
        <v>48</v>
      </c>
      <c r="C20" s="4">
        <v>1.0</v>
      </c>
      <c r="E20" s="3"/>
      <c r="G20" s="4">
        <v>30.0</v>
      </c>
      <c r="K20" s="15">
        <v>26.0</v>
      </c>
      <c r="L20" s="15">
        <v>28.0</v>
      </c>
      <c r="M20" s="15"/>
      <c r="N20" s="15">
        <v>30.0</v>
      </c>
      <c r="O20" s="15">
        <v>33.0</v>
      </c>
      <c r="P20" s="16">
        <f t="array" ref="P20">COUNTIF($D$4:$D$1247&amp;"|"&amp;$E$4:$E$1247&amp;"|"&amp;$F$4:$F$1247&amp;"|"&amp;$G$4:$G$1247&amp;"|"&amp;$H$4:$H$1247,$K20&amp;"|"&amp;$L20&amp;"|"&amp;$M20&amp;"|"&amp;$N20&amp;"|"&amp;$O20)</f>
        <v>1</v>
      </c>
    </row>
    <row r="21">
      <c r="A21" s="4" t="s">
        <v>62</v>
      </c>
      <c r="B21" s="13" t="s">
        <v>43</v>
      </c>
      <c r="E21" s="3"/>
      <c r="K21" s="15">
        <v>26.0</v>
      </c>
      <c r="L21" s="15"/>
      <c r="M21" s="15">
        <v>29.0</v>
      </c>
      <c r="N21" s="15"/>
      <c r="O21" s="15">
        <v>33.0</v>
      </c>
      <c r="P21" s="16">
        <f t="array" ref="P21">COUNTIF($D$4:$D$1247&amp;"|"&amp;$E$4:$E$1247&amp;"|"&amp;$F$4:$F$1247&amp;"|"&amp;$G$4:$G$1247&amp;"|"&amp;$H$4:$H$1247,$K21&amp;"|"&amp;$L21&amp;"|"&amp;$M21&amp;"|"&amp;$N21&amp;"|"&amp;$O21)</f>
        <v>1</v>
      </c>
    </row>
    <row r="22">
      <c r="A22" s="4" t="s">
        <v>63</v>
      </c>
      <c r="B22" s="13" t="s">
        <v>43</v>
      </c>
      <c r="E22" s="3"/>
      <c r="K22" s="15">
        <v>26.0</v>
      </c>
      <c r="L22" s="15"/>
      <c r="M22" s="15">
        <v>29.0</v>
      </c>
      <c r="N22" s="15"/>
      <c r="O22" s="15"/>
      <c r="P22" s="16">
        <f t="array" ref="P22">COUNTIF($D$4:$D$1247&amp;"|"&amp;$E$4:$E$1247&amp;"|"&amp;$F$4:$F$1247&amp;"|"&amp;$G$4:$G$1247&amp;"|"&amp;$H$4:$H$1247,$K22&amp;"|"&amp;$L22&amp;"|"&amp;$M22&amp;"|"&amp;$N22&amp;"|"&amp;$O22)</f>
        <v>3</v>
      </c>
    </row>
    <row r="23">
      <c r="A23" s="4" t="s">
        <v>64</v>
      </c>
      <c r="B23" s="13" t="s">
        <v>43</v>
      </c>
      <c r="E23" s="3"/>
      <c r="K23" s="15">
        <v>26.0</v>
      </c>
      <c r="L23" s="15">
        <v>28.0</v>
      </c>
      <c r="M23" s="15">
        <v>29.0</v>
      </c>
      <c r="N23" s="15">
        <v>30.0</v>
      </c>
      <c r="O23" s="15"/>
      <c r="P23" s="16">
        <f t="array" ref="P23">COUNTIF($D$4:$D$1247&amp;"|"&amp;$E$4:$E$1247&amp;"|"&amp;$F$4:$F$1247&amp;"|"&amp;$G$4:$G$1247&amp;"|"&amp;$H$4:$H$1247,$K23&amp;"|"&amp;$L23&amp;"|"&amp;$M23&amp;"|"&amp;$N23&amp;"|"&amp;$O23)</f>
        <v>5</v>
      </c>
    </row>
    <row r="24">
      <c r="A24" s="4" t="s">
        <v>65</v>
      </c>
      <c r="B24" s="13" t="s">
        <v>43</v>
      </c>
      <c r="E24" s="3"/>
      <c r="K24" s="15">
        <v>26.0</v>
      </c>
      <c r="L24" s="15"/>
      <c r="M24" s="15">
        <v>29.0</v>
      </c>
      <c r="N24" s="15">
        <v>30.0</v>
      </c>
      <c r="O24" s="15"/>
      <c r="P24" s="16">
        <f t="array" ref="P24">COUNTIF($D$4:$D$1247&amp;"|"&amp;$E$4:$E$1247&amp;"|"&amp;$F$4:$F$1247&amp;"|"&amp;$G$4:$G$1247&amp;"|"&amp;$H$4:$H$1247,$K24&amp;"|"&amp;$L24&amp;"|"&amp;$M24&amp;"|"&amp;$N24&amp;"|"&amp;$O24)</f>
        <v>14</v>
      </c>
    </row>
    <row r="25">
      <c r="A25" s="4" t="s">
        <v>66</v>
      </c>
      <c r="B25" s="13" t="s">
        <v>43</v>
      </c>
      <c r="E25" s="3"/>
      <c r="K25" s="15">
        <v>26.0</v>
      </c>
      <c r="L25" s="15">
        <v>28.0</v>
      </c>
      <c r="M25" s="15">
        <v>29.0</v>
      </c>
      <c r="N25" s="15">
        <v>30.0</v>
      </c>
      <c r="O25" s="15">
        <v>33.0</v>
      </c>
      <c r="P25" s="16">
        <f t="array" ref="P25">COUNTIF($D$4:$D$1247&amp;"|"&amp;$E$4:$E$1247&amp;"|"&amp;$F$4:$F$1247&amp;"|"&amp;$G$4:$G$1247&amp;"|"&amp;$H$4:$H$1247,$K25&amp;"|"&amp;$L25&amp;"|"&amp;$M25&amp;"|"&amp;$N25&amp;"|"&amp;$O25)</f>
        <v>1</v>
      </c>
    </row>
    <row r="26">
      <c r="A26" s="4" t="s">
        <v>67</v>
      </c>
      <c r="B26" s="13" t="s">
        <v>43</v>
      </c>
      <c r="E26" s="3"/>
      <c r="K26" s="15"/>
      <c r="L26" s="15"/>
      <c r="M26" s="15">
        <v>29.0</v>
      </c>
      <c r="N26" s="15">
        <v>30.0</v>
      </c>
      <c r="O26" s="15"/>
      <c r="P26" s="16">
        <f t="array" ref="P26">COUNTIF($D$4:$D$1247&amp;"|"&amp;$E$4:$E$1247&amp;"|"&amp;$F$4:$F$1247&amp;"|"&amp;$G$4:$G$1247&amp;"|"&amp;$H$4:$H$1247,$K26&amp;"|"&amp;$L26&amp;"|"&amp;$M26&amp;"|"&amp;$N26&amp;"|"&amp;$O26)</f>
        <v>6</v>
      </c>
    </row>
    <row r="27">
      <c r="A27" s="4" t="s">
        <v>68</v>
      </c>
      <c r="B27" s="13" t="s">
        <v>43</v>
      </c>
      <c r="E27" s="3"/>
      <c r="K27" s="15">
        <v>26.0</v>
      </c>
      <c r="L27" s="15"/>
      <c r="M27" s="15">
        <v>29.0</v>
      </c>
      <c r="N27" s="15">
        <v>30.0</v>
      </c>
      <c r="O27" s="15">
        <v>33.0</v>
      </c>
      <c r="P27" s="16">
        <f t="array" ref="P27">COUNTIF($D$4:$D$1247&amp;"|"&amp;$E$4:$E$1247&amp;"|"&amp;$F$4:$F$1247&amp;"|"&amp;$G$4:$G$1247&amp;"|"&amp;$H$4:$H$1247,$K27&amp;"|"&amp;$L27&amp;"|"&amp;$M27&amp;"|"&amp;$N27&amp;"|"&amp;$O27)</f>
        <v>2</v>
      </c>
    </row>
    <row r="28">
      <c r="A28" s="4" t="s">
        <v>69</v>
      </c>
      <c r="B28" s="13" t="s">
        <v>43</v>
      </c>
      <c r="E28" s="3"/>
      <c r="K28" s="15"/>
      <c r="L28" s="15"/>
      <c r="M28" s="15"/>
      <c r="N28" s="15">
        <v>30.0</v>
      </c>
      <c r="O28" s="15">
        <v>33.0</v>
      </c>
      <c r="P28" s="16">
        <f t="array" ref="P28">COUNTIF($D$4:$D$1247&amp;"|"&amp;$E$4:$E$1247&amp;"|"&amp;$F$4:$F$1247&amp;"|"&amp;$G$4:$G$1247&amp;"|"&amp;$H$4:$H$1247,$K28&amp;"|"&amp;$L28&amp;"|"&amp;$M28&amp;"|"&amp;$N28&amp;"|"&amp;$O28)</f>
        <v>1</v>
      </c>
    </row>
    <row r="29">
      <c r="A29" s="4" t="s">
        <v>70</v>
      </c>
      <c r="B29" s="13" t="s">
        <v>43</v>
      </c>
      <c r="E29" s="3"/>
      <c r="P29" s="18">
        <f>SUm(P6:P28)</f>
        <v>926</v>
      </c>
    </row>
    <row r="30">
      <c r="A30" s="4" t="s">
        <v>71</v>
      </c>
      <c r="B30" s="13" t="s">
        <v>43</v>
      </c>
      <c r="E30" s="3"/>
      <c r="P30" s="3">
        <f>C2</f>
        <v>926</v>
      </c>
    </row>
    <row r="31">
      <c r="A31" s="4" t="s">
        <v>72</v>
      </c>
      <c r="B31" s="13" t="s">
        <v>48</v>
      </c>
      <c r="C31" s="4">
        <v>1.0</v>
      </c>
      <c r="E31" s="4">
        <v>28.0</v>
      </c>
    </row>
    <row r="32">
      <c r="A32" s="4" t="s">
        <v>73</v>
      </c>
      <c r="B32" s="13" t="s">
        <v>48</v>
      </c>
      <c r="C32" s="4">
        <v>1.0</v>
      </c>
      <c r="E32" s="4">
        <v>28.0</v>
      </c>
    </row>
    <row r="33">
      <c r="A33" s="4" t="s">
        <v>74</v>
      </c>
      <c r="B33" s="13" t="s">
        <v>48</v>
      </c>
      <c r="C33" s="4">
        <v>1.0</v>
      </c>
      <c r="E33" s="4">
        <v>28.0</v>
      </c>
    </row>
    <row r="34">
      <c r="A34" s="4" t="s">
        <v>75</v>
      </c>
      <c r="B34" s="13" t="s">
        <v>48</v>
      </c>
      <c r="C34" s="4">
        <v>1.0</v>
      </c>
      <c r="E34" s="4">
        <v>28.0</v>
      </c>
    </row>
    <row r="35">
      <c r="A35" s="4" t="s">
        <v>76</v>
      </c>
      <c r="B35" s="13" t="s">
        <v>48</v>
      </c>
      <c r="C35" s="4">
        <v>1.0</v>
      </c>
      <c r="E35" s="4">
        <v>28.0</v>
      </c>
    </row>
    <row r="36">
      <c r="A36" s="4" t="s">
        <v>77</v>
      </c>
      <c r="B36" s="13" t="s">
        <v>48</v>
      </c>
      <c r="C36" s="4">
        <v>1.0</v>
      </c>
      <c r="E36" s="4">
        <v>28.0</v>
      </c>
    </row>
    <row r="37">
      <c r="A37" s="4" t="s">
        <v>78</v>
      </c>
      <c r="B37" s="13" t="s">
        <v>48</v>
      </c>
      <c r="C37" s="4">
        <v>1.0</v>
      </c>
      <c r="E37" s="4">
        <v>28.0</v>
      </c>
    </row>
    <row r="38">
      <c r="A38" s="4" t="s">
        <v>79</v>
      </c>
      <c r="B38" s="13" t="s">
        <v>48</v>
      </c>
      <c r="C38" s="4">
        <v>1.0</v>
      </c>
      <c r="E38" s="4">
        <v>28.0</v>
      </c>
    </row>
    <row r="39">
      <c r="A39" s="4" t="s">
        <v>80</v>
      </c>
      <c r="B39" s="13" t="s">
        <v>48</v>
      </c>
      <c r="C39" s="4">
        <v>1.0</v>
      </c>
      <c r="E39" s="4">
        <v>28.0</v>
      </c>
    </row>
    <row r="40">
      <c r="A40" s="4" t="s">
        <v>81</v>
      </c>
      <c r="B40" s="13" t="s">
        <v>48</v>
      </c>
      <c r="C40" s="4">
        <v>1.0</v>
      </c>
      <c r="E40" s="4">
        <v>28.0</v>
      </c>
    </row>
    <row r="41">
      <c r="A41" s="4" t="s">
        <v>82</v>
      </c>
      <c r="B41" s="13" t="s">
        <v>48</v>
      </c>
      <c r="C41" s="4">
        <v>1.0</v>
      </c>
      <c r="E41" s="4">
        <v>28.0</v>
      </c>
    </row>
    <row r="42">
      <c r="A42" s="4" t="s">
        <v>83</v>
      </c>
      <c r="B42" s="13" t="s">
        <v>48</v>
      </c>
      <c r="C42" s="4">
        <v>1.0</v>
      </c>
      <c r="E42" s="4">
        <v>28.0</v>
      </c>
    </row>
    <row r="43">
      <c r="A43" s="4" t="s">
        <v>84</v>
      </c>
      <c r="B43" s="13" t="s">
        <v>48</v>
      </c>
      <c r="C43" s="4">
        <v>1.0</v>
      </c>
      <c r="E43" s="4">
        <v>28.0</v>
      </c>
    </row>
    <row r="44">
      <c r="A44" s="4" t="s">
        <v>85</v>
      </c>
      <c r="B44" s="13" t="s">
        <v>48</v>
      </c>
      <c r="C44" s="4">
        <v>1.0</v>
      </c>
      <c r="E44" s="4">
        <v>28.0</v>
      </c>
    </row>
    <row r="45">
      <c r="A45" s="4" t="s">
        <v>86</v>
      </c>
      <c r="B45" s="13" t="s">
        <v>48</v>
      </c>
      <c r="C45" s="4">
        <v>1.0</v>
      </c>
      <c r="E45" s="4">
        <v>28.0</v>
      </c>
    </row>
    <row r="46">
      <c r="A46" s="4" t="s">
        <v>87</v>
      </c>
      <c r="B46" s="13" t="s">
        <v>48</v>
      </c>
      <c r="C46" s="4">
        <v>1.0</v>
      </c>
      <c r="E46" s="4">
        <v>28.0</v>
      </c>
    </row>
    <row r="47">
      <c r="A47" s="4" t="s">
        <v>88</v>
      </c>
      <c r="B47" s="13" t="s">
        <v>48</v>
      </c>
      <c r="C47" s="4">
        <v>1.0</v>
      </c>
      <c r="E47" s="4">
        <v>28.0</v>
      </c>
    </row>
    <row r="48">
      <c r="A48" s="4" t="s">
        <v>89</v>
      </c>
      <c r="B48" s="13" t="s">
        <v>43</v>
      </c>
      <c r="E48" s="3"/>
    </row>
    <row r="49">
      <c r="A49" s="4" t="s">
        <v>90</v>
      </c>
      <c r="B49" s="13" t="s">
        <v>43</v>
      </c>
      <c r="E49" s="3"/>
    </row>
    <row r="50">
      <c r="A50" s="4" t="s">
        <v>91</v>
      </c>
      <c r="B50" s="13" t="s">
        <v>43</v>
      </c>
      <c r="E50" s="3"/>
    </row>
    <row r="51">
      <c r="A51" s="4" t="s">
        <v>92</v>
      </c>
      <c r="B51" s="13" t="s">
        <v>48</v>
      </c>
      <c r="C51" s="4">
        <v>1.0</v>
      </c>
      <c r="E51" s="3"/>
      <c r="G51" s="4">
        <v>30.0</v>
      </c>
    </row>
    <row r="52">
      <c r="A52" s="4" t="s">
        <v>93</v>
      </c>
      <c r="B52" s="13" t="s">
        <v>48</v>
      </c>
      <c r="C52" s="4">
        <v>1.0</v>
      </c>
      <c r="E52" s="3"/>
      <c r="G52" s="4">
        <v>30.0</v>
      </c>
    </row>
    <row r="53">
      <c r="A53" s="4" t="s">
        <v>94</v>
      </c>
      <c r="B53" s="13" t="s">
        <v>48</v>
      </c>
      <c r="C53" s="4">
        <v>1.0</v>
      </c>
      <c r="E53" s="3"/>
      <c r="G53" s="4">
        <v>30.0</v>
      </c>
    </row>
    <row r="54">
      <c r="A54" s="4" t="s">
        <v>95</v>
      </c>
      <c r="B54" s="13" t="s">
        <v>48</v>
      </c>
      <c r="C54" s="4">
        <v>1.0</v>
      </c>
      <c r="E54" s="3"/>
      <c r="G54" s="4">
        <v>30.0</v>
      </c>
    </row>
    <row r="55">
      <c r="A55" s="4" t="s">
        <v>96</v>
      </c>
      <c r="B55" s="13" t="s">
        <v>43</v>
      </c>
      <c r="E55" s="3"/>
    </row>
    <row r="56">
      <c r="A56" s="4" t="s">
        <v>97</v>
      </c>
      <c r="B56" s="13" t="s">
        <v>43</v>
      </c>
      <c r="E56" s="3"/>
    </row>
    <row r="57">
      <c r="A57" s="4" t="s">
        <v>98</v>
      </c>
      <c r="B57" s="13" t="s">
        <v>43</v>
      </c>
      <c r="E57" s="3"/>
    </row>
    <row r="58">
      <c r="A58" s="4" t="s">
        <v>99</v>
      </c>
      <c r="B58" s="13" t="s">
        <v>43</v>
      </c>
      <c r="E58" s="3"/>
    </row>
    <row r="59">
      <c r="A59" s="4" t="s">
        <v>100</v>
      </c>
      <c r="B59" s="13" t="s">
        <v>48</v>
      </c>
      <c r="C59" s="4">
        <v>1.0</v>
      </c>
      <c r="E59" s="3"/>
      <c r="G59" s="4">
        <v>30.0</v>
      </c>
    </row>
    <row r="60">
      <c r="A60" s="4" t="s">
        <v>101</v>
      </c>
      <c r="B60" s="13" t="s">
        <v>48</v>
      </c>
      <c r="C60" s="4">
        <v>1.0</v>
      </c>
      <c r="E60" s="3"/>
      <c r="G60" s="4">
        <v>30.0</v>
      </c>
    </row>
    <row r="61">
      <c r="A61" s="4" t="s">
        <v>102</v>
      </c>
      <c r="B61" s="13" t="s">
        <v>48</v>
      </c>
      <c r="C61" s="4">
        <v>1.0</v>
      </c>
      <c r="E61" s="3"/>
      <c r="G61" s="4">
        <v>30.0</v>
      </c>
    </row>
    <row r="62">
      <c r="A62" s="4" t="s">
        <v>103</v>
      </c>
      <c r="B62" s="13" t="s">
        <v>48</v>
      </c>
      <c r="C62" s="4">
        <v>1.0</v>
      </c>
      <c r="E62" s="3"/>
      <c r="G62" s="4">
        <v>30.0</v>
      </c>
    </row>
    <row r="63">
      <c r="A63" s="4" t="s">
        <v>104</v>
      </c>
      <c r="B63" s="13" t="s">
        <v>48</v>
      </c>
      <c r="C63" s="4">
        <v>1.0</v>
      </c>
      <c r="E63" s="3"/>
      <c r="G63" s="4">
        <v>30.0</v>
      </c>
    </row>
    <row r="64">
      <c r="A64" s="4" t="s">
        <v>105</v>
      </c>
      <c r="B64" s="13" t="s">
        <v>48</v>
      </c>
      <c r="C64" s="4">
        <v>1.0</v>
      </c>
      <c r="E64" s="3"/>
      <c r="G64" s="4">
        <v>30.0</v>
      </c>
    </row>
    <row r="65">
      <c r="A65" s="4" t="s">
        <v>106</v>
      </c>
      <c r="B65" s="13" t="s">
        <v>48</v>
      </c>
      <c r="C65" s="4">
        <v>1.0</v>
      </c>
      <c r="E65" s="3"/>
      <c r="G65" s="4">
        <v>30.0</v>
      </c>
    </row>
    <row r="66">
      <c r="A66" s="4" t="s">
        <v>107</v>
      </c>
      <c r="B66" s="13" t="s">
        <v>48</v>
      </c>
      <c r="C66" s="4">
        <v>1.0</v>
      </c>
      <c r="E66" s="3"/>
      <c r="G66" s="4">
        <v>30.0</v>
      </c>
    </row>
    <row r="67">
      <c r="A67" s="4" t="s">
        <v>108</v>
      </c>
      <c r="B67" s="13" t="s">
        <v>48</v>
      </c>
      <c r="C67" s="4">
        <v>1.0</v>
      </c>
      <c r="E67" s="3"/>
      <c r="G67" s="4">
        <v>30.0</v>
      </c>
    </row>
    <row r="68">
      <c r="A68" s="4" t="s">
        <v>109</v>
      </c>
      <c r="B68" s="13" t="s">
        <v>48</v>
      </c>
      <c r="C68" s="4">
        <v>1.0</v>
      </c>
      <c r="E68" s="3"/>
      <c r="G68" s="4">
        <v>30.0</v>
      </c>
    </row>
    <row r="69">
      <c r="A69" s="4" t="s">
        <v>110</v>
      </c>
      <c r="B69" s="13" t="s">
        <v>48</v>
      </c>
      <c r="C69" s="4">
        <v>1.0</v>
      </c>
      <c r="E69" s="3"/>
      <c r="G69" s="4">
        <v>30.0</v>
      </c>
    </row>
    <row r="70">
      <c r="A70" s="4" t="s">
        <v>111</v>
      </c>
      <c r="B70" s="13" t="s">
        <v>48</v>
      </c>
      <c r="C70" s="4">
        <v>1.0</v>
      </c>
      <c r="E70" s="3"/>
      <c r="G70" s="4">
        <v>30.0</v>
      </c>
    </row>
    <row r="71">
      <c r="A71" s="4" t="s">
        <v>112</v>
      </c>
      <c r="B71" s="13" t="s">
        <v>43</v>
      </c>
      <c r="E71" s="3"/>
    </row>
    <row r="72">
      <c r="A72" s="4" t="s">
        <v>113</v>
      </c>
      <c r="B72" s="13" t="s">
        <v>43</v>
      </c>
      <c r="E72" s="3"/>
    </row>
    <row r="73">
      <c r="A73" s="4" t="s">
        <v>114</v>
      </c>
      <c r="B73" s="13" t="s">
        <v>43</v>
      </c>
      <c r="E73" s="3"/>
    </row>
    <row r="74">
      <c r="A74" s="4" t="s">
        <v>115</v>
      </c>
      <c r="B74" s="13" t="s">
        <v>43</v>
      </c>
      <c r="E74" s="3"/>
    </row>
    <row r="75">
      <c r="A75" s="4" t="s">
        <v>116</v>
      </c>
      <c r="B75" s="13" t="s">
        <v>43</v>
      </c>
      <c r="E75" s="3"/>
    </row>
    <row r="76">
      <c r="A76" s="4" t="s">
        <v>117</v>
      </c>
      <c r="B76" s="13" t="s">
        <v>43</v>
      </c>
      <c r="E76" s="3"/>
    </row>
    <row r="77">
      <c r="A77" s="4" t="s">
        <v>118</v>
      </c>
      <c r="B77" s="13" t="s">
        <v>43</v>
      </c>
      <c r="E77" s="3"/>
    </row>
    <row r="78">
      <c r="A78" s="4" t="s">
        <v>119</v>
      </c>
      <c r="B78" s="13" t="s">
        <v>43</v>
      </c>
      <c r="E78" s="3"/>
    </row>
    <row r="79">
      <c r="A79" s="4" t="s">
        <v>120</v>
      </c>
      <c r="B79" s="13" t="s">
        <v>43</v>
      </c>
      <c r="E79" s="3"/>
    </row>
    <row r="80">
      <c r="A80" s="4" t="s">
        <v>121</v>
      </c>
      <c r="B80" s="13" t="s">
        <v>43</v>
      </c>
      <c r="E80" s="3"/>
    </row>
    <row r="81">
      <c r="A81" s="4" t="s">
        <v>122</v>
      </c>
      <c r="B81" s="13" t="s">
        <v>43</v>
      </c>
      <c r="E81" s="3"/>
    </row>
    <row r="82">
      <c r="A82" s="4" t="s">
        <v>123</v>
      </c>
      <c r="B82" s="13" t="s">
        <v>43</v>
      </c>
      <c r="E82" s="3"/>
    </row>
    <row r="83">
      <c r="A83" s="4" t="s">
        <v>124</v>
      </c>
      <c r="B83" s="13" t="s">
        <v>43</v>
      </c>
      <c r="E83" s="3"/>
    </row>
    <row r="84">
      <c r="A84" s="4" t="s">
        <v>125</v>
      </c>
      <c r="B84" s="13" t="s">
        <v>43</v>
      </c>
      <c r="E84" s="3"/>
    </row>
    <row r="85">
      <c r="A85" s="4" t="s">
        <v>126</v>
      </c>
      <c r="B85" s="13" t="s">
        <v>43</v>
      </c>
      <c r="E85" s="3"/>
    </row>
    <row r="86">
      <c r="A86" s="4" t="s">
        <v>127</v>
      </c>
      <c r="B86" s="13" t="s">
        <v>43</v>
      </c>
      <c r="E86" s="3"/>
    </row>
    <row r="87">
      <c r="A87" s="4" t="s">
        <v>128</v>
      </c>
      <c r="B87" s="13" t="s">
        <v>43</v>
      </c>
      <c r="E87" s="3"/>
    </row>
    <row r="88">
      <c r="A88" s="4" t="s">
        <v>129</v>
      </c>
      <c r="B88" s="13" t="s">
        <v>43</v>
      </c>
      <c r="E88" s="3"/>
    </row>
    <row r="89">
      <c r="A89" s="4" t="s">
        <v>130</v>
      </c>
      <c r="B89" s="13" t="s">
        <v>48</v>
      </c>
      <c r="C89" s="4">
        <v>1.0</v>
      </c>
      <c r="E89" s="3"/>
      <c r="G89" s="4">
        <v>30.0</v>
      </c>
    </row>
    <row r="90">
      <c r="A90" s="4" t="s">
        <v>131</v>
      </c>
      <c r="B90" s="13" t="s">
        <v>48</v>
      </c>
      <c r="C90" s="4">
        <v>1.0</v>
      </c>
      <c r="E90" s="3"/>
      <c r="G90" s="4">
        <v>30.0</v>
      </c>
    </row>
    <row r="91">
      <c r="A91" s="4" t="s">
        <v>132</v>
      </c>
      <c r="B91" s="13" t="s">
        <v>48</v>
      </c>
      <c r="C91" s="4">
        <v>1.0</v>
      </c>
      <c r="E91" s="3"/>
      <c r="G91" s="4">
        <v>30.0</v>
      </c>
    </row>
    <row r="92">
      <c r="A92" s="4" t="s">
        <v>133</v>
      </c>
      <c r="B92" s="13" t="s">
        <v>48</v>
      </c>
      <c r="C92" s="4">
        <v>1.0</v>
      </c>
      <c r="E92" s="3"/>
      <c r="G92" s="4">
        <v>30.0</v>
      </c>
    </row>
    <row r="93">
      <c r="A93" s="4" t="s">
        <v>134</v>
      </c>
      <c r="B93" s="13" t="s">
        <v>48</v>
      </c>
      <c r="C93" s="4">
        <v>1.0</v>
      </c>
      <c r="E93" s="3"/>
      <c r="G93" s="4">
        <v>30.0</v>
      </c>
    </row>
    <row r="94">
      <c r="A94" s="4" t="s">
        <v>135</v>
      </c>
      <c r="B94" s="13" t="s">
        <v>48</v>
      </c>
      <c r="C94" s="4">
        <v>1.0</v>
      </c>
      <c r="E94" s="3"/>
      <c r="G94" s="4">
        <v>30.0</v>
      </c>
    </row>
    <row r="95">
      <c r="A95" s="4" t="s">
        <v>136</v>
      </c>
      <c r="B95" s="13" t="s">
        <v>48</v>
      </c>
      <c r="C95" s="4">
        <v>1.0</v>
      </c>
      <c r="E95" s="3"/>
      <c r="G95" s="4">
        <v>30.0</v>
      </c>
    </row>
    <row r="96">
      <c r="A96" s="4" t="s">
        <v>137</v>
      </c>
      <c r="B96" s="13" t="s">
        <v>48</v>
      </c>
      <c r="C96" s="4">
        <v>1.0</v>
      </c>
      <c r="E96" s="3"/>
      <c r="G96" s="4">
        <v>30.0</v>
      </c>
    </row>
    <row r="97">
      <c r="A97" s="4" t="s">
        <v>138</v>
      </c>
      <c r="B97" s="13" t="s">
        <v>48</v>
      </c>
      <c r="C97" s="4">
        <v>1.0</v>
      </c>
      <c r="E97" s="3"/>
      <c r="G97" s="4">
        <v>30.0</v>
      </c>
    </row>
    <row r="98">
      <c r="A98" s="4" t="s">
        <v>139</v>
      </c>
      <c r="B98" s="13" t="s">
        <v>48</v>
      </c>
      <c r="C98" s="4">
        <v>1.0</v>
      </c>
      <c r="E98" s="3"/>
      <c r="G98" s="4">
        <v>30.0</v>
      </c>
    </row>
    <row r="99">
      <c r="A99" s="4" t="s">
        <v>140</v>
      </c>
      <c r="B99" s="13" t="s">
        <v>48</v>
      </c>
      <c r="C99" s="4">
        <v>1.0</v>
      </c>
      <c r="E99" s="3"/>
      <c r="G99" s="4">
        <v>30.0</v>
      </c>
    </row>
    <row r="100">
      <c r="A100" s="4" t="s">
        <v>141</v>
      </c>
      <c r="B100" s="13" t="s">
        <v>48</v>
      </c>
      <c r="C100" s="4">
        <v>1.0</v>
      </c>
      <c r="E100" s="3"/>
      <c r="G100" s="4">
        <v>30.0</v>
      </c>
    </row>
    <row r="101">
      <c r="A101" s="4" t="s">
        <v>142</v>
      </c>
      <c r="B101" s="13" t="s">
        <v>48</v>
      </c>
      <c r="C101" s="4">
        <v>1.0</v>
      </c>
      <c r="E101" s="3"/>
      <c r="G101" s="4">
        <v>30.0</v>
      </c>
    </row>
    <row r="102">
      <c r="A102" s="4" t="s">
        <v>143</v>
      </c>
      <c r="B102" s="13" t="s">
        <v>48</v>
      </c>
      <c r="C102" s="4">
        <v>1.0</v>
      </c>
      <c r="D102" s="4">
        <v>26.0</v>
      </c>
      <c r="E102" s="3"/>
    </row>
    <row r="103">
      <c r="A103" s="4" t="s">
        <v>144</v>
      </c>
      <c r="B103" s="13" t="s">
        <v>48</v>
      </c>
      <c r="C103" s="4">
        <v>2.0</v>
      </c>
      <c r="D103" s="4">
        <v>26.0</v>
      </c>
      <c r="E103" s="4">
        <v>28.0</v>
      </c>
    </row>
    <row r="104">
      <c r="A104" s="4" t="s">
        <v>145</v>
      </c>
      <c r="B104" s="13" t="s">
        <v>48</v>
      </c>
      <c r="C104" s="4">
        <v>2.0</v>
      </c>
      <c r="D104" s="4">
        <v>26.0</v>
      </c>
      <c r="E104" s="4">
        <v>28.0</v>
      </c>
    </row>
    <row r="105">
      <c r="A105" s="4" t="s">
        <v>146</v>
      </c>
      <c r="B105" s="13" t="s">
        <v>48</v>
      </c>
      <c r="C105" s="4">
        <v>2.0</v>
      </c>
      <c r="D105" s="4">
        <v>26.0</v>
      </c>
      <c r="E105" s="4">
        <v>28.0</v>
      </c>
    </row>
    <row r="106">
      <c r="A106" s="4" t="s">
        <v>147</v>
      </c>
      <c r="B106" s="13" t="s">
        <v>48</v>
      </c>
      <c r="C106" s="4">
        <v>2.0</v>
      </c>
      <c r="D106" s="4">
        <v>26.0</v>
      </c>
      <c r="E106" s="4">
        <v>28.0</v>
      </c>
    </row>
    <row r="107">
      <c r="A107" s="4" t="s">
        <v>148</v>
      </c>
      <c r="B107" s="13" t="s">
        <v>48</v>
      </c>
      <c r="C107" s="4">
        <v>1.0</v>
      </c>
      <c r="D107" s="4">
        <v>26.0</v>
      </c>
      <c r="E107" s="3"/>
    </row>
    <row r="108">
      <c r="A108" s="4" t="s">
        <v>149</v>
      </c>
      <c r="B108" s="13" t="s">
        <v>48</v>
      </c>
      <c r="C108" s="4">
        <v>2.0</v>
      </c>
      <c r="D108" s="4">
        <v>26.0</v>
      </c>
      <c r="E108" s="4">
        <v>28.0</v>
      </c>
    </row>
    <row r="109">
      <c r="A109" s="4" t="s">
        <v>150</v>
      </c>
      <c r="B109" s="13" t="s">
        <v>48</v>
      </c>
      <c r="C109" s="4">
        <v>2.0</v>
      </c>
      <c r="D109" s="4">
        <v>26.0</v>
      </c>
      <c r="E109" s="4">
        <v>28.0</v>
      </c>
    </row>
    <row r="110">
      <c r="A110" s="4" t="s">
        <v>151</v>
      </c>
      <c r="B110" s="13" t="s">
        <v>48</v>
      </c>
      <c r="C110" s="4">
        <v>1.0</v>
      </c>
      <c r="E110" s="4">
        <v>28.0</v>
      </c>
    </row>
    <row r="111">
      <c r="A111" s="4" t="s">
        <v>152</v>
      </c>
      <c r="B111" s="13" t="s">
        <v>48</v>
      </c>
      <c r="C111" s="4">
        <v>1.0</v>
      </c>
      <c r="E111" s="4">
        <v>28.0</v>
      </c>
    </row>
    <row r="112">
      <c r="A112" s="4" t="s">
        <v>153</v>
      </c>
      <c r="B112" s="13" t="s">
        <v>48</v>
      </c>
      <c r="C112" s="4">
        <v>1.0</v>
      </c>
      <c r="E112" s="4">
        <v>28.0</v>
      </c>
    </row>
    <row r="113">
      <c r="A113" s="4" t="s">
        <v>154</v>
      </c>
      <c r="B113" s="13" t="s">
        <v>48</v>
      </c>
      <c r="C113" s="4">
        <v>1.0</v>
      </c>
      <c r="E113" s="4">
        <v>28.0</v>
      </c>
    </row>
    <row r="114">
      <c r="A114" s="4" t="s">
        <v>155</v>
      </c>
      <c r="B114" s="13" t="s">
        <v>48</v>
      </c>
      <c r="C114" s="4">
        <v>1.0</v>
      </c>
      <c r="E114" s="4">
        <v>28.0</v>
      </c>
    </row>
    <row r="115">
      <c r="A115" s="4" t="s">
        <v>156</v>
      </c>
      <c r="B115" s="13" t="s">
        <v>48</v>
      </c>
      <c r="C115" s="4">
        <v>1.0</v>
      </c>
      <c r="E115" s="4">
        <v>28.0</v>
      </c>
    </row>
    <row r="116">
      <c r="A116" s="4" t="s">
        <v>157</v>
      </c>
      <c r="B116" s="13" t="s">
        <v>48</v>
      </c>
      <c r="C116" s="4">
        <v>1.0</v>
      </c>
      <c r="E116" s="4">
        <v>28.0</v>
      </c>
    </row>
    <row r="117">
      <c r="A117" s="4" t="s">
        <v>158</v>
      </c>
      <c r="B117" s="13" t="s">
        <v>48</v>
      </c>
      <c r="C117" s="4">
        <v>1.0</v>
      </c>
      <c r="E117" s="4">
        <v>28.0</v>
      </c>
    </row>
    <row r="118">
      <c r="A118" s="4" t="s">
        <v>159</v>
      </c>
      <c r="B118" s="13" t="s">
        <v>48</v>
      </c>
      <c r="C118" s="4">
        <v>1.0</v>
      </c>
      <c r="E118" s="4">
        <v>28.0</v>
      </c>
    </row>
    <row r="119">
      <c r="A119" s="4" t="s">
        <v>160</v>
      </c>
      <c r="B119" s="13" t="s">
        <v>48</v>
      </c>
      <c r="C119" s="4">
        <v>1.0</v>
      </c>
      <c r="E119" s="4">
        <v>28.0</v>
      </c>
    </row>
    <row r="120">
      <c r="A120" s="4" t="s">
        <v>161</v>
      </c>
      <c r="B120" s="13" t="s">
        <v>48</v>
      </c>
      <c r="C120" s="4">
        <v>1.0</v>
      </c>
      <c r="E120" s="4">
        <v>28.0</v>
      </c>
    </row>
    <row r="121">
      <c r="A121" s="4" t="s">
        <v>162</v>
      </c>
      <c r="B121" s="13" t="s">
        <v>48</v>
      </c>
      <c r="C121" s="4">
        <v>1.0</v>
      </c>
      <c r="E121" s="4">
        <v>28.0</v>
      </c>
    </row>
    <row r="122">
      <c r="A122" s="4" t="s">
        <v>163</v>
      </c>
      <c r="B122" s="13" t="s">
        <v>43</v>
      </c>
      <c r="E122" s="3"/>
    </row>
    <row r="123">
      <c r="A123" s="4" t="s">
        <v>164</v>
      </c>
      <c r="B123" s="13" t="s">
        <v>43</v>
      </c>
      <c r="E123" s="3"/>
    </row>
    <row r="124">
      <c r="A124" s="4" t="s">
        <v>165</v>
      </c>
      <c r="B124" s="13" t="s">
        <v>43</v>
      </c>
      <c r="E124" s="3"/>
    </row>
    <row r="125">
      <c r="A125" s="4" t="s">
        <v>166</v>
      </c>
      <c r="B125" s="13" t="s">
        <v>43</v>
      </c>
      <c r="E125" s="3"/>
    </row>
    <row r="126">
      <c r="A126" s="4" t="s">
        <v>167</v>
      </c>
      <c r="B126" s="13" t="s">
        <v>43</v>
      </c>
      <c r="E126" s="3"/>
    </row>
    <row r="127">
      <c r="A127" s="4" t="s">
        <v>168</v>
      </c>
      <c r="B127" s="13" t="s">
        <v>43</v>
      </c>
      <c r="E127" s="3"/>
    </row>
    <row r="128">
      <c r="A128" s="4" t="s">
        <v>169</v>
      </c>
      <c r="B128" s="13" t="s">
        <v>43</v>
      </c>
      <c r="E128" s="3"/>
    </row>
    <row r="129">
      <c r="A129" s="4" t="s">
        <v>170</v>
      </c>
      <c r="B129" s="13" t="s">
        <v>43</v>
      </c>
      <c r="E129" s="3"/>
    </row>
    <row r="130">
      <c r="A130" s="4" t="s">
        <v>171</v>
      </c>
      <c r="B130" s="13" t="s">
        <v>43</v>
      </c>
      <c r="E130" s="3"/>
    </row>
    <row r="131">
      <c r="A131" s="4" t="s">
        <v>172</v>
      </c>
      <c r="B131" s="13" t="s">
        <v>43</v>
      </c>
      <c r="E131" s="3"/>
    </row>
    <row r="132">
      <c r="A132" s="4" t="s">
        <v>173</v>
      </c>
      <c r="B132" s="13" t="s">
        <v>43</v>
      </c>
      <c r="E132" s="3"/>
    </row>
    <row r="133">
      <c r="A133" s="4" t="s">
        <v>174</v>
      </c>
      <c r="B133" s="13" t="s">
        <v>43</v>
      </c>
      <c r="E133" s="3"/>
    </row>
    <row r="134">
      <c r="A134" s="4" t="s">
        <v>175</v>
      </c>
      <c r="B134" s="13" t="s">
        <v>43</v>
      </c>
      <c r="E134" s="3"/>
    </row>
    <row r="135">
      <c r="A135" s="4" t="s">
        <v>176</v>
      </c>
      <c r="B135" s="13" t="s">
        <v>48</v>
      </c>
      <c r="C135" s="4">
        <v>1.0</v>
      </c>
      <c r="D135" s="4">
        <v>26.0</v>
      </c>
      <c r="E135" s="3"/>
    </row>
    <row r="136">
      <c r="A136" s="4" t="s">
        <v>177</v>
      </c>
      <c r="B136" s="13" t="s">
        <v>48</v>
      </c>
      <c r="C136" s="4">
        <v>1.0</v>
      </c>
      <c r="D136" s="4">
        <v>26.0</v>
      </c>
      <c r="E136" s="3"/>
    </row>
    <row r="137">
      <c r="A137" s="4" t="s">
        <v>178</v>
      </c>
      <c r="B137" s="13" t="s">
        <v>48</v>
      </c>
      <c r="C137" s="4">
        <v>1.0</v>
      </c>
      <c r="D137" s="4">
        <v>26.0</v>
      </c>
      <c r="E137" s="3"/>
    </row>
    <row r="138">
      <c r="A138" s="4" t="s">
        <v>179</v>
      </c>
      <c r="B138" s="13" t="s">
        <v>48</v>
      </c>
      <c r="C138" s="4">
        <v>2.0</v>
      </c>
      <c r="D138" s="4">
        <v>26.0</v>
      </c>
      <c r="E138" s="3"/>
      <c r="G138" s="4">
        <v>30.0</v>
      </c>
    </row>
    <row r="139">
      <c r="A139" s="4" t="s">
        <v>180</v>
      </c>
      <c r="B139" s="13" t="s">
        <v>48</v>
      </c>
      <c r="C139" s="4">
        <v>2.0</v>
      </c>
      <c r="D139" s="4">
        <v>26.0</v>
      </c>
      <c r="E139" s="3"/>
      <c r="G139" s="4">
        <v>30.0</v>
      </c>
    </row>
    <row r="140">
      <c r="A140" s="4" t="s">
        <v>181</v>
      </c>
      <c r="B140" s="13" t="s">
        <v>48</v>
      </c>
      <c r="C140" s="4">
        <v>2.0</v>
      </c>
      <c r="D140" s="4">
        <v>26.0</v>
      </c>
      <c r="E140" s="3"/>
      <c r="G140" s="4">
        <v>30.0</v>
      </c>
    </row>
    <row r="141">
      <c r="A141" s="4" t="s">
        <v>182</v>
      </c>
      <c r="B141" s="13" t="s">
        <v>48</v>
      </c>
      <c r="C141" s="4">
        <v>1.0</v>
      </c>
      <c r="E141" s="3"/>
      <c r="G141" s="4">
        <v>30.0</v>
      </c>
    </row>
    <row r="142">
      <c r="A142" s="4" t="s">
        <v>183</v>
      </c>
      <c r="B142" s="13" t="s">
        <v>48</v>
      </c>
      <c r="C142" s="4">
        <v>1.0</v>
      </c>
      <c r="E142" s="3"/>
      <c r="G142" s="4">
        <v>30.0</v>
      </c>
    </row>
    <row r="143">
      <c r="A143" s="4" t="s">
        <v>184</v>
      </c>
      <c r="B143" s="13" t="s">
        <v>48</v>
      </c>
      <c r="C143" s="4">
        <v>1.0</v>
      </c>
      <c r="E143" s="3"/>
      <c r="G143" s="4">
        <v>30.0</v>
      </c>
    </row>
    <row r="144">
      <c r="A144" s="4" t="s">
        <v>185</v>
      </c>
      <c r="B144" s="13" t="s">
        <v>43</v>
      </c>
      <c r="E144" s="3"/>
    </row>
    <row r="145">
      <c r="A145" s="4" t="s">
        <v>186</v>
      </c>
      <c r="B145" s="13" t="s">
        <v>43</v>
      </c>
      <c r="E145" s="3"/>
    </row>
    <row r="146">
      <c r="A146" s="4" t="s">
        <v>187</v>
      </c>
      <c r="B146" s="13" t="s">
        <v>43</v>
      </c>
      <c r="E146" s="3"/>
    </row>
    <row r="147">
      <c r="A147" s="4" t="s">
        <v>188</v>
      </c>
      <c r="B147" s="13" t="s">
        <v>43</v>
      </c>
      <c r="E147" s="3"/>
    </row>
    <row r="148">
      <c r="A148" s="4" t="s">
        <v>189</v>
      </c>
      <c r="B148" s="13" t="s">
        <v>43</v>
      </c>
      <c r="E148" s="3"/>
    </row>
    <row r="149">
      <c r="A149" s="4" t="s">
        <v>190</v>
      </c>
      <c r="B149" s="13" t="s">
        <v>43</v>
      </c>
      <c r="E149" s="3"/>
    </row>
    <row r="150">
      <c r="A150" s="4" t="s">
        <v>191</v>
      </c>
      <c r="B150" s="13" t="s">
        <v>43</v>
      </c>
      <c r="E150" s="3"/>
    </row>
    <row r="151">
      <c r="A151" s="4" t="s">
        <v>192</v>
      </c>
      <c r="B151" s="13" t="s">
        <v>43</v>
      </c>
      <c r="E151" s="3"/>
    </row>
    <row r="152">
      <c r="A152" s="4" t="s">
        <v>193</v>
      </c>
      <c r="B152" s="13" t="s">
        <v>43</v>
      </c>
      <c r="E152" s="3"/>
    </row>
    <row r="153">
      <c r="A153" s="4" t="s">
        <v>194</v>
      </c>
      <c r="B153" s="13" t="s">
        <v>43</v>
      </c>
      <c r="E153" s="3"/>
    </row>
    <row r="154">
      <c r="A154" s="4" t="s">
        <v>195</v>
      </c>
      <c r="B154" s="13" t="s">
        <v>43</v>
      </c>
      <c r="E154" s="3"/>
    </row>
    <row r="155">
      <c r="A155" s="4" t="s">
        <v>196</v>
      </c>
      <c r="B155" s="13" t="s">
        <v>43</v>
      </c>
      <c r="E155" s="3"/>
    </row>
    <row r="156">
      <c r="A156" s="4" t="s">
        <v>197</v>
      </c>
      <c r="B156" s="13" t="s">
        <v>43</v>
      </c>
      <c r="E156" s="3"/>
    </row>
    <row r="157">
      <c r="A157" s="4" t="s">
        <v>198</v>
      </c>
      <c r="B157" s="13" t="s">
        <v>43</v>
      </c>
      <c r="E157" s="3"/>
    </row>
    <row r="158">
      <c r="A158" s="4" t="s">
        <v>199</v>
      </c>
      <c r="B158" s="13" t="s">
        <v>43</v>
      </c>
      <c r="E158" s="3"/>
    </row>
    <row r="159">
      <c r="A159" s="4" t="s">
        <v>200</v>
      </c>
      <c r="B159" s="13" t="s">
        <v>43</v>
      </c>
      <c r="E159" s="3"/>
    </row>
    <row r="160">
      <c r="A160" s="4" t="s">
        <v>201</v>
      </c>
      <c r="B160" s="13" t="s">
        <v>43</v>
      </c>
      <c r="E160" s="3"/>
    </row>
    <row r="161">
      <c r="A161" s="4" t="s">
        <v>202</v>
      </c>
      <c r="B161" s="13" t="s">
        <v>43</v>
      </c>
      <c r="E161" s="3"/>
    </row>
    <row r="162">
      <c r="A162" s="4" t="s">
        <v>203</v>
      </c>
      <c r="B162" s="13" t="s">
        <v>43</v>
      </c>
      <c r="E162" s="3"/>
    </row>
    <row r="163">
      <c r="A163" s="4" t="s">
        <v>204</v>
      </c>
      <c r="B163" s="13" t="s">
        <v>43</v>
      </c>
      <c r="E163" s="3"/>
    </row>
    <row r="164">
      <c r="A164" s="4" t="s">
        <v>205</v>
      </c>
      <c r="B164" s="13" t="s">
        <v>43</v>
      </c>
      <c r="E164" s="3"/>
    </row>
    <row r="165">
      <c r="A165" s="4" t="s">
        <v>206</v>
      </c>
      <c r="B165" s="13" t="s">
        <v>43</v>
      </c>
      <c r="E165" s="3"/>
    </row>
    <row r="166">
      <c r="A166" s="4" t="s">
        <v>207</v>
      </c>
      <c r="B166" s="13" t="s">
        <v>43</v>
      </c>
      <c r="E166" s="3"/>
    </row>
    <row r="167">
      <c r="A167" s="4" t="s">
        <v>208</v>
      </c>
      <c r="B167" s="13" t="s">
        <v>43</v>
      </c>
      <c r="E167" s="3"/>
    </row>
    <row r="168">
      <c r="A168" s="4" t="s">
        <v>209</v>
      </c>
      <c r="B168" s="13" t="s">
        <v>43</v>
      </c>
      <c r="E168" s="3"/>
    </row>
    <row r="169">
      <c r="A169" s="4" t="s">
        <v>210</v>
      </c>
      <c r="B169" s="13" t="s">
        <v>43</v>
      </c>
      <c r="E169" s="3"/>
    </row>
    <row r="170">
      <c r="A170" s="4" t="s">
        <v>211</v>
      </c>
      <c r="B170" s="13" t="s">
        <v>43</v>
      </c>
      <c r="E170" s="3"/>
    </row>
    <row r="171">
      <c r="A171" s="4" t="s">
        <v>212</v>
      </c>
      <c r="B171" s="13" t="s">
        <v>43</v>
      </c>
      <c r="E171" s="3"/>
    </row>
    <row r="172">
      <c r="A172" s="4" t="s">
        <v>213</v>
      </c>
      <c r="B172" s="13" t="s">
        <v>43</v>
      </c>
      <c r="E172" s="3"/>
    </row>
    <row r="173">
      <c r="A173" s="4" t="s">
        <v>214</v>
      </c>
      <c r="B173" s="13" t="s">
        <v>43</v>
      </c>
      <c r="E173" s="3"/>
    </row>
    <row r="174">
      <c r="A174" s="4" t="s">
        <v>215</v>
      </c>
      <c r="B174" s="13" t="s">
        <v>43</v>
      </c>
      <c r="E174" s="3"/>
    </row>
    <row r="175">
      <c r="A175" s="4" t="s">
        <v>216</v>
      </c>
      <c r="B175" s="13" t="s">
        <v>43</v>
      </c>
      <c r="E175" s="3"/>
    </row>
    <row r="176">
      <c r="A176" s="4" t="s">
        <v>217</v>
      </c>
      <c r="B176" s="13" t="s">
        <v>43</v>
      </c>
      <c r="E176" s="3"/>
    </row>
    <row r="177">
      <c r="A177" s="4" t="s">
        <v>218</v>
      </c>
      <c r="B177" s="13" t="s">
        <v>43</v>
      </c>
      <c r="E177" s="3"/>
    </row>
    <row r="178">
      <c r="A178" s="4" t="s">
        <v>219</v>
      </c>
      <c r="B178" s="13" t="s">
        <v>43</v>
      </c>
      <c r="E178" s="3"/>
    </row>
    <row r="179">
      <c r="A179" s="4" t="s">
        <v>220</v>
      </c>
      <c r="B179" s="13" t="s">
        <v>43</v>
      </c>
      <c r="E179" s="3"/>
    </row>
    <row r="180">
      <c r="A180" s="4" t="s">
        <v>221</v>
      </c>
      <c r="B180" s="13" t="s">
        <v>48</v>
      </c>
      <c r="C180" s="4">
        <v>1.0</v>
      </c>
      <c r="E180" s="4">
        <v>28.0</v>
      </c>
    </row>
    <row r="181">
      <c r="A181" s="4" t="s">
        <v>222</v>
      </c>
      <c r="B181" s="13" t="s">
        <v>43</v>
      </c>
      <c r="E181" s="3"/>
    </row>
    <row r="182">
      <c r="A182" s="4" t="s">
        <v>223</v>
      </c>
      <c r="B182" s="13" t="s">
        <v>43</v>
      </c>
      <c r="E182" s="3"/>
    </row>
    <row r="183">
      <c r="A183" s="4" t="s">
        <v>224</v>
      </c>
      <c r="B183" s="13" t="s">
        <v>43</v>
      </c>
      <c r="E183" s="3"/>
    </row>
    <row r="184">
      <c r="A184" s="4" t="s">
        <v>225</v>
      </c>
      <c r="B184" s="13" t="s">
        <v>43</v>
      </c>
      <c r="E184" s="3"/>
    </row>
    <row r="185">
      <c r="A185" s="4" t="s">
        <v>226</v>
      </c>
      <c r="B185" s="13" t="s">
        <v>43</v>
      </c>
      <c r="E185" s="3"/>
    </row>
    <row r="186">
      <c r="A186" s="4" t="s">
        <v>227</v>
      </c>
      <c r="B186" s="13" t="s">
        <v>43</v>
      </c>
      <c r="E186" s="3"/>
    </row>
    <row r="187">
      <c r="A187" s="4" t="s">
        <v>228</v>
      </c>
      <c r="B187" s="13" t="s">
        <v>43</v>
      </c>
      <c r="E187" s="3"/>
    </row>
    <row r="188">
      <c r="A188" s="4" t="s">
        <v>229</v>
      </c>
      <c r="B188" s="13" t="s">
        <v>43</v>
      </c>
      <c r="E188" s="3"/>
    </row>
    <row r="189">
      <c r="A189" s="4" t="s">
        <v>230</v>
      </c>
      <c r="B189" s="13" t="s">
        <v>43</v>
      </c>
      <c r="E189" s="3"/>
    </row>
    <row r="190">
      <c r="A190" s="4" t="s">
        <v>231</v>
      </c>
      <c r="B190" s="13" t="s">
        <v>43</v>
      </c>
      <c r="E190" s="3"/>
    </row>
    <row r="191">
      <c r="A191" s="4" t="s">
        <v>232</v>
      </c>
      <c r="B191" s="13" t="s">
        <v>43</v>
      </c>
      <c r="E191" s="3"/>
    </row>
    <row r="192">
      <c r="A192" s="4" t="s">
        <v>233</v>
      </c>
      <c r="B192" s="13" t="s">
        <v>43</v>
      </c>
      <c r="E192" s="3"/>
    </row>
    <row r="193">
      <c r="A193" s="4" t="s">
        <v>234</v>
      </c>
      <c r="B193" s="13" t="s">
        <v>43</v>
      </c>
      <c r="E193" s="3"/>
    </row>
    <row r="194">
      <c r="A194" s="4" t="s">
        <v>235</v>
      </c>
      <c r="B194" s="13" t="s">
        <v>43</v>
      </c>
      <c r="E194" s="3"/>
    </row>
    <row r="195">
      <c r="A195" s="4" t="s">
        <v>236</v>
      </c>
      <c r="B195" s="13" t="s">
        <v>43</v>
      </c>
      <c r="E195" s="3"/>
    </row>
    <row r="196">
      <c r="A196" s="4" t="s">
        <v>237</v>
      </c>
      <c r="B196" s="13" t="s">
        <v>43</v>
      </c>
      <c r="E196" s="3"/>
    </row>
    <row r="197">
      <c r="A197" s="4" t="s">
        <v>238</v>
      </c>
      <c r="B197" s="13" t="s">
        <v>43</v>
      </c>
      <c r="E197" s="3"/>
    </row>
    <row r="198">
      <c r="A198" s="4" t="s">
        <v>239</v>
      </c>
      <c r="B198" s="13" t="s">
        <v>43</v>
      </c>
      <c r="E198" s="3"/>
    </row>
    <row r="199">
      <c r="A199" s="4" t="s">
        <v>240</v>
      </c>
      <c r="B199" s="13" t="s">
        <v>43</v>
      </c>
      <c r="E199" s="3"/>
    </row>
    <row r="200">
      <c r="A200" s="4" t="s">
        <v>241</v>
      </c>
      <c r="B200" s="13" t="s">
        <v>43</v>
      </c>
      <c r="E200" s="3"/>
    </row>
    <row r="201">
      <c r="A201" s="4" t="s">
        <v>242</v>
      </c>
      <c r="B201" s="13" t="s">
        <v>43</v>
      </c>
      <c r="E201" s="3"/>
    </row>
    <row r="202">
      <c r="A202" s="4" t="s">
        <v>243</v>
      </c>
      <c r="B202" s="13" t="s">
        <v>43</v>
      </c>
      <c r="E202" s="3"/>
    </row>
    <row r="203">
      <c r="A203" s="4" t="s">
        <v>244</v>
      </c>
      <c r="B203" s="13" t="s">
        <v>43</v>
      </c>
      <c r="E203" s="3"/>
    </row>
    <row r="204">
      <c r="A204" s="4" t="s">
        <v>245</v>
      </c>
      <c r="B204" s="13" t="s">
        <v>43</v>
      </c>
      <c r="E204" s="3"/>
    </row>
    <row r="205">
      <c r="A205" s="4" t="s">
        <v>246</v>
      </c>
      <c r="B205" s="13" t="s">
        <v>43</v>
      </c>
      <c r="E205" s="3"/>
    </row>
    <row r="206">
      <c r="A206" s="4" t="s">
        <v>247</v>
      </c>
      <c r="B206" s="13" t="s">
        <v>43</v>
      </c>
      <c r="E206" s="3"/>
    </row>
    <row r="207">
      <c r="A207" s="4" t="s">
        <v>248</v>
      </c>
      <c r="B207" s="13" t="s">
        <v>48</v>
      </c>
      <c r="C207" s="4">
        <v>1.0</v>
      </c>
      <c r="E207" s="3"/>
      <c r="F207" s="4">
        <v>29.0</v>
      </c>
    </row>
    <row r="208">
      <c r="A208" s="4" t="s">
        <v>249</v>
      </c>
      <c r="B208" s="13" t="s">
        <v>48</v>
      </c>
      <c r="C208" s="4">
        <v>1.0</v>
      </c>
      <c r="E208" s="3"/>
      <c r="F208" s="4">
        <v>29.0</v>
      </c>
    </row>
    <row r="209">
      <c r="A209" s="4" t="s">
        <v>250</v>
      </c>
      <c r="B209" s="13" t="s">
        <v>48</v>
      </c>
      <c r="C209" s="4">
        <v>1.0</v>
      </c>
      <c r="E209" s="3"/>
      <c r="F209" s="4">
        <v>29.0</v>
      </c>
    </row>
    <row r="210">
      <c r="A210" s="4" t="s">
        <v>251</v>
      </c>
      <c r="B210" s="13" t="s">
        <v>48</v>
      </c>
      <c r="C210" s="4">
        <v>1.0</v>
      </c>
      <c r="E210" s="3"/>
      <c r="F210" s="4">
        <v>29.0</v>
      </c>
    </row>
    <row r="211">
      <c r="A211" s="4" t="s">
        <v>252</v>
      </c>
      <c r="B211" s="13" t="s">
        <v>48</v>
      </c>
      <c r="C211" s="4">
        <v>1.0</v>
      </c>
      <c r="E211" s="3"/>
      <c r="F211" s="4">
        <v>29.0</v>
      </c>
    </row>
    <row r="212">
      <c r="A212" s="4" t="s">
        <v>253</v>
      </c>
      <c r="B212" s="13" t="s">
        <v>48</v>
      </c>
      <c r="C212" s="4">
        <v>1.0</v>
      </c>
      <c r="E212" s="3"/>
      <c r="F212" s="4">
        <v>29.0</v>
      </c>
    </row>
    <row r="213">
      <c r="A213" s="4" t="s">
        <v>254</v>
      </c>
      <c r="B213" s="13" t="s">
        <v>48</v>
      </c>
      <c r="C213" s="4">
        <v>1.0</v>
      </c>
      <c r="E213" s="3"/>
      <c r="F213" s="4">
        <v>29.0</v>
      </c>
    </row>
    <row r="214">
      <c r="A214" s="4" t="s">
        <v>255</v>
      </c>
      <c r="B214" s="13" t="s">
        <v>48</v>
      </c>
      <c r="C214" s="4">
        <v>1.0</v>
      </c>
      <c r="E214" s="3"/>
      <c r="F214" s="4">
        <v>29.0</v>
      </c>
    </row>
    <row r="215">
      <c r="A215" s="4" t="s">
        <v>256</v>
      </c>
      <c r="B215" s="13" t="s">
        <v>48</v>
      </c>
      <c r="C215" s="4">
        <v>1.0</v>
      </c>
      <c r="E215" s="3"/>
      <c r="F215" s="4">
        <v>29.0</v>
      </c>
    </row>
    <row r="216">
      <c r="A216" s="4" t="s">
        <v>257</v>
      </c>
      <c r="B216" s="13" t="s">
        <v>48</v>
      </c>
      <c r="C216" s="4">
        <v>1.0</v>
      </c>
      <c r="E216" s="3"/>
      <c r="F216" s="4">
        <v>29.0</v>
      </c>
    </row>
    <row r="217">
      <c r="A217" s="4" t="s">
        <v>258</v>
      </c>
      <c r="B217" s="13" t="s">
        <v>48</v>
      </c>
      <c r="C217" s="4">
        <v>1.0</v>
      </c>
      <c r="E217" s="3"/>
      <c r="F217" s="4">
        <v>29.0</v>
      </c>
    </row>
    <row r="218">
      <c r="A218" s="4" t="s">
        <v>259</v>
      </c>
      <c r="B218" s="13" t="s">
        <v>48</v>
      </c>
      <c r="C218" s="4">
        <v>1.0</v>
      </c>
      <c r="E218" s="3"/>
      <c r="F218" s="4">
        <v>29.0</v>
      </c>
    </row>
    <row r="219">
      <c r="A219" s="4" t="s">
        <v>260</v>
      </c>
      <c r="B219" s="13" t="s">
        <v>48</v>
      </c>
      <c r="C219" s="4">
        <v>1.0</v>
      </c>
      <c r="E219" s="3"/>
      <c r="F219" s="4">
        <v>29.0</v>
      </c>
    </row>
    <row r="220">
      <c r="A220" s="4" t="s">
        <v>261</v>
      </c>
      <c r="B220" s="13" t="s">
        <v>48</v>
      </c>
      <c r="C220" s="4">
        <v>1.0</v>
      </c>
      <c r="E220" s="3"/>
      <c r="F220" s="4">
        <v>29.0</v>
      </c>
    </row>
    <row r="221">
      <c r="A221" s="4" t="s">
        <v>262</v>
      </c>
      <c r="B221" s="13" t="s">
        <v>48</v>
      </c>
      <c r="C221" s="4">
        <v>1.0</v>
      </c>
      <c r="E221" s="3"/>
      <c r="F221" s="4">
        <v>29.0</v>
      </c>
    </row>
    <row r="222">
      <c r="A222" s="4" t="s">
        <v>263</v>
      </c>
      <c r="B222" s="13" t="s">
        <v>48</v>
      </c>
      <c r="C222" s="4">
        <v>1.0</v>
      </c>
      <c r="E222" s="3"/>
      <c r="F222" s="4">
        <v>29.0</v>
      </c>
    </row>
    <row r="223">
      <c r="A223" s="4" t="s">
        <v>264</v>
      </c>
      <c r="B223" s="13" t="s">
        <v>48</v>
      </c>
      <c r="C223" s="4">
        <v>1.0</v>
      </c>
      <c r="E223" s="3"/>
      <c r="F223" s="4">
        <v>29.0</v>
      </c>
    </row>
    <row r="224">
      <c r="A224" s="4" t="s">
        <v>265</v>
      </c>
      <c r="B224" s="13" t="s">
        <v>43</v>
      </c>
      <c r="E224" s="3"/>
    </row>
    <row r="225">
      <c r="A225" s="4" t="s">
        <v>266</v>
      </c>
      <c r="B225" s="13" t="s">
        <v>43</v>
      </c>
      <c r="E225" s="3"/>
    </row>
    <row r="226">
      <c r="A226" s="4" t="s">
        <v>267</v>
      </c>
      <c r="B226" s="13" t="s">
        <v>43</v>
      </c>
      <c r="E226" s="3"/>
    </row>
    <row r="227">
      <c r="A227" s="4" t="s">
        <v>268</v>
      </c>
      <c r="B227" s="13" t="s">
        <v>43</v>
      </c>
      <c r="E227" s="3"/>
    </row>
    <row r="228">
      <c r="A228" s="4" t="s">
        <v>269</v>
      </c>
      <c r="B228" s="13" t="s">
        <v>43</v>
      </c>
      <c r="E228" s="3"/>
    </row>
    <row r="229">
      <c r="A229" s="4" t="s">
        <v>270</v>
      </c>
      <c r="B229" s="13" t="s">
        <v>43</v>
      </c>
      <c r="E229" s="3"/>
    </row>
    <row r="230">
      <c r="A230" s="4" t="s">
        <v>271</v>
      </c>
      <c r="B230" s="13" t="s">
        <v>43</v>
      </c>
      <c r="E230" s="3"/>
    </row>
    <row r="231">
      <c r="A231" s="4" t="s">
        <v>272</v>
      </c>
      <c r="B231" s="13" t="s">
        <v>43</v>
      </c>
      <c r="E231" s="3"/>
    </row>
    <row r="232">
      <c r="A232" s="4" t="s">
        <v>273</v>
      </c>
      <c r="B232" s="13" t="s">
        <v>43</v>
      </c>
      <c r="E232" s="3"/>
    </row>
    <row r="233">
      <c r="A233" s="4" t="s">
        <v>274</v>
      </c>
      <c r="B233" s="13" t="s">
        <v>43</v>
      </c>
      <c r="E233" s="3"/>
    </row>
    <row r="234">
      <c r="A234" s="4" t="s">
        <v>275</v>
      </c>
      <c r="B234" s="13" t="s">
        <v>43</v>
      </c>
      <c r="E234" s="3"/>
    </row>
    <row r="235">
      <c r="A235" s="4" t="s">
        <v>276</v>
      </c>
      <c r="B235" s="13" t="s">
        <v>43</v>
      </c>
      <c r="E235" s="3"/>
    </row>
    <row r="236">
      <c r="A236" s="4" t="s">
        <v>277</v>
      </c>
      <c r="B236" s="13" t="s">
        <v>43</v>
      </c>
      <c r="E236" s="3"/>
    </row>
    <row r="237">
      <c r="A237" s="4" t="s">
        <v>278</v>
      </c>
      <c r="B237" s="13" t="s">
        <v>43</v>
      </c>
      <c r="E237" s="3"/>
    </row>
    <row r="238">
      <c r="A238" s="4" t="s">
        <v>279</v>
      </c>
      <c r="B238" s="13" t="s">
        <v>43</v>
      </c>
      <c r="E238" s="3"/>
    </row>
    <row r="239">
      <c r="A239" s="4" t="s">
        <v>280</v>
      </c>
      <c r="B239" s="13" t="s">
        <v>48</v>
      </c>
      <c r="C239" s="4">
        <v>1.0</v>
      </c>
      <c r="E239" s="3"/>
      <c r="H239" s="4">
        <v>33.0</v>
      </c>
    </row>
    <row r="240">
      <c r="A240" s="4" t="s">
        <v>281</v>
      </c>
      <c r="B240" s="13" t="s">
        <v>48</v>
      </c>
      <c r="C240" s="4">
        <v>1.0</v>
      </c>
      <c r="E240" s="3"/>
      <c r="H240" s="4">
        <v>33.0</v>
      </c>
    </row>
    <row r="241">
      <c r="A241" s="4" t="s">
        <v>282</v>
      </c>
      <c r="B241" s="13" t="s">
        <v>48</v>
      </c>
      <c r="C241" s="4">
        <v>1.0</v>
      </c>
      <c r="E241" s="3"/>
      <c r="H241" s="4">
        <v>33.0</v>
      </c>
    </row>
    <row r="242">
      <c r="A242" s="4" t="s">
        <v>283</v>
      </c>
      <c r="B242" s="13" t="s">
        <v>48</v>
      </c>
      <c r="C242" s="4">
        <v>1.0</v>
      </c>
      <c r="E242" s="3"/>
      <c r="H242" s="4">
        <v>33.0</v>
      </c>
    </row>
    <row r="243">
      <c r="A243" s="4" t="s">
        <v>284</v>
      </c>
      <c r="B243" s="13" t="s">
        <v>48</v>
      </c>
      <c r="C243" s="4">
        <v>1.0</v>
      </c>
      <c r="E243" s="3"/>
      <c r="H243" s="4">
        <v>33.0</v>
      </c>
    </row>
    <row r="244">
      <c r="A244" s="4" t="s">
        <v>285</v>
      </c>
      <c r="B244" s="13" t="s">
        <v>48</v>
      </c>
      <c r="C244" s="4">
        <v>1.0</v>
      </c>
      <c r="E244" s="3"/>
      <c r="H244" s="4">
        <v>33.0</v>
      </c>
    </row>
    <row r="245">
      <c r="A245" s="4" t="s">
        <v>286</v>
      </c>
      <c r="B245" s="13" t="s">
        <v>48</v>
      </c>
      <c r="C245" s="4">
        <v>1.0</v>
      </c>
      <c r="E245" s="3"/>
      <c r="H245" s="4">
        <v>33.0</v>
      </c>
    </row>
    <row r="246">
      <c r="A246" s="4" t="s">
        <v>287</v>
      </c>
      <c r="B246" s="13" t="s">
        <v>48</v>
      </c>
      <c r="C246" s="4">
        <v>1.0</v>
      </c>
      <c r="E246" s="3"/>
      <c r="H246" s="4">
        <v>33.0</v>
      </c>
    </row>
    <row r="247">
      <c r="A247" s="4" t="s">
        <v>288</v>
      </c>
      <c r="B247" s="13" t="s">
        <v>43</v>
      </c>
      <c r="E247" s="3"/>
    </row>
    <row r="248">
      <c r="A248" s="4" t="s">
        <v>289</v>
      </c>
      <c r="B248" s="13" t="s">
        <v>43</v>
      </c>
      <c r="E248" s="3"/>
    </row>
    <row r="249">
      <c r="A249" s="4" t="s">
        <v>290</v>
      </c>
      <c r="B249" s="13" t="s">
        <v>43</v>
      </c>
      <c r="E249" s="3"/>
    </row>
    <row r="250">
      <c r="A250" s="4" t="s">
        <v>291</v>
      </c>
      <c r="B250" s="13" t="s">
        <v>43</v>
      </c>
      <c r="E250" s="3"/>
    </row>
    <row r="251">
      <c r="A251" s="4" t="s">
        <v>292</v>
      </c>
      <c r="B251" s="13" t="s">
        <v>43</v>
      </c>
      <c r="E251" s="3"/>
    </row>
    <row r="252">
      <c r="A252" s="4" t="s">
        <v>293</v>
      </c>
      <c r="B252" s="13" t="s">
        <v>43</v>
      </c>
      <c r="E252" s="3"/>
    </row>
    <row r="253">
      <c r="A253" s="4" t="s">
        <v>294</v>
      </c>
      <c r="B253" s="13" t="s">
        <v>43</v>
      </c>
      <c r="E253" s="3"/>
    </row>
    <row r="254">
      <c r="A254" s="4" t="s">
        <v>295</v>
      </c>
      <c r="B254" s="13" t="s">
        <v>48</v>
      </c>
      <c r="C254" s="4">
        <v>1.0</v>
      </c>
      <c r="E254" s="4">
        <v>28.0</v>
      </c>
    </row>
    <row r="255">
      <c r="A255" s="4" t="s">
        <v>296</v>
      </c>
      <c r="B255" s="13" t="s">
        <v>48</v>
      </c>
      <c r="C255" s="4">
        <v>1.0</v>
      </c>
      <c r="E255" s="4">
        <v>28.0</v>
      </c>
    </row>
    <row r="256">
      <c r="A256" s="4" t="s">
        <v>297</v>
      </c>
      <c r="B256" s="13" t="s">
        <v>48</v>
      </c>
      <c r="C256" s="4">
        <v>1.0</v>
      </c>
      <c r="E256" s="4">
        <v>28.0</v>
      </c>
    </row>
    <row r="257">
      <c r="A257" s="4" t="s">
        <v>298</v>
      </c>
      <c r="B257" s="13" t="s">
        <v>48</v>
      </c>
      <c r="C257" s="4">
        <v>1.0</v>
      </c>
      <c r="E257" s="4">
        <v>28.0</v>
      </c>
    </row>
    <row r="258">
      <c r="A258" s="4" t="s">
        <v>299</v>
      </c>
      <c r="B258" s="13" t="s">
        <v>48</v>
      </c>
      <c r="C258" s="4">
        <v>1.0</v>
      </c>
      <c r="E258" s="4">
        <v>28.0</v>
      </c>
    </row>
    <row r="259">
      <c r="A259" s="4" t="s">
        <v>300</v>
      </c>
      <c r="B259" s="13" t="s">
        <v>48</v>
      </c>
      <c r="C259" s="4">
        <v>1.0</v>
      </c>
      <c r="E259" s="4">
        <v>28.0</v>
      </c>
    </row>
    <row r="260">
      <c r="A260" s="4" t="s">
        <v>301</v>
      </c>
      <c r="B260" s="13" t="s">
        <v>48</v>
      </c>
      <c r="C260" s="4">
        <v>1.0</v>
      </c>
      <c r="E260" s="4">
        <v>28.0</v>
      </c>
    </row>
    <row r="261">
      <c r="A261" s="4" t="s">
        <v>302</v>
      </c>
      <c r="B261" s="13" t="s">
        <v>48</v>
      </c>
      <c r="C261" s="4">
        <v>1.0</v>
      </c>
      <c r="E261" s="4">
        <v>28.0</v>
      </c>
    </row>
    <row r="262">
      <c r="A262" s="4" t="s">
        <v>303</v>
      </c>
      <c r="B262" s="13" t="s">
        <v>48</v>
      </c>
      <c r="C262" s="4">
        <v>1.0</v>
      </c>
      <c r="E262" s="4">
        <v>28.0</v>
      </c>
    </row>
    <row r="263">
      <c r="A263" s="4" t="s">
        <v>304</v>
      </c>
      <c r="B263" s="13" t="s">
        <v>48</v>
      </c>
      <c r="C263" s="4">
        <v>1.0</v>
      </c>
      <c r="E263" s="4">
        <v>28.0</v>
      </c>
    </row>
    <row r="264">
      <c r="A264" s="4" t="s">
        <v>305</v>
      </c>
      <c r="B264" s="13" t="s">
        <v>48</v>
      </c>
      <c r="C264" s="4">
        <v>1.0</v>
      </c>
      <c r="E264" s="4">
        <v>28.0</v>
      </c>
    </row>
    <row r="265">
      <c r="A265" s="4" t="s">
        <v>306</v>
      </c>
      <c r="B265" s="13" t="s">
        <v>48</v>
      </c>
      <c r="C265" s="4">
        <v>1.0</v>
      </c>
      <c r="E265" s="4">
        <v>28.0</v>
      </c>
    </row>
    <row r="266">
      <c r="A266" s="4" t="s">
        <v>307</v>
      </c>
      <c r="B266" s="13" t="s">
        <v>48</v>
      </c>
      <c r="C266" s="4">
        <v>1.0</v>
      </c>
      <c r="E266" s="4">
        <v>28.0</v>
      </c>
    </row>
    <row r="267">
      <c r="A267" s="4" t="s">
        <v>308</v>
      </c>
      <c r="B267" s="13" t="s">
        <v>48</v>
      </c>
      <c r="C267" s="4">
        <v>1.0</v>
      </c>
      <c r="E267" s="4">
        <v>28.0</v>
      </c>
    </row>
    <row r="268">
      <c r="A268" s="4" t="s">
        <v>309</v>
      </c>
      <c r="B268" s="13" t="s">
        <v>48</v>
      </c>
      <c r="C268" s="4">
        <v>1.0</v>
      </c>
      <c r="E268" s="4">
        <v>28.0</v>
      </c>
    </row>
    <row r="269">
      <c r="A269" s="4" t="s">
        <v>310</v>
      </c>
      <c r="B269" s="13" t="s">
        <v>48</v>
      </c>
      <c r="C269" s="4">
        <v>1.0</v>
      </c>
      <c r="E269" s="4">
        <v>28.0</v>
      </c>
    </row>
    <row r="270">
      <c r="A270" s="4" t="s">
        <v>311</v>
      </c>
      <c r="B270" s="13" t="s">
        <v>48</v>
      </c>
      <c r="C270" s="4">
        <v>1.0</v>
      </c>
      <c r="E270" s="4">
        <v>28.0</v>
      </c>
    </row>
    <row r="271">
      <c r="A271" s="4" t="s">
        <v>312</v>
      </c>
      <c r="B271" s="13" t="s">
        <v>48</v>
      </c>
      <c r="C271" s="4">
        <v>2.0</v>
      </c>
      <c r="E271" s="4">
        <v>28.0</v>
      </c>
      <c r="G271" s="4">
        <v>30.0</v>
      </c>
    </row>
    <row r="272">
      <c r="A272" s="4" t="s">
        <v>313</v>
      </c>
      <c r="B272" s="13" t="s">
        <v>48</v>
      </c>
      <c r="C272" s="4">
        <v>1.0</v>
      </c>
      <c r="E272" s="3"/>
      <c r="G272" s="4">
        <v>30.0</v>
      </c>
    </row>
    <row r="273">
      <c r="A273" s="4" t="s">
        <v>314</v>
      </c>
      <c r="B273" s="13" t="s">
        <v>48</v>
      </c>
      <c r="C273" s="4">
        <v>1.0</v>
      </c>
      <c r="D273" s="4">
        <v>26.0</v>
      </c>
      <c r="E273" s="3"/>
    </row>
    <row r="274">
      <c r="A274" s="4" t="s">
        <v>315</v>
      </c>
      <c r="B274" s="13" t="s">
        <v>48</v>
      </c>
      <c r="C274" s="4">
        <v>1.0</v>
      </c>
      <c r="E274" s="4">
        <v>28.0</v>
      </c>
    </row>
    <row r="275">
      <c r="A275" s="4" t="s">
        <v>316</v>
      </c>
      <c r="B275" s="13" t="s">
        <v>48</v>
      </c>
      <c r="C275" s="4">
        <v>1.0</v>
      </c>
      <c r="E275" s="4">
        <v>28.0</v>
      </c>
    </row>
    <row r="276">
      <c r="A276" s="4" t="s">
        <v>317</v>
      </c>
      <c r="B276" s="13" t="s">
        <v>43</v>
      </c>
      <c r="E276" s="3"/>
    </row>
    <row r="277">
      <c r="A277" s="4" t="s">
        <v>318</v>
      </c>
      <c r="B277" s="13" t="s">
        <v>43</v>
      </c>
      <c r="E277" s="3"/>
    </row>
    <row r="278">
      <c r="A278" s="4" t="s">
        <v>319</v>
      </c>
      <c r="B278" s="13" t="s">
        <v>43</v>
      </c>
      <c r="E278" s="3"/>
    </row>
    <row r="279">
      <c r="A279" s="4" t="s">
        <v>320</v>
      </c>
      <c r="B279" s="13" t="s">
        <v>43</v>
      </c>
      <c r="E279" s="3"/>
    </row>
    <row r="280">
      <c r="A280" s="4" t="s">
        <v>321</v>
      </c>
      <c r="B280" s="13" t="s">
        <v>43</v>
      </c>
      <c r="E280" s="3"/>
    </row>
    <row r="281">
      <c r="A281" s="4" t="s">
        <v>322</v>
      </c>
      <c r="B281" s="13" t="s">
        <v>43</v>
      </c>
      <c r="E281" s="3"/>
    </row>
    <row r="282">
      <c r="A282" s="4" t="s">
        <v>323</v>
      </c>
      <c r="B282" s="13" t="s">
        <v>43</v>
      </c>
      <c r="E282" s="3"/>
    </row>
    <row r="283">
      <c r="A283" s="4" t="s">
        <v>324</v>
      </c>
      <c r="B283" s="13" t="s">
        <v>43</v>
      </c>
      <c r="E283" s="3"/>
    </row>
    <row r="284">
      <c r="A284" s="4" t="s">
        <v>325</v>
      </c>
      <c r="B284" s="13" t="s">
        <v>43</v>
      </c>
      <c r="E284" s="3"/>
    </row>
    <row r="285">
      <c r="A285" s="4" t="s">
        <v>326</v>
      </c>
      <c r="B285" s="13" t="s">
        <v>43</v>
      </c>
      <c r="E285" s="3"/>
    </row>
    <row r="286">
      <c r="A286" s="4" t="s">
        <v>327</v>
      </c>
      <c r="B286" s="13" t="s">
        <v>43</v>
      </c>
      <c r="E286" s="3"/>
    </row>
    <row r="287">
      <c r="A287" s="4" t="s">
        <v>328</v>
      </c>
      <c r="B287" s="13" t="s">
        <v>43</v>
      </c>
      <c r="E287" s="3"/>
    </row>
    <row r="288">
      <c r="A288" s="4" t="s">
        <v>329</v>
      </c>
      <c r="B288" s="13" t="s">
        <v>43</v>
      </c>
      <c r="E288" s="3"/>
    </row>
    <row r="289">
      <c r="A289" s="4" t="s">
        <v>330</v>
      </c>
      <c r="B289" s="13" t="s">
        <v>48</v>
      </c>
      <c r="C289" s="4">
        <v>1.0</v>
      </c>
      <c r="E289" s="3"/>
      <c r="H289" s="4">
        <v>33.0</v>
      </c>
    </row>
    <row r="290">
      <c r="A290" s="4" t="s">
        <v>331</v>
      </c>
      <c r="B290" s="13" t="s">
        <v>48</v>
      </c>
      <c r="C290" s="4">
        <v>1.0</v>
      </c>
      <c r="E290" s="3"/>
      <c r="H290" s="4">
        <v>33.0</v>
      </c>
    </row>
    <row r="291">
      <c r="A291" s="4" t="s">
        <v>332</v>
      </c>
      <c r="B291" s="13" t="s">
        <v>48</v>
      </c>
      <c r="C291" s="4">
        <v>1.0</v>
      </c>
      <c r="E291" s="3"/>
      <c r="H291" s="4">
        <v>33.0</v>
      </c>
    </row>
    <row r="292">
      <c r="A292" s="4" t="s">
        <v>333</v>
      </c>
      <c r="B292" s="13" t="s">
        <v>48</v>
      </c>
      <c r="C292" s="4">
        <v>1.0</v>
      </c>
      <c r="E292" s="3"/>
      <c r="H292" s="4">
        <v>33.0</v>
      </c>
    </row>
    <row r="293">
      <c r="A293" s="4" t="s">
        <v>334</v>
      </c>
      <c r="B293" s="13" t="s">
        <v>48</v>
      </c>
      <c r="C293" s="4">
        <v>1.0</v>
      </c>
      <c r="E293" s="3"/>
      <c r="H293" s="4">
        <v>33.0</v>
      </c>
    </row>
    <row r="294">
      <c r="A294" s="4" t="s">
        <v>335</v>
      </c>
      <c r="B294" s="13" t="s">
        <v>48</v>
      </c>
      <c r="C294" s="4">
        <v>1.0</v>
      </c>
      <c r="E294" s="3"/>
      <c r="H294" s="4">
        <v>33.0</v>
      </c>
    </row>
    <row r="295">
      <c r="A295" s="4" t="s">
        <v>336</v>
      </c>
      <c r="B295" s="13" t="s">
        <v>48</v>
      </c>
      <c r="C295" s="4">
        <v>1.0</v>
      </c>
      <c r="E295" s="3"/>
      <c r="H295" s="4">
        <v>33.0</v>
      </c>
    </row>
    <row r="296">
      <c r="A296" s="4" t="s">
        <v>337</v>
      </c>
      <c r="B296" s="13" t="s">
        <v>48</v>
      </c>
      <c r="C296" s="4">
        <v>1.0</v>
      </c>
      <c r="E296" s="3"/>
      <c r="H296" s="4">
        <v>33.0</v>
      </c>
    </row>
    <row r="297">
      <c r="A297" s="4" t="s">
        <v>338</v>
      </c>
      <c r="B297" s="13" t="s">
        <v>48</v>
      </c>
      <c r="C297" s="4">
        <v>1.0</v>
      </c>
      <c r="E297" s="3"/>
      <c r="H297" s="4">
        <v>33.0</v>
      </c>
    </row>
    <row r="298">
      <c r="A298" s="4" t="s">
        <v>339</v>
      </c>
      <c r="B298" s="13" t="s">
        <v>43</v>
      </c>
      <c r="E298" s="3"/>
    </row>
    <row r="299">
      <c r="A299" s="4" t="s">
        <v>340</v>
      </c>
      <c r="B299" s="13" t="s">
        <v>43</v>
      </c>
      <c r="E299" s="3"/>
    </row>
    <row r="300">
      <c r="A300" s="4" t="s">
        <v>341</v>
      </c>
      <c r="B300" s="13" t="s">
        <v>43</v>
      </c>
      <c r="E300" s="3"/>
    </row>
    <row r="301">
      <c r="A301" s="4" t="s">
        <v>342</v>
      </c>
      <c r="B301" s="13" t="s">
        <v>43</v>
      </c>
      <c r="E301" s="3"/>
    </row>
    <row r="302">
      <c r="A302" s="4" t="s">
        <v>343</v>
      </c>
      <c r="B302" s="13" t="s">
        <v>43</v>
      </c>
      <c r="E302" s="3"/>
    </row>
    <row r="303">
      <c r="A303" s="4" t="s">
        <v>344</v>
      </c>
      <c r="B303" s="13" t="s">
        <v>43</v>
      </c>
      <c r="E303" s="3"/>
    </row>
    <row r="304">
      <c r="A304" s="4" t="s">
        <v>345</v>
      </c>
      <c r="B304" s="13" t="s">
        <v>43</v>
      </c>
      <c r="E304" s="3"/>
    </row>
    <row r="305">
      <c r="A305" s="4" t="s">
        <v>346</v>
      </c>
      <c r="B305" s="13" t="s">
        <v>43</v>
      </c>
      <c r="E305" s="3"/>
    </row>
    <row r="306">
      <c r="A306" s="4" t="s">
        <v>347</v>
      </c>
      <c r="B306" s="13" t="s">
        <v>48</v>
      </c>
      <c r="C306" s="4">
        <v>2.0</v>
      </c>
      <c r="D306" s="4">
        <v>26.0</v>
      </c>
      <c r="E306" s="4">
        <v>28.0</v>
      </c>
    </row>
    <row r="307">
      <c r="A307" s="4" t="s">
        <v>348</v>
      </c>
      <c r="B307" s="13" t="s">
        <v>48</v>
      </c>
      <c r="C307" s="4">
        <v>3.0</v>
      </c>
      <c r="D307" s="4">
        <v>26.0</v>
      </c>
      <c r="E307" s="4">
        <v>28.0</v>
      </c>
      <c r="G307" s="4">
        <v>30.0</v>
      </c>
    </row>
    <row r="308">
      <c r="A308" s="4" t="s">
        <v>349</v>
      </c>
      <c r="B308" s="13" t="s">
        <v>48</v>
      </c>
      <c r="C308" s="4">
        <v>3.0</v>
      </c>
      <c r="D308" s="4">
        <v>26.0</v>
      </c>
      <c r="E308" s="4">
        <v>28.0</v>
      </c>
      <c r="G308" s="4">
        <v>30.0</v>
      </c>
    </row>
    <row r="309">
      <c r="A309" s="4" t="s">
        <v>350</v>
      </c>
      <c r="B309" s="13" t="s">
        <v>48</v>
      </c>
      <c r="C309" s="4">
        <v>3.0</v>
      </c>
      <c r="D309" s="4">
        <v>26.0</v>
      </c>
      <c r="E309" s="4">
        <v>28.0</v>
      </c>
      <c r="G309" s="4">
        <v>30.0</v>
      </c>
    </row>
    <row r="310">
      <c r="A310" s="4" t="s">
        <v>351</v>
      </c>
      <c r="B310" s="13" t="s">
        <v>48</v>
      </c>
      <c r="C310" s="4">
        <v>3.0</v>
      </c>
      <c r="D310" s="4">
        <v>26.0</v>
      </c>
      <c r="E310" s="4">
        <v>28.0</v>
      </c>
      <c r="G310" s="4">
        <v>30.0</v>
      </c>
    </row>
    <row r="311">
      <c r="A311" s="4" t="s">
        <v>352</v>
      </c>
      <c r="B311" s="13" t="s">
        <v>48</v>
      </c>
      <c r="C311" s="4">
        <v>3.0</v>
      </c>
      <c r="D311" s="4">
        <v>26.0</v>
      </c>
      <c r="E311" s="4">
        <v>28.0</v>
      </c>
      <c r="G311" s="4">
        <v>30.0</v>
      </c>
    </row>
    <row r="312">
      <c r="A312" s="4" t="s">
        <v>353</v>
      </c>
      <c r="B312" s="13" t="s">
        <v>48</v>
      </c>
      <c r="C312" s="4">
        <v>2.0</v>
      </c>
      <c r="D312" s="4">
        <v>26.0</v>
      </c>
      <c r="E312" s="3"/>
      <c r="G312" s="4">
        <v>30.0</v>
      </c>
    </row>
    <row r="313">
      <c r="A313" s="4" t="s">
        <v>354</v>
      </c>
      <c r="B313" s="13" t="s">
        <v>48</v>
      </c>
      <c r="C313" s="4">
        <v>2.0</v>
      </c>
      <c r="D313" s="4">
        <v>26.0</v>
      </c>
      <c r="E313" s="3"/>
      <c r="G313" s="4">
        <v>30.0</v>
      </c>
    </row>
    <row r="314">
      <c r="A314" s="4" t="s">
        <v>355</v>
      </c>
      <c r="B314" s="13" t="s">
        <v>48</v>
      </c>
      <c r="C314" s="4">
        <v>1.0</v>
      </c>
      <c r="E314" s="3"/>
      <c r="G314" s="4">
        <v>30.0</v>
      </c>
    </row>
    <row r="315">
      <c r="A315" s="4" t="s">
        <v>356</v>
      </c>
      <c r="B315" s="13" t="s">
        <v>48</v>
      </c>
      <c r="C315" s="4">
        <v>1.0</v>
      </c>
      <c r="E315" s="3"/>
      <c r="G315" s="4">
        <v>30.0</v>
      </c>
    </row>
    <row r="316">
      <c r="A316" s="4" t="s">
        <v>357</v>
      </c>
      <c r="B316" s="13" t="s">
        <v>48</v>
      </c>
      <c r="C316" s="4">
        <v>1.0</v>
      </c>
      <c r="E316" s="3"/>
      <c r="G316" s="4">
        <v>30.0</v>
      </c>
    </row>
    <row r="317">
      <c r="A317" s="4" t="s">
        <v>358</v>
      </c>
      <c r="B317" s="13" t="s">
        <v>48</v>
      </c>
      <c r="C317" s="4">
        <v>1.0</v>
      </c>
      <c r="E317" s="3"/>
      <c r="G317" s="4">
        <v>30.0</v>
      </c>
    </row>
    <row r="318">
      <c r="A318" s="4" t="s">
        <v>359</v>
      </c>
      <c r="B318" s="13" t="s">
        <v>48</v>
      </c>
      <c r="C318" s="4">
        <v>1.0</v>
      </c>
      <c r="E318" s="3"/>
      <c r="G318" s="4">
        <v>30.0</v>
      </c>
    </row>
    <row r="319">
      <c r="A319" s="4" t="s">
        <v>360</v>
      </c>
      <c r="B319" s="13" t="s">
        <v>48</v>
      </c>
      <c r="C319" s="4">
        <v>1.0</v>
      </c>
      <c r="E319" s="3"/>
      <c r="G319" s="4">
        <v>30.0</v>
      </c>
    </row>
    <row r="320">
      <c r="A320" s="4" t="s">
        <v>361</v>
      </c>
      <c r="B320" s="13" t="s">
        <v>48</v>
      </c>
      <c r="C320" s="4">
        <v>1.0</v>
      </c>
      <c r="E320" s="3"/>
      <c r="G320" s="4">
        <v>30.0</v>
      </c>
    </row>
    <row r="321">
      <c r="A321" s="4" t="s">
        <v>362</v>
      </c>
      <c r="B321" s="13" t="s">
        <v>48</v>
      </c>
      <c r="C321" s="4">
        <v>2.0</v>
      </c>
      <c r="D321" s="4">
        <v>26.0</v>
      </c>
      <c r="E321" s="3"/>
      <c r="G321" s="4">
        <v>30.0</v>
      </c>
    </row>
    <row r="322">
      <c r="A322" s="4" t="s">
        <v>363</v>
      </c>
      <c r="B322" s="13" t="s">
        <v>48</v>
      </c>
      <c r="C322" s="4">
        <v>2.0</v>
      </c>
      <c r="D322" s="4">
        <v>26.0</v>
      </c>
      <c r="E322" s="3"/>
      <c r="G322" s="4">
        <v>30.0</v>
      </c>
    </row>
    <row r="323">
      <c r="A323" s="4" t="s">
        <v>364</v>
      </c>
      <c r="B323" s="13" t="s">
        <v>48</v>
      </c>
      <c r="C323" s="4">
        <v>2.0</v>
      </c>
      <c r="D323" s="4">
        <v>26.0</v>
      </c>
      <c r="E323" s="3"/>
      <c r="G323" s="4">
        <v>30.0</v>
      </c>
    </row>
    <row r="324">
      <c r="A324" s="4" t="s">
        <v>365</v>
      </c>
      <c r="B324" s="13" t="s">
        <v>48</v>
      </c>
      <c r="C324" s="4">
        <v>2.0</v>
      </c>
      <c r="D324" s="4">
        <v>26.0</v>
      </c>
      <c r="E324" s="3"/>
      <c r="G324" s="4">
        <v>30.0</v>
      </c>
    </row>
    <row r="325">
      <c r="A325" s="4" t="s">
        <v>366</v>
      </c>
      <c r="B325" s="13" t="s">
        <v>48</v>
      </c>
      <c r="C325" s="4">
        <v>2.0</v>
      </c>
      <c r="D325" s="4">
        <v>26.0</v>
      </c>
      <c r="E325" s="3"/>
      <c r="G325" s="4">
        <v>30.0</v>
      </c>
    </row>
    <row r="326">
      <c r="A326" s="4" t="s">
        <v>367</v>
      </c>
      <c r="B326" s="13" t="s">
        <v>48</v>
      </c>
      <c r="C326" s="4">
        <v>2.0</v>
      </c>
      <c r="D326" s="4">
        <v>26.0</v>
      </c>
      <c r="E326" s="3"/>
      <c r="G326" s="4">
        <v>30.0</v>
      </c>
    </row>
    <row r="327">
      <c r="A327" s="4" t="s">
        <v>368</v>
      </c>
      <c r="B327" s="13" t="s">
        <v>48</v>
      </c>
      <c r="C327" s="4">
        <v>2.0</v>
      </c>
      <c r="D327" s="4">
        <v>26.0</v>
      </c>
      <c r="E327" s="3"/>
      <c r="G327" s="4">
        <v>30.0</v>
      </c>
    </row>
    <row r="328">
      <c r="A328" s="4" t="s">
        <v>369</v>
      </c>
      <c r="B328" s="13" t="s">
        <v>48</v>
      </c>
      <c r="C328" s="4">
        <v>2.0</v>
      </c>
      <c r="D328" s="4">
        <v>26.0</v>
      </c>
      <c r="E328" s="3"/>
      <c r="G328" s="4">
        <v>30.0</v>
      </c>
    </row>
    <row r="329">
      <c r="A329" s="4" t="s">
        <v>370</v>
      </c>
      <c r="B329" s="13" t="s">
        <v>48</v>
      </c>
      <c r="C329" s="4">
        <v>2.0</v>
      </c>
      <c r="D329" s="4">
        <v>26.0</v>
      </c>
      <c r="E329" s="3"/>
      <c r="G329" s="4">
        <v>30.0</v>
      </c>
    </row>
    <row r="330">
      <c r="A330" s="4" t="s">
        <v>371</v>
      </c>
      <c r="B330" s="13" t="s">
        <v>48</v>
      </c>
      <c r="C330" s="4">
        <v>1.0</v>
      </c>
      <c r="D330" s="4">
        <v>26.0</v>
      </c>
      <c r="E330" s="3"/>
    </row>
    <row r="331">
      <c r="A331" s="4" t="s">
        <v>372</v>
      </c>
      <c r="B331" s="13" t="s">
        <v>48</v>
      </c>
      <c r="C331" s="4">
        <v>1.0</v>
      </c>
      <c r="D331" s="4">
        <v>26.0</v>
      </c>
      <c r="E331" s="3"/>
    </row>
    <row r="332">
      <c r="A332" s="4" t="s">
        <v>373</v>
      </c>
      <c r="B332" s="19" t="s">
        <v>43</v>
      </c>
      <c r="E332" s="3"/>
    </row>
    <row r="333">
      <c r="A333" s="4" t="s">
        <v>374</v>
      </c>
      <c r="B333" s="19" t="s">
        <v>43</v>
      </c>
      <c r="E333" s="3"/>
    </row>
    <row r="334">
      <c r="A334" s="4" t="s">
        <v>375</v>
      </c>
      <c r="B334" s="19" t="s">
        <v>43</v>
      </c>
      <c r="E334" s="3"/>
    </row>
    <row r="335">
      <c r="A335" s="4" t="s">
        <v>376</v>
      </c>
      <c r="B335" s="19" t="s">
        <v>43</v>
      </c>
      <c r="E335" s="3"/>
    </row>
    <row r="336">
      <c r="A336" s="4" t="s">
        <v>377</v>
      </c>
      <c r="B336" s="19" t="s">
        <v>43</v>
      </c>
      <c r="E336" s="3"/>
    </row>
    <row r="337">
      <c r="A337" s="4" t="s">
        <v>378</v>
      </c>
      <c r="B337" s="19" t="s">
        <v>43</v>
      </c>
      <c r="E337" s="3"/>
    </row>
    <row r="338">
      <c r="A338" s="4" t="s">
        <v>379</v>
      </c>
      <c r="B338" s="19" t="s">
        <v>43</v>
      </c>
      <c r="E338" s="3"/>
    </row>
    <row r="339">
      <c r="A339" s="4" t="s">
        <v>380</v>
      </c>
      <c r="B339" s="19" t="s">
        <v>43</v>
      </c>
      <c r="E339" s="3"/>
    </row>
    <row r="340">
      <c r="A340" s="4" t="s">
        <v>381</v>
      </c>
      <c r="B340" s="19" t="s">
        <v>43</v>
      </c>
      <c r="E340" s="3"/>
    </row>
    <row r="341">
      <c r="A341" s="4" t="s">
        <v>382</v>
      </c>
      <c r="B341" s="19" t="s">
        <v>43</v>
      </c>
      <c r="E341" s="3"/>
    </row>
    <row r="342">
      <c r="A342" s="4" t="s">
        <v>383</v>
      </c>
      <c r="B342" s="19" t="s">
        <v>43</v>
      </c>
      <c r="E342" s="3"/>
    </row>
    <row r="343">
      <c r="A343" s="4" t="s">
        <v>384</v>
      </c>
      <c r="B343" s="19" t="s">
        <v>43</v>
      </c>
      <c r="E343" s="3"/>
    </row>
    <row r="344">
      <c r="A344" s="4" t="s">
        <v>385</v>
      </c>
      <c r="B344" s="19" t="s">
        <v>43</v>
      </c>
      <c r="E344" s="3"/>
    </row>
    <row r="345">
      <c r="A345" s="4" t="s">
        <v>386</v>
      </c>
      <c r="B345" s="19" t="s">
        <v>43</v>
      </c>
      <c r="E345" s="3"/>
    </row>
    <row r="346">
      <c r="A346" s="4" t="s">
        <v>387</v>
      </c>
      <c r="B346" s="19" t="s">
        <v>43</v>
      </c>
      <c r="E346" s="3"/>
    </row>
    <row r="347">
      <c r="A347" s="4" t="s">
        <v>388</v>
      </c>
      <c r="B347" s="19" t="s">
        <v>43</v>
      </c>
      <c r="E347" s="3"/>
    </row>
    <row r="348">
      <c r="A348" s="4" t="s">
        <v>389</v>
      </c>
      <c r="B348" s="19" t="s">
        <v>43</v>
      </c>
      <c r="E348" s="3"/>
    </row>
    <row r="349">
      <c r="A349" s="4" t="s">
        <v>390</v>
      </c>
      <c r="B349" s="19" t="s">
        <v>43</v>
      </c>
      <c r="E349" s="3"/>
    </row>
    <row r="350">
      <c r="A350" s="4" t="s">
        <v>391</v>
      </c>
      <c r="B350" s="19" t="s">
        <v>43</v>
      </c>
      <c r="E350" s="3"/>
    </row>
    <row r="351">
      <c r="A351" s="4" t="s">
        <v>392</v>
      </c>
      <c r="B351" s="19" t="s">
        <v>43</v>
      </c>
      <c r="E351" s="3"/>
    </row>
    <row r="352">
      <c r="A352" s="4" t="s">
        <v>393</v>
      </c>
      <c r="B352" s="19" t="s">
        <v>43</v>
      </c>
      <c r="E352" s="3"/>
    </row>
    <row r="353">
      <c r="A353" s="4" t="s">
        <v>394</v>
      </c>
      <c r="B353" s="19" t="s">
        <v>43</v>
      </c>
      <c r="E353" s="3"/>
    </row>
    <row r="354">
      <c r="A354" s="4" t="s">
        <v>395</v>
      </c>
      <c r="B354" s="19" t="s">
        <v>43</v>
      </c>
      <c r="E354" s="3"/>
    </row>
    <row r="355">
      <c r="A355" s="4" t="s">
        <v>396</v>
      </c>
      <c r="B355" s="19" t="s">
        <v>43</v>
      </c>
      <c r="E355" s="3"/>
    </row>
    <row r="356">
      <c r="A356" s="4" t="s">
        <v>397</v>
      </c>
      <c r="B356" s="19" t="s">
        <v>43</v>
      </c>
      <c r="E356" s="3"/>
    </row>
    <row r="357">
      <c r="A357" s="4" t="s">
        <v>398</v>
      </c>
      <c r="B357" s="19" t="s">
        <v>43</v>
      </c>
      <c r="E357" s="3"/>
    </row>
    <row r="358">
      <c r="A358" s="4" t="s">
        <v>399</v>
      </c>
      <c r="B358" s="19" t="s">
        <v>43</v>
      </c>
      <c r="E358" s="3"/>
    </row>
    <row r="359">
      <c r="A359" s="4" t="s">
        <v>400</v>
      </c>
      <c r="B359" s="13" t="s">
        <v>48</v>
      </c>
      <c r="C359" s="4">
        <v>1.0</v>
      </c>
      <c r="E359" s="3"/>
      <c r="G359" s="4">
        <v>30.0</v>
      </c>
    </row>
    <row r="360">
      <c r="A360" s="4" t="s">
        <v>401</v>
      </c>
      <c r="B360" s="13" t="s">
        <v>48</v>
      </c>
      <c r="C360" s="4">
        <v>1.0</v>
      </c>
      <c r="E360" s="3"/>
      <c r="G360" s="4">
        <v>30.0</v>
      </c>
    </row>
    <row r="361">
      <c r="A361" s="4" t="s">
        <v>402</v>
      </c>
      <c r="B361" s="13" t="s">
        <v>48</v>
      </c>
      <c r="C361" s="4">
        <v>1.0</v>
      </c>
      <c r="E361" s="3"/>
      <c r="G361" s="4">
        <v>30.0</v>
      </c>
    </row>
    <row r="362">
      <c r="A362" s="4" t="s">
        <v>403</v>
      </c>
      <c r="B362" s="13" t="s">
        <v>48</v>
      </c>
      <c r="C362" s="4">
        <v>1.0</v>
      </c>
      <c r="E362" s="3"/>
      <c r="G362" s="4">
        <v>30.0</v>
      </c>
    </row>
    <row r="363">
      <c r="A363" s="4" t="s">
        <v>404</v>
      </c>
      <c r="B363" s="13" t="s">
        <v>48</v>
      </c>
      <c r="C363" s="4">
        <v>1.0</v>
      </c>
      <c r="E363" s="3"/>
      <c r="G363" s="4">
        <v>30.0</v>
      </c>
    </row>
    <row r="364">
      <c r="A364" s="4" t="s">
        <v>405</v>
      </c>
      <c r="B364" s="13" t="s">
        <v>48</v>
      </c>
      <c r="C364" s="4">
        <v>1.0</v>
      </c>
      <c r="E364" s="3"/>
      <c r="G364" s="4">
        <v>30.0</v>
      </c>
    </row>
    <row r="365">
      <c r="A365" s="4" t="s">
        <v>406</v>
      </c>
      <c r="B365" s="13" t="s">
        <v>48</v>
      </c>
      <c r="C365" s="4">
        <v>1.0</v>
      </c>
      <c r="E365" s="3"/>
      <c r="G365" s="4">
        <v>30.0</v>
      </c>
    </row>
    <row r="366">
      <c r="A366" s="4" t="s">
        <v>407</v>
      </c>
      <c r="B366" s="13" t="s">
        <v>48</v>
      </c>
      <c r="C366" s="4">
        <v>1.0</v>
      </c>
      <c r="E366" s="3"/>
      <c r="G366" s="4">
        <v>30.0</v>
      </c>
    </row>
    <row r="367">
      <c r="A367" s="4" t="s">
        <v>408</v>
      </c>
      <c r="B367" s="13" t="s">
        <v>48</v>
      </c>
      <c r="C367" s="4">
        <v>1.0</v>
      </c>
      <c r="E367" s="3"/>
      <c r="G367" s="4">
        <v>30.0</v>
      </c>
    </row>
    <row r="368">
      <c r="A368" s="4" t="s">
        <v>409</v>
      </c>
      <c r="B368" s="13" t="s">
        <v>48</v>
      </c>
      <c r="C368" s="4">
        <v>1.0</v>
      </c>
      <c r="E368" s="3"/>
      <c r="G368" s="4">
        <v>30.0</v>
      </c>
    </row>
    <row r="369">
      <c r="A369" s="4" t="s">
        <v>410</v>
      </c>
      <c r="B369" s="13" t="s">
        <v>48</v>
      </c>
      <c r="C369" s="4">
        <v>1.0</v>
      </c>
      <c r="E369" s="3"/>
      <c r="G369" s="4">
        <v>30.0</v>
      </c>
    </row>
    <row r="370">
      <c r="A370" s="4" t="s">
        <v>411</v>
      </c>
      <c r="B370" s="13" t="s">
        <v>48</v>
      </c>
      <c r="C370" s="4">
        <v>1.0</v>
      </c>
      <c r="E370" s="3"/>
      <c r="G370" s="4">
        <v>30.0</v>
      </c>
    </row>
    <row r="371">
      <c r="A371" s="4" t="s">
        <v>412</v>
      </c>
      <c r="B371" s="13" t="s">
        <v>48</v>
      </c>
      <c r="C371" s="4">
        <v>1.0</v>
      </c>
      <c r="E371" s="3"/>
      <c r="G371" s="4">
        <v>30.0</v>
      </c>
    </row>
    <row r="372">
      <c r="A372" s="4" t="s">
        <v>413</v>
      </c>
      <c r="B372" s="13" t="s">
        <v>48</v>
      </c>
      <c r="C372" s="4">
        <v>1.0</v>
      </c>
      <c r="E372" s="3"/>
      <c r="G372" s="4">
        <v>30.0</v>
      </c>
    </row>
    <row r="373">
      <c r="A373" s="4" t="s">
        <v>414</v>
      </c>
      <c r="B373" s="13" t="s">
        <v>48</v>
      </c>
      <c r="C373" s="4">
        <v>1.0</v>
      </c>
      <c r="E373" s="3"/>
      <c r="G373" s="4">
        <v>30.0</v>
      </c>
    </row>
    <row r="374">
      <c r="A374" s="4" t="s">
        <v>415</v>
      </c>
      <c r="B374" s="13" t="s">
        <v>48</v>
      </c>
      <c r="C374" s="4">
        <v>1.0</v>
      </c>
      <c r="E374" s="3"/>
      <c r="G374" s="4">
        <v>30.0</v>
      </c>
    </row>
    <row r="375">
      <c r="A375" s="4" t="s">
        <v>416</v>
      </c>
      <c r="B375" s="13" t="s">
        <v>48</v>
      </c>
      <c r="C375" s="4">
        <v>1.0</v>
      </c>
      <c r="E375" s="3"/>
      <c r="G375" s="4">
        <v>30.0</v>
      </c>
    </row>
    <row r="376">
      <c r="A376" s="4" t="s">
        <v>417</v>
      </c>
      <c r="B376" s="13" t="s">
        <v>48</v>
      </c>
      <c r="C376" s="4">
        <v>1.0</v>
      </c>
      <c r="E376" s="3"/>
      <c r="G376" s="4">
        <v>30.0</v>
      </c>
    </row>
    <row r="377">
      <c r="A377" s="4" t="s">
        <v>418</v>
      </c>
      <c r="B377" s="13" t="s">
        <v>48</v>
      </c>
      <c r="C377" s="4">
        <v>1.0</v>
      </c>
      <c r="E377" s="3"/>
      <c r="G377" s="4">
        <v>30.0</v>
      </c>
    </row>
    <row r="378">
      <c r="A378" s="4" t="s">
        <v>419</v>
      </c>
      <c r="B378" s="13" t="s">
        <v>48</v>
      </c>
      <c r="C378" s="4">
        <v>1.0</v>
      </c>
      <c r="E378" s="3"/>
      <c r="G378" s="4">
        <v>30.0</v>
      </c>
    </row>
    <row r="379">
      <c r="A379" s="4" t="s">
        <v>420</v>
      </c>
      <c r="B379" s="13" t="s">
        <v>48</v>
      </c>
      <c r="C379" s="4">
        <v>1.0</v>
      </c>
      <c r="E379" s="3"/>
      <c r="G379" s="4">
        <v>30.0</v>
      </c>
    </row>
    <row r="380">
      <c r="A380" s="4" t="s">
        <v>421</v>
      </c>
      <c r="B380" s="13" t="s">
        <v>48</v>
      </c>
      <c r="C380" s="4">
        <v>1.0</v>
      </c>
      <c r="E380" s="3"/>
      <c r="G380" s="4">
        <v>30.0</v>
      </c>
    </row>
    <row r="381">
      <c r="A381" s="4" t="s">
        <v>422</v>
      </c>
      <c r="B381" s="13" t="s">
        <v>48</v>
      </c>
      <c r="C381" s="4">
        <v>1.0</v>
      </c>
      <c r="E381" s="3"/>
      <c r="G381" s="4">
        <v>30.0</v>
      </c>
    </row>
    <row r="382">
      <c r="A382" s="4" t="s">
        <v>423</v>
      </c>
      <c r="B382" s="13" t="s">
        <v>43</v>
      </c>
      <c r="E382" s="3"/>
    </row>
    <row r="383">
      <c r="A383" s="4" t="s">
        <v>424</v>
      </c>
      <c r="B383" s="13" t="s">
        <v>43</v>
      </c>
      <c r="E383" s="3"/>
    </row>
    <row r="384">
      <c r="A384" s="4" t="s">
        <v>425</v>
      </c>
      <c r="B384" s="13" t="s">
        <v>43</v>
      </c>
      <c r="E384" s="3"/>
    </row>
    <row r="385">
      <c r="A385" s="4" t="s">
        <v>426</v>
      </c>
      <c r="B385" s="13" t="s">
        <v>43</v>
      </c>
      <c r="E385" s="3"/>
    </row>
    <row r="386">
      <c r="A386" s="4" t="s">
        <v>427</v>
      </c>
      <c r="B386" s="13" t="s">
        <v>43</v>
      </c>
      <c r="E386" s="3"/>
    </row>
    <row r="387">
      <c r="A387" s="4" t="s">
        <v>428</v>
      </c>
      <c r="B387" s="13" t="s">
        <v>43</v>
      </c>
      <c r="E387" s="3"/>
    </row>
    <row r="388">
      <c r="A388" s="4" t="s">
        <v>429</v>
      </c>
      <c r="B388" s="13" t="s">
        <v>43</v>
      </c>
      <c r="E388" s="3"/>
    </row>
    <row r="389">
      <c r="A389" s="4" t="s">
        <v>430</v>
      </c>
      <c r="B389" s="13" t="s">
        <v>43</v>
      </c>
      <c r="E389" s="3"/>
    </row>
    <row r="390">
      <c r="A390" s="4" t="s">
        <v>431</v>
      </c>
      <c r="B390" s="13" t="s">
        <v>48</v>
      </c>
      <c r="C390" s="4">
        <v>1.0</v>
      </c>
      <c r="E390" s="3"/>
      <c r="F390" s="4">
        <v>29.0</v>
      </c>
    </row>
    <row r="391">
      <c r="A391" s="4" t="s">
        <v>432</v>
      </c>
      <c r="B391" s="13" t="s">
        <v>48</v>
      </c>
      <c r="C391" s="4">
        <v>1.0</v>
      </c>
      <c r="E391" s="3"/>
      <c r="F391" s="4">
        <v>29.0</v>
      </c>
    </row>
    <row r="392">
      <c r="A392" s="4" t="s">
        <v>433</v>
      </c>
      <c r="B392" s="13" t="s">
        <v>48</v>
      </c>
      <c r="C392" s="4">
        <v>1.0</v>
      </c>
      <c r="E392" s="3"/>
      <c r="F392" s="4">
        <v>29.0</v>
      </c>
    </row>
    <row r="393">
      <c r="A393" s="4" t="s">
        <v>434</v>
      </c>
      <c r="B393" s="13" t="s">
        <v>48</v>
      </c>
      <c r="C393" s="4">
        <v>1.0</v>
      </c>
      <c r="E393" s="3"/>
      <c r="F393" s="4">
        <v>29.0</v>
      </c>
    </row>
    <row r="394">
      <c r="A394" s="4" t="s">
        <v>435</v>
      </c>
      <c r="B394" s="13" t="s">
        <v>48</v>
      </c>
      <c r="C394" s="4">
        <v>1.0</v>
      </c>
      <c r="E394" s="3"/>
      <c r="F394" s="4">
        <v>29.0</v>
      </c>
    </row>
    <row r="395">
      <c r="A395" s="4" t="s">
        <v>436</v>
      </c>
      <c r="B395" s="13" t="s">
        <v>48</v>
      </c>
      <c r="C395" s="4">
        <v>1.0</v>
      </c>
      <c r="E395" s="3"/>
      <c r="F395" s="4">
        <v>29.0</v>
      </c>
    </row>
    <row r="396">
      <c r="A396" s="4" t="s">
        <v>437</v>
      </c>
      <c r="B396" s="13" t="s">
        <v>48</v>
      </c>
      <c r="C396" s="4">
        <v>1.0</v>
      </c>
      <c r="E396" s="3"/>
      <c r="F396" s="4">
        <v>29.0</v>
      </c>
    </row>
    <row r="397">
      <c r="A397" s="4" t="s">
        <v>438</v>
      </c>
      <c r="B397" s="13" t="s">
        <v>48</v>
      </c>
      <c r="C397" s="4">
        <v>1.0</v>
      </c>
      <c r="E397" s="3"/>
      <c r="F397" s="4">
        <v>29.0</v>
      </c>
    </row>
    <row r="398">
      <c r="A398" s="4" t="s">
        <v>439</v>
      </c>
      <c r="B398" s="13" t="s">
        <v>48</v>
      </c>
      <c r="C398" s="4">
        <v>1.0</v>
      </c>
      <c r="E398" s="3"/>
      <c r="F398" s="4">
        <v>29.0</v>
      </c>
    </row>
    <row r="399">
      <c r="A399" s="4" t="s">
        <v>440</v>
      </c>
      <c r="B399" s="13" t="s">
        <v>48</v>
      </c>
      <c r="C399" s="4">
        <v>1.0</v>
      </c>
      <c r="E399" s="3"/>
      <c r="F399" s="4">
        <v>29.0</v>
      </c>
    </row>
    <row r="400">
      <c r="A400" s="4" t="s">
        <v>441</v>
      </c>
      <c r="B400" s="13" t="s">
        <v>48</v>
      </c>
      <c r="C400" s="4">
        <v>1.0</v>
      </c>
      <c r="E400" s="3"/>
      <c r="F400" s="4">
        <v>29.0</v>
      </c>
    </row>
    <row r="401">
      <c r="A401" s="4" t="s">
        <v>442</v>
      </c>
      <c r="B401" s="13" t="s">
        <v>43</v>
      </c>
      <c r="E401" s="3"/>
    </row>
    <row r="402">
      <c r="A402" s="4" t="s">
        <v>443</v>
      </c>
      <c r="B402" s="13" t="s">
        <v>43</v>
      </c>
      <c r="E402" s="3"/>
    </row>
    <row r="403">
      <c r="A403" s="4" t="s">
        <v>444</v>
      </c>
      <c r="B403" s="13" t="s">
        <v>43</v>
      </c>
      <c r="E403" s="3"/>
    </row>
    <row r="404">
      <c r="A404" s="4" t="s">
        <v>445</v>
      </c>
      <c r="B404" s="13" t="s">
        <v>43</v>
      </c>
      <c r="E404" s="3"/>
    </row>
    <row r="405">
      <c r="A405" s="4" t="s">
        <v>446</v>
      </c>
      <c r="B405" s="13" t="s">
        <v>43</v>
      </c>
      <c r="E405" s="3"/>
    </row>
    <row r="406">
      <c r="A406" s="4" t="s">
        <v>447</v>
      </c>
      <c r="B406" s="13" t="s">
        <v>43</v>
      </c>
      <c r="E406" s="3"/>
    </row>
    <row r="407">
      <c r="A407" s="4" t="s">
        <v>448</v>
      </c>
      <c r="B407" s="13" t="s">
        <v>48</v>
      </c>
      <c r="C407" s="4">
        <v>1.0</v>
      </c>
      <c r="E407" s="3"/>
      <c r="G407" s="4">
        <v>30.0</v>
      </c>
    </row>
    <row r="408">
      <c r="A408" s="4" t="s">
        <v>449</v>
      </c>
      <c r="B408" s="13" t="s">
        <v>48</v>
      </c>
      <c r="C408" s="4">
        <v>1.0</v>
      </c>
      <c r="E408" s="3"/>
      <c r="G408" s="4">
        <v>30.0</v>
      </c>
    </row>
    <row r="409">
      <c r="A409" s="4" t="s">
        <v>450</v>
      </c>
      <c r="B409" s="13" t="s">
        <v>48</v>
      </c>
      <c r="C409" s="4">
        <v>1.0</v>
      </c>
      <c r="E409" s="3"/>
      <c r="G409" s="4">
        <v>30.0</v>
      </c>
    </row>
    <row r="410">
      <c r="A410" s="4" t="s">
        <v>451</v>
      </c>
      <c r="B410" s="13" t="s">
        <v>48</v>
      </c>
      <c r="C410" s="4">
        <v>1.0</v>
      </c>
      <c r="E410" s="3"/>
      <c r="G410" s="4">
        <v>30.0</v>
      </c>
    </row>
    <row r="411">
      <c r="A411" s="4" t="s">
        <v>452</v>
      </c>
      <c r="B411" s="13" t="s">
        <v>48</v>
      </c>
      <c r="C411" s="4">
        <v>1.0</v>
      </c>
      <c r="E411" s="3"/>
      <c r="G411" s="4">
        <v>30.0</v>
      </c>
    </row>
    <row r="412">
      <c r="A412" s="4" t="s">
        <v>453</v>
      </c>
      <c r="B412" s="13" t="s">
        <v>48</v>
      </c>
      <c r="C412" s="4">
        <v>1.0</v>
      </c>
      <c r="E412" s="3"/>
      <c r="G412" s="4">
        <v>30.0</v>
      </c>
    </row>
    <row r="413">
      <c r="A413" s="4" t="s">
        <v>454</v>
      </c>
      <c r="B413" s="13" t="s">
        <v>48</v>
      </c>
      <c r="C413" s="4">
        <v>1.0</v>
      </c>
      <c r="E413" s="3"/>
      <c r="G413" s="4">
        <v>30.0</v>
      </c>
    </row>
    <row r="414">
      <c r="A414" s="4" t="s">
        <v>455</v>
      </c>
      <c r="B414" s="13" t="s">
        <v>48</v>
      </c>
      <c r="C414" s="4">
        <v>1.0</v>
      </c>
      <c r="E414" s="3"/>
      <c r="G414" s="4">
        <v>30.0</v>
      </c>
    </row>
    <row r="415">
      <c r="A415" s="4" t="s">
        <v>456</v>
      </c>
      <c r="B415" s="13" t="s">
        <v>48</v>
      </c>
      <c r="C415" s="4">
        <v>1.0</v>
      </c>
      <c r="E415" s="3"/>
      <c r="G415" s="4">
        <v>30.0</v>
      </c>
    </row>
    <row r="416">
      <c r="A416" s="4" t="s">
        <v>457</v>
      </c>
      <c r="B416" s="13" t="s">
        <v>48</v>
      </c>
      <c r="C416" s="4">
        <v>1.0</v>
      </c>
      <c r="E416" s="3"/>
      <c r="G416" s="4">
        <v>30.0</v>
      </c>
    </row>
    <row r="417">
      <c r="A417" s="4" t="s">
        <v>458</v>
      </c>
      <c r="B417" s="13" t="s">
        <v>48</v>
      </c>
      <c r="C417" s="4">
        <v>1.0</v>
      </c>
      <c r="E417" s="3"/>
      <c r="G417" s="4">
        <v>30.0</v>
      </c>
    </row>
    <row r="418">
      <c r="A418" s="4" t="s">
        <v>459</v>
      </c>
      <c r="B418" s="13" t="s">
        <v>48</v>
      </c>
      <c r="C418" s="4">
        <v>1.0</v>
      </c>
      <c r="E418" s="3"/>
      <c r="G418" s="4">
        <v>30.0</v>
      </c>
    </row>
    <row r="419">
      <c r="A419" s="4" t="s">
        <v>460</v>
      </c>
      <c r="B419" s="13" t="s">
        <v>48</v>
      </c>
      <c r="C419" s="4">
        <v>1.0</v>
      </c>
      <c r="E419" s="3"/>
      <c r="G419" s="4">
        <v>30.0</v>
      </c>
    </row>
    <row r="420">
      <c r="A420" s="4" t="s">
        <v>461</v>
      </c>
      <c r="B420" s="13" t="s">
        <v>48</v>
      </c>
      <c r="C420" s="4">
        <v>1.0</v>
      </c>
      <c r="E420" s="3"/>
      <c r="G420" s="4">
        <v>30.0</v>
      </c>
    </row>
    <row r="421">
      <c r="A421" s="4" t="s">
        <v>462</v>
      </c>
      <c r="B421" s="13" t="s">
        <v>48</v>
      </c>
      <c r="C421" s="4">
        <v>1.0</v>
      </c>
      <c r="E421" s="3"/>
      <c r="G421" s="4">
        <v>30.0</v>
      </c>
    </row>
    <row r="422">
      <c r="A422" s="4" t="s">
        <v>463</v>
      </c>
      <c r="B422" s="13" t="s">
        <v>48</v>
      </c>
      <c r="C422" s="4">
        <v>1.0</v>
      </c>
      <c r="E422" s="3"/>
      <c r="G422" s="4">
        <v>30.0</v>
      </c>
    </row>
    <row r="423">
      <c r="A423" s="4" t="s">
        <v>464</v>
      </c>
      <c r="B423" s="13" t="s">
        <v>43</v>
      </c>
      <c r="E423" s="3"/>
    </row>
    <row r="424">
      <c r="A424" s="4" t="s">
        <v>465</v>
      </c>
      <c r="B424" s="13" t="s">
        <v>43</v>
      </c>
      <c r="E424" s="3"/>
    </row>
    <row r="425">
      <c r="A425" s="4" t="s">
        <v>466</v>
      </c>
      <c r="B425" s="13" t="s">
        <v>43</v>
      </c>
      <c r="E425" s="3"/>
    </row>
    <row r="426">
      <c r="A426" s="4" t="s">
        <v>467</v>
      </c>
      <c r="B426" s="13" t="s">
        <v>43</v>
      </c>
      <c r="E426" s="3"/>
    </row>
    <row r="427">
      <c r="A427" s="4" t="s">
        <v>468</v>
      </c>
      <c r="B427" s="13" t="s">
        <v>43</v>
      </c>
      <c r="E427" s="3"/>
    </row>
    <row r="428">
      <c r="A428" s="4" t="s">
        <v>469</v>
      </c>
      <c r="B428" s="13" t="s">
        <v>43</v>
      </c>
      <c r="E428" s="3"/>
    </row>
    <row r="429">
      <c r="A429" s="4" t="s">
        <v>470</v>
      </c>
      <c r="B429" s="13" t="s">
        <v>43</v>
      </c>
      <c r="E429" s="3"/>
    </row>
    <row r="430">
      <c r="A430" s="4" t="s">
        <v>471</v>
      </c>
      <c r="B430" s="13" t="s">
        <v>43</v>
      </c>
      <c r="E430" s="3"/>
    </row>
    <row r="431">
      <c r="A431" s="4" t="s">
        <v>472</v>
      </c>
      <c r="B431" s="13" t="s">
        <v>43</v>
      </c>
      <c r="E431" s="3"/>
    </row>
    <row r="432">
      <c r="A432" s="4" t="s">
        <v>473</v>
      </c>
      <c r="B432" s="13" t="s">
        <v>43</v>
      </c>
      <c r="E432" s="3"/>
    </row>
    <row r="433">
      <c r="A433" s="4" t="s">
        <v>474</v>
      </c>
      <c r="B433" s="13" t="s">
        <v>43</v>
      </c>
      <c r="E433" s="3"/>
    </row>
    <row r="434">
      <c r="A434" s="4" t="s">
        <v>475</v>
      </c>
      <c r="B434" s="13" t="s">
        <v>43</v>
      </c>
      <c r="E434" s="3"/>
    </row>
    <row r="435">
      <c r="A435" s="4" t="s">
        <v>476</v>
      </c>
      <c r="B435" s="13" t="s">
        <v>43</v>
      </c>
      <c r="E435" s="3"/>
    </row>
    <row r="436">
      <c r="A436" s="4" t="s">
        <v>477</v>
      </c>
      <c r="B436" s="13" t="s">
        <v>43</v>
      </c>
      <c r="E436" s="3"/>
    </row>
    <row r="437">
      <c r="A437" s="4" t="s">
        <v>478</v>
      </c>
      <c r="B437" s="13" t="s">
        <v>43</v>
      </c>
      <c r="E437" s="3"/>
    </row>
    <row r="438">
      <c r="A438" s="4" t="s">
        <v>479</v>
      </c>
      <c r="B438" s="13" t="s">
        <v>43</v>
      </c>
      <c r="E438" s="3"/>
    </row>
    <row r="439">
      <c r="A439" s="4" t="s">
        <v>480</v>
      </c>
      <c r="B439" s="13" t="s">
        <v>43</v>
      </c>
      <c r="E439" s="3"/>
    </row>
    <row r="440">
      <c r="A440" s="4" t="s">
        <v>481</v>
      </c>
      <c r="B440" s="13" t="s">
        <v>43</v>
      </c>
      <c r="E440" s="3"/>
    </row>
    <row r="441">
      <c r="A441" s="4" t="s">
        <v>482</v>
      </c>
      <c r="B441" s="13" t="s">
        <v>43</v>
      </c>
      <c r="E441" s="3"/>
    </row>
    <row r="442">
      <c r="A442" s="4" t="s">
        <v>483</v>
      </c>
      <c r="B442" s="13" t="s">
        <v>43</v>
      </c>
      <c r="E442" s="3"/>
    </row>
    <row r="443">
      <c r="A443" s="4" t="s">
        <v>484</v>
      </c>
      <c r="B443" s="13" t="s">
        <v>43</v>
      </c>
      <c r="E443" s="3"/>
    </row>
    <row r="444">
      <c r="A444" s="4" t="s">
        <v>485</v>
      </c>
      <c r="B444" s="13" t="s">
        <v>43</v>
      </c>
      <c r="E444" s="3"/>
    </row>
    <row r="445">
      <c r="A445" s="4" t="s">
        <v>486</v>
      </c>
      <c r="B445" s="13" t="s">
        <v>48</v>
      </c>
      <c r="C445" s="4">
        <v>1.0</v>
      </c>
      <c r="E445" s="3"/>
      <c r="F445" s="4">
        <v>29.0</v>
      </c>
    </row>
    <row r="446">
      <c r="A446" s="4" t="s">
        <v>487</v>
      </c>
      <c r="B446" s="13" t="s">
        <v>48</v>
      </c>
      <c r="C446" s="4">
        <v>1.0</v>
      </c>
      <c r="E446" s="3"/>
      <c r="F446" s="4">
        <v>29.0</v>
      </c>
    </row>
    <row r="447">
      <c r="A447" s="4" t="s">
        <v>488</v>
      </c>
      <c r="B447" s="13" t="s">
        <v>48</v>
      </c>
      <c r="C447" s="4">
        <v>1.0</v>
      </c>
      <c r="E447" s="3"/>
      <c r="F447" s="4">
        <v>29.0</v>
      </c>
    </row>
    <row r="448">
      <c r="A448" s="4" t="s">
        <v>489</v>
      </c>
      <c r="B448" s="13" t="s">
        <v>48</v>
      </c>
      <c r="C448" s="4">
        <v>1.0</v>
      </c>
      <c r="E448" s="3"/>
      <c r="F448" s="4">
        <v>29.0</v>
      </c>
    </row>
    <row r="449">
      <c r="A449" s="4" t="s">
        <v>490</v>
      </c>
      <c r="B449" s="13" t="s">
        <v>48</v>
      </c>
      <c r="C449" s="4">
        <v>1.0</v>
      </c>
      <c r="E449" s="3"/>
      <c r="F449" s="4">
        <v>29.0</v>
      </c>
    </row>
    <row r="450">
      <c r="A450" s="4" t="s">
        <v>491</v>
      </c>
      <c r="B450" s="13" t="s">
        <v>48</v>
      </c>
      <c r="C450" s="4">
        <v>1.0</v>
      </c>
      <c r="E450" s="3"/>
      <c r="F450" s="4">
        <v>29.0</v>
      </c>
    </row>
    <row r="451">
      <c r="A451" s="4" t="s">
        <v>492</v>
      </c>
      <c r="B451" s="13" t="s">
        <v>48</v>
      </c>
      <c r="C451" s="4">
        <v>1.0</v>
      </c>
      <c r="E451" s="3"/>
      <c r="F451" s="4">
        <v>29.0</v>
      </c>
    </row>
    <row r="452">
      <c r="A452" s="4" t="s">
        <v>493</v>
      </c>
      <c r="B452" s="13" t="s">
        <v>48</v>
      </c>
      <c r="C452" s="4">
        <v>1.0</v>
      </c>
      <c r="E452" s="3"/>
      <c r="F452" s="4">
        <v>29.0</v>
      </c>
    </row>
    <row r="453">
      <c r="A453" s="4" t="s">
        <v>494</v>
      </c>
      <c r="B453" s="13" t="s">
        <v>48</v>
      </c>
      <c r="C453" s="4">
        <v>1.0</v>
      </c>
      <c r="E453" s="3"/>
      <c r="F453" s="4">
        <v>29.0</v>
      </c>
    </row>
    <row r="454">
      <c r="A454" s="4" t="s">
        <v>495</v>
      </c>
      <c r="B454" s="13" t="s">
        <v>48</v>
      </c>
      <c r="C454" s="4">
        <v>1.0</v>
      </c>
      <c r="E454" s="3"/>
      <c r="F454" s="4">
        <v>29.0</v>
      </c>
    </row>
    <row r="455">
      <c r="A455" s="4" t="s">
        <v>496</v>
      </c>
      <c r="B455" s="13" t="s">
        <v>48</v>
      </c>
      <c r="C455" s="4">
        <v>1.0</v>
      </c>
      <c r="E455" s="3"/>
      <c r="F455" s="4">
        <v>29.0</v>
      </c>
    </row>
    <row r="456">
      <c r="A456" s="4" t="s">
        <v>497</v>
      </c>
      <c r="B456" s="13" t="s">
        <v>48</v>
      </c>
      <c r="C456" s="4">
        <v>1.0</v>
      </c>
      <c r="E456" s="3"/>
      <c r="F456" s="4">
        <v>29.0</v>
      </c>
    </row>
    <row r="457">
      <c r="A457" s="4" t="s">
        <v>498</v>
      </c>
      <c r="B457" s="13" t="s">
        <v>43</v>
      </c>
      <c r="E457" s="3"/>
    </row>
    <row r="458">
      <c r="A458" s="4" t="s">
        <v>499</v>
      </c>
      <c r="B458" s="13" t="s">
        <v>43</v>
      </c>
      <c r="E458" s="3"/>
    </row>
    <row r="459">
      <c r="A459" s="4" t="s">
        <v>500</v>
      </c>
      <c r="B459" s="13" t="s">
        <v>43</v>
      </c>
      <c r="E459" s="3"/>
    </row>
    <row r="460">
      <c r="A460" s="4" t="s">
        <v>501</v>
      </c>
      <c r="B460" s="13" t="s">
        <v>43</v>
      </c>
      <c r="E460" s="3"/>
    </row>
    <row r="461">
      <c r="A461" s="4" t="s">
        <v>502</v>
      </c>
      <c r="B461" s="13" t="s">
        <v>43</v>
      </c>
      <c r="E461" s="3"/>
    </row>
    <row r="462">
      <c r="A462" s="4" t="s">
        <v>503</v>
      </c>
      <c r="B462" s="13" t="s">
        <v>43</v>
      </c>
      <c r="E462" s="3"/>
    </row>
    <row r="463">
      <c r="A463" s="4" t="s">
        <v>504</v>
      </c>
      <c r="B463" s="13" t="s">
        <v>43</v>
      </c>
      <c r="E463" s="3"/>
    </row>
    <row r="464">
      <c r="A464" s="4" t="s">
        <v>505</v>
      </c>
      <c r="B464" s="13" t="s">
        <v>43</v>
      </c>
      <c r="E464" s="3"/>
    </row>
    <row r="465">
      <c r="A465" s="4" t="s">
        <v>506</v>
      </c>
      <c r="B465" s="13" t="s">
        <v>43</v>
      </c>
      <c r="E465" s="3"/>
    </row>
    <row r="466">
      <c r="A466" s="4" t="s">
        <v>507</v>
      </c>
      <c r="B466" s="13" t="s">
        <v>43</v>
      </c>
      <c r="E466" s="3"/>
    </row>
    <row r="467">
      <c r="A467" s="4" t="s">
        <v>508</v>
      </c>
      <c r="B467" s="13" t="s">
        <v>43</v>
      </c>
      <c r="E467" s="3"/>
    </row>
    <row r="468">
      <c r="A468" s="4" t="s">
        <v>509</v>
      </c>
      <c r="B468" s="13" t="s">
        <v>43</v>
      </c>
      <c r="E468" s="3"/>
    </row>
    <row r="469">
      <c r="A469" s="4" t="s">
        <v>510</v>
      </c>
      <c r="B469" s="13" t="s">
        <v>43</v>
      </c>
      <c r="E469" s="3"/>
    </row>
    <row r="470">
      <c r="A470" s="4" t="s">
        <v>511</v>
      </c>
      <c r="B470" s="13" t="s">
        <v>43</v>
      </c>
      <c r="E470" s="3"/>
    </row>
    <row r="471">
      <c r="A471" s="4" t="s">
        <v>512</v>
      </c>
      <c r="B471" s="13" t="s">
        <v>43</v>
      </c>
      <c r="E471" s="3"/>
    </row>
    <row r="472">
      <c r="A472" s="4" t="s">
        <v>513</v>
      </c>
      <c r="B472" s="13" t="s">
        <v>48</v>
      </c>
      <c r="C472" s="4">
        <v>1.0</v>
      </c>
      <c r="E472" s="3"/>
      <c r="H472" s="4">
        <v>33.0</v>
      </c>
    </row>
    <row r="473">
      <c r="A473" s="4" t="s">
        <v>514</v>
      </c>
      <c r="B473" s="13" t="s">
        <v>48</v>
      </c>
      <c r="C473" s="4">
        <v>1.0</v>
      </c>
      <c r="E473" s="3"/>
      <c r="H473" s="4">
        <v>33.0</v>
      </c>
    </row>
    <row r="474">
      <c r="A474" s="4" t="s">
        <v>515</v>
      </c>
      <c r="B474" s="13" t="s">
        <v>48</v>
      </c>
      <c r="C474" s="4">
        <v>1.0</v>
      </c>
      <c r="E474" s="3"/>
      <c r="H474" s="4">
        <v>33.0</v>
      </c>
    </row>
    <row r="475">
      <c r="A475" s="4" t="s">
        <v>516</v>
      </c>
      <c r="B475" s="13" t="s">
        <v>48</v>
      </c>
      <c r="C475" s="4">
        <v>1.0</v>
      </c>
      <c r="E475" s="3"/>
      <c r="H475" s="4">
        <v>33.0</v>
      </c>
    </row>
    <row r="476">
      <c r="A476" s="4" t="s">
        <v>517</v>
      </c>
      <c r="B476" s="13" t="s">
        <v>48</v>
      </c>
      <c r="C476" s="4">
        <v>1.0</v>
      </c>
      <c r="E476" s="3"/>
      <c r="H476" s="4">
        <v>33.0</v>
      </c>
    </row>
    <row r="477">
      <c r="A477" s="4" t="s">
        <v>518</v>
      </c>
      <c r="B477" s="13" t="s">
        <v>48</v>
      </c>
      <c r="C477" s="4">
        <v>1.0</v>
      </c>
      <c r="E477" s="3"/>
      <c r="H477" s="4">
        <v>33.0</v>
      </c>
    </row>
    <row r="478">
      <c r="A478" s="4" t="s">
        <v>519</v>
      </c>
      <c r="B478" s="13" t="s">
        <v>48</v>
      </c>
      <c r="C478" s="4">
        <v>1.0</v>
      </c>
      <c r="E478" s="3"/>
      <c r="H478" s="4">
        <v>33.0</v>
      </c>
    </row>
    <row r="479">
      <c r="A479" s="4" t="s">
        <v>520</v>
      </c>
      <c r="B479" s="13" t="s">
        <v>48</v>
      </c>
      <c r="C479" s="4">
        <v>1.0</v>
      </c>
      <c r="E479" s="3"/>
      <c r="H479" s="4">
        <v>33.0</v>
      </c>
    </row>
    <row r="480">
      <c r="A480" s="4" t="s">
        <v>521</v>
      </c>
      <c r="B480" s="13" t="s">
        <v>48</v>
      </c>
      <c r="C480" s="4">
        <v>3.0</v>
      </c>
      <c r="D480" s="4">
        <v>26.0</v>
      </c>
      <c r="E480" s="3"/>
      <c r="G480" s="4">
        <v>30.0</v>
      </c>
      <c r="H480" s="4">
        <v>33.0</v>
      </c>
    </row>
    <row r="481">
      <c r="A481" s="4" t="s">
        <v>522</v>
      </c>
      <c r="B481" s="13" t="s">
        <v>43</v>
      </c>
      <c r="E481" s="3"/>
    </row>
    <row r="482">
      <c r="A482" s="4" t="s">
        <v>523</v>
      </c>
      <c r="B482" s="13" t="s">
        <v>43</v>
      </c>
      <c r="E482" s="3"/>
    </row>
    <row r="483">
      <c r="A483" s="4" t="s">
        <v>524</v>
      </c>
      <c r="B483" s="13" t="s">
        <v>43</v>
      </c>
      <c r="E483" s="3"/>
    </row>
    <row r="484">
      <c r="A484" s="4" t="s">
        <v>525</v>
      </c>
      <c r="B484" s="13" t="s">
        <v>48</v>
      </c>
      <c r="C484" s="4">
        <v>1.0</v>
      </c>
      <c r="E484" s="3"/>
      <c r="G484" s="4">
        <v>30.0</v>
      </c>
    </row>
    <row r="485">
      <c r="A485" s="4" t="s">
        <v>526</v>
      </c>
      <c r="B485" s="13" t="s">
        <v>48</v>
      </c>
      <c r="C485" s="4">
        <v>2.0</v>
      </c>
      <c r="D485" s="4">
        <v>26.0</v>
      </c>
      <c r="E485" s="3"/>
      <c r="G485" s="4">
        <v>30.0</v>
      </c>
    </row>
    <row r="486">
      <c r="A486" s="4" t="s">
        <v>527</v>
      </c>
      <c r="B486" s="13" t="s">
        <v>48</v>
      </c>
      <c r="C486" s="4">
        <v>2.0</v>
      </c>
      <c r="D486" s="4">
        <v>26.0</v>
      </c>
      <c r="E486" s="3"/>
      <c r="G486" s="4">
        <v>30.0</v>
      </c>
    </row>
    <row r="487">
      <c r="A487" s="4" t="s">
        <v>528</v>
      </c>
      <c r="B487" s="13" t="s">
        <v>48</v>
      </c>
      <c r="C487" s="4">
        <v>2.0</v>
      </c>
      <c r="D487" s="4">
        <v>26.0</v>
      </c>
      <c r="E487" s="3"/>
      <c r="G487" s="4">
        <v>30.0</v>
      </c>
    </row>
    <row r="488">
      <c r="A488" s="4" t="s">
        <v>529</v>
      </c>
      <c r="B488" s="13" t="s">
        <v>48</v>
      </c>
      <c r="C488" s="4">
        <v>3.0</v>
      </c>
      <c r="D488" s="4">
        <v>26.0</v>
      </c>
      <c r="E488" s="4">
        <v>28.0</v>
      </c>
      <c r="G488" s="4">
        <v>30.0</v>
      </c>
    </row>
    <row r="489">
      <c r="A489" s="4" t="s">
        <v>530</v>
      </c>
      <c r="B489" s="13" t="s">
        <v>48</v>
      </c>
      <c r="C489" s="4">
        <v>3.0</v>
      </c>
      <c r="D489" s="4">
        <v>26.0</v>
      </c>
      <c r="E489" s="4">
        <v>28.0</v>
      </c>
      <c r="G489" s="4">
        <v>30.0</v>
      </c>
    </row>
    <row r="490">
      <c r="A490" s="4" t="s">
        <v>531</v>
      </c>
      <c r="B490" s="13" t="s">
        <v>48</v>
      </c>
      <c r="C490" s="4">
        <v>2.0</v>
      </c>
      <c r="D490" s="4">
        <v>26.0</v>
      </c>
      <c r="E490" s="4">
        <v>28.0</v>
      </c>
    </row>
    <row r="491">
      <c r="A491" s="4" t="s">
        <v>532</v>
      </c>
      <c r="B491" s="13" t="s">
        <v>48</v>
      </c>
      <c r="C491" s="4">
        <v>2.0</v>
      </c>
      <c r="D491" s="4">
        <v>26.0</v>
      </c>
      <c r="E491" s="4">
        <v>28.0</v>
      </c>
    </row>
    <row r="492">
      <c r="A492" s="4" t="s">
        <v>533</v>
      </c>
      <c r="B492" s="13" t="s">
        <v>48</v>
      </c>
      <c r="C492" s="4">
        <v>3.0</v>
      </c>
      <c r="D492" s="4">
        <v>26.0</v>
      </c>
      <c r="E492" s="4">
        <v>28.0</v>
      </c>
      <c r="G492" s="4">
        <v>30.0</v>
      </c>
    </row>
    <row r="493">
      <c r="A493" s="4" t="s">
        <v>534</v>
      </c>
      <c r="B493" s="13" t="s">
        <v>48</v>
      </c>
      <c r="C493" s="4">
        <v>2.0</v>
      </c>
      <c r="D493" s="4">
        <v>26.0</v>
      </c>
      <c r="E493" s="4">
        <v>28.0</v>
      </c>
    </row>
    <row r="494">
      <c r="A494" s="4" t="s">
        <v>535</v>
      </c>
      <c r="B494" s="13" t="s">
        <v>48</v>
      </c>
      <c r="C494" s="4">
        <v>1.0</v>
      </c>
      <c r="E494" s="4">
        <v>28.0</v>
      </c>
    </row>
    <row r="495">
      <c r="A495" s="4" t="s">
        <v>536</v>
      </c>
      <c r="B495" s="13" t="s">
        <v>48</v>
      </c>
      <c r="C495" s="4">
        <v>1.0</v>
      </c>
      <c r="E495" s="4">
        <v>28.0</v>
      </c>
    </row>
    <row r="496">
      <c r="A496" s="4" t="s">
        <v>537</v>
      </c>
      <c r="B496" s="13" t="s">
        <v>48</v>
      </c>
      <c r="C496" s="4">
        <v>1.0</v>
      </c>
      <c r="E496" s="4">
        <v>28.0</v>
      </c>
    </row>
    <row r="497">
      <c r="A497" s="4" t="s">
        <v>538</v>
      </c>
      <c r="B497" s="13" t="s">
        <v>48</v>
      </c>
      <c r="C497" s="4">
        <v>1.0</v>
      </c>
      <c r="E497" s="4">
        <v>28.0</v>
      </c>
    </row>
    <row r="498">
      <c r="A498" s="4" t="s">
        <v>539</v>
      </c>
      <c r="B498" s="13" t="s">
        <v>48</v>
      </c>
      <c r="C498" s="4">
        <v>1.0</v>
      </c>
      <c r="E498" s="4">
        <v>28.0</v>
      </c>
    </row>
    <row r="499">
      <c r="A499" s="4" t="s">
        <v>540</v>
      </c>
      <c r="B499" s="13" t="s">
        <v>48</v>
      </c>
      <c r="C499" s="4">
        <v>3.0</v>
      </c>
      <c r="D499" s="4">
        <v>26.0</v>
      </c>
      <c r="E499" s="4">
        <v>28.0</v>
      </c>
      <c r="G499" s="4">
        <v>30.0</v>
      </c>
    </row>
    <row r="500">
      <c r="A500" s="4" t="s">
        <v>541</v>
      </c>
      <c r="B500" s="13" t="s">
        <v>48</v>
      </c>
      <c r="C500" s="4">
        <v>2.0</v>
      </c>
      <c r="D500" s="4">
        <v>26.0</v>
      </c>
      <c r="E500" s="3"/>
      <c r="G500" s="4">
        <v>30.0</v>
      </c>
    </row>
    <row r="501">
      <c r="A501" s="4" t="s">
        <v>542</v>
      </c>
      <c r="B501" s="13" t="s">
        <v>48</v>
      </c>
      <c r="C501" s="4">
        <v>2.0</v>
      </c>
      <c r="D501" s="4">
        <v>26.0</v>
      </c>
      <c r="E501" s="3"/>
      <c r="G501" s="4">
        <v>30.0</v>
      </c>
    </row>
    <row r="502">
      <c r="A502" s="4" t="s">
        <v>543</v>
      </c>
      <c r="B502" s="13" t="s">
        <v>48</v>
      </c>
      <c r="C502" s="4">
        <v>2.0</v>
      </c>
      <c r="D502" s="4">
        <v>26.0</v>
      </c>
      <c r="E502" s="3"/>
      <c r="G502" s="4">
        <v>30.0</v>
      </c>
    </row>
    <row r="503">
      <c r="A503" s="4" t="s">
        <v>544</v>
      </c>
      <c r="B503" s="13" t="s">
        <v>48</v>
      </c>
      <c r="C503" s="4">
        <v>2.0</v>
      </c>
      <c r="D503" s="4">
        <v>26.0</v>
      </c>
      <c r="E503" s="3"/>
      <c r="G503" s="4">
        <v>30.0</v>
      </c>
    </row>
    <row r="504">
      <c r="A504" s="4" t="s">
        <v>545</v>
      </c>
      <c r="B504" s="13" t="s">
        <v>48</v>
      </c>
      <c r="C504" s="4">
        <v>2.0</v>
      </c>
      <c r="D504" s="4">
        <v>26.0</v>
      </c>
      <c r="E504" s="3"/>
      <c r="G504" s="4">
        <v>30.0</v>
      </c>
    </row>
    <row r="505">
      <c r="A505" s="4" t="s">
        <v>546</v>
      </c>
      <c r="B505" s="13" t="s">
        <v>48</v>
      </c>
      <c r="C505" s="4">
        <v>2.0</v>
      </c>
      <c r="D505" s="4">
        <v>26.0</v>
      </c>
      <c r="E505" s="3"/>
      <c r="G505" s="4">
        <v>30.0</v>
      </c>
    </row>
    <row r="506">
      <c r="A506" s="4" t="s">
        <v>547</v>
      </c>
      <c r="B506" s="13" t="s">
        <v>48</v>
      </c>
      <c r="C506" s="4">
        <v>2.0</v>
      </c>
      <c r="D506" s="4">
        <v>26.0</v>
      </c>
      <c r="E506" s="3"/>
      <c r="G506" s="4">
        <v>30.0</v>
      </c>
    </row>
    <row r="507">
      <c r="A507" s="4" t="s">
        <v>548</v>
      </c>
      <c r="B507" s="13" t="s">
        <v>48</v>
      </c>
      <c r="C507" s="4">
        <v>2.0</v>
      </c>
      <c r="D507" s="4">
        <v>26.0</v>
      </c>
      <c r="E507" s="3"/>
      <c r="G507" s="4">
        <v>30.0</v>
      </c>
    </row>
    <row r="508">
      <c r="A508" s="4" t="s">
        <v>549</v>
      </c>
      <c r="B508" s="13" t="s">
        <v>48</v>
      </c>
      <c r="C508" s="4">
        <v>1.0</v>
      </c>
      <c r="E508" s="3"/>
      <c r="G508" s="4">
        <v>30.0</v>
      </c>
    </row>
    <row r="509">
      <c r="A509" s="4" t="s">
        <v>550</v>
      </c>
      <c r="B509" s="13" t="s">
        <v>48</v>
      </c>
      <c r="C509" s="4">
        <v>1.0</v>
      </c>
      <c r="E509" s="3"/>
      <c r="G509" s="4">
        <v>30.0</v>
      </c>
    </row>
    <row r="510">
      <c r="A510" s="4" t="s">
        <v>551</v>
      </c>
      <c r="B510" s="13" t="s">
        <v>48</v>
      </c>
      <c r="C510" s="4">
        <v>1.0</v>
      </c>
      <c r="E510" s="3"/>
      <c r="G510" s="4">
        <v>30.0</v>
      </c>
    </row>
    <row r="511">
      <c r="A511" s="4" t="s">
        <v>552</v>
      </c>
      <c r="B511" s="13" t="s">
        <v>48</v>
      </c>
      <c r="C511" s="4">
        <v>2.0</v>
      </c>
      <c r="D511" s="4">
        <v>26.0</v>
      </c>
      <c r="E511" s="3"/>
      <c r="G511" s="4">
        <v>30.0</v>
      </c>
    </row>
    <row r="512">
      <c r="A512" s="4" t="s">
        <v>553</v>
      </c>
      <c r="B512" s="13" t="s">
        <v>48</v>
      </c>
      <c r="C512" s="4">
        <v>2.0</v>
      </c>
      <c r="D512" s="4">
        <v>26.0</v>
      </c>
      <c r="E512" s="3"/>
      <c r="G512" s="4">
        <v>30.0</v>
      </c>
    </row>
    <row r="513">
      <c r="A513" s="4" t="s">
        <v>554</v>
      </c>
      <c r="B513" s="13" t="s">
        <v>48</v>
      </c>
      <c r="C513" s="4">
        <v>2.0</v>
      </c>
      <c r="D513" s="4">
        <v>26.0</v>
      </c>
      <c r="E513" s="3"/>
      <c r="G513" s="4">
        <v>30.0</v>
      </c>
    </row>
    <row r="514">
      <c r="A514" s="4" t="s">
        <v>555</v>
      </c>
      <c r="B514" s="13" t="s">
        <v>48</v>
      </c>
      <c r="C514" s="4">
        <v>2.0</v>
      </c>
      <c r="D514" s="4">
        <v>26.0</v>
      </c>
      <c r="E514" s="3"/>
      <c r="G514" s="4">
        <v>30.0</v>
      </c>
    </row>
    <row r="515">
      <c r="A515" s="4" t="s">
        <v>556</v>
      </c>
      <c r="B515" s="13" t="s">
        <v>48</v>
      </c>
      <c r="C515" s="4">
        <v>2.0</v>
      </c>
      <c r="D515" s="4">
        <v>26.0</v>
      </c>
      <c r="E515" s="3"/>
      <c r="G515" s="4">
        <v>30.0</v>
      </c>
    </row>
    <row r="516">
      <c r="A516" s="4" t="s">
        <v>557</v>
      </c>
      <c r="B516" s="13" t="s">
        <v>48</v>
      </c>
      <c r="C516" s="4">
        <v>3.0</v>
      </c>
      <c r="D516" s="4">
        <v>26.0</v>
      </c>
      <c r="E516" s="4">
        <v>28.0</v>
      </c>
      <c r="G516" s="4">
        <v>30.0</v>
      </c>
    </row>
    <row r="517">
      <c r="A517" s="4" t="s">
        <v>558</v>
      </c>
      <c r="B517" s="13" t="s">
        <v>48</v>
      </c>
      <c r="C517" s="4">
        <v>3.0</v>
      </c>
      <c r="D517" s="4">
        <v>26.0</v>
      </c>
      <c r="E517" s="4">
        <v>28.0</v>
      </c>
      <c r="G517" s="4">
        <v>30.0</v>
      </c>
    </row>
    <row r="518">
      <c r="A518" s="4" t="s">
        <v>559</v>
      </c>
      <c r="B518" s="13" t="s">
        <v>48</v>
      </c>
      <c r="C518" s="4">
        <v>2.0</v>
      </c>
      <c r="D518" s="4">
        <v>26.0</v>
      </c>
      <c r="E518" s="3"/>
      <c r="G518" s="4">
        <v>30.0</v>
      </c>
    </row>
    <row r="519">
      <c r="A519" s="4" t="s">
        <v>560</v>
      </c>
      <c r="B519" s="13" t="s">
        <v>48</v>
      </c>
      <c r="C519" s="4">
        <v>2.0</v>
      </c>
      <c r="D519" s="4">
        <v>26.0</v>
      </c>
      <c r="E519" s="3"/>
      <c r="G519" s="4">
        <v>30.0</v>
      </c>
    </row>
    <row r="520">
      <c r="A520" s="4" t="s">
        <v>561</v>
      </c>
      <c r="B520" s="13" t="s">
        <v>48</v>
      </c>
      <c r="C520" s="4">
        <v>2.0</v>
      </c>
      <c r="D520" s="4">
        <v>26.0</v>
      </c>
      <c r="E520" s="3"/>
      <c r="G520" s="4">
        <v>30.0</v>
      </c>
    </row>
    <row r="521">
      <c r="A521" s="4" t="s">
        <v>562</v>
      </c>
      <c r="B521" s="13" t="s">
        <v>48</v>
      </c>
      <c r="C521" s="4">
        <v>2.0</v>
      </c>
      <c r="D521" s="4">
        <v>26.0</v>
      </c>
      <c r="E521" s="3"/>
      <c r="G521" s="4">
        <v>30.0</v>
      </c>
    </row>
    <row r="522">
      <c r="A522" s="4" t="s">
        <v>563</v>
      </c>
      <c r="B522" s="13" t="s">
        <v>48</v>
      </c>
      <c r="C522" s="4">
        <v>2.0</v>
      </c>
      <c r="D522" s="4">
        <v>26.0</v>
      </c>
      <c r="E522" s="3"/>
      <c r="G522" s="4">
        <v>30.0</v>
      </c>
    </row>
    <row r="523">
      <c r="A523" s="4" t="s">
        <v>564</v>
      </c>
      <c r="B523" s="13" t="s">
        <v>48</v>
      </c>
      <c r="C523" s="4">
        <v>2.0</v>
      </c>
      <c r="D523" s="4">
        <v>26.0</v>
      </c>
      <c r="E523" s="3"/>
      <c r="G523" s="4">
        <v>30.0</v>
      </c>
    </row>
    <row r="524">
      <c r="A524" s="4" t="s">
        <v>565</v>
      </c>
      <c r="B524" s="13" t="s">
        <v>48</v>
      </c>
      <c r="C524" s="4">
        <v>2.0</v>
      </c>
      <c r="D524" s="4">
        <v>26.0</v>
      </c>
      <c r="E524" s="3"/>
      <c r="G524" s="4">
        <v>30.0</v>
      </c>
    </row>
    <row r="525">
      <c r="A525" s="4" t="s">
        <v>566</v>
      </c>
      <c r="B525" s="13" t="s">
        <v>48</v>
      </c>
      <c r="C525" s="4">
        <v>1.0</v>
      </c>
      <c r="E525" s="3"/>
      <c r="G525" s="4">
        <v>30.0</v>
      </c>
    </row>
    <row r="526">
      <c r="A526" s="4" t="s">
        <v>567</v>
      </c>
      <c r="B526" s="13" t="s">
        <v>48</v>
      </c>
      <c r="C526" s="4">
        <v>1.0</v>
      </c>
      <c r="E526" s="3"/>
      <c r="G526" s="4">
        <v>30.0</v>
      </c>
    </row>
    <row r="527">
      <c r="A527" s="4" t="s">
        <v>568</v>
      </c>
      <c r="B527" s="13" t="s">
        <v>48</v>
      </c>
      <c r="C527" s="4">
        <v>1.0</v>
      </c>
      <c r="E527" s="3"/>
      <c r="G527" s="4">
        <v>30.0</v>
      </c>
    </row>
    <row r="528">
      <c r="A528" s="4" t="s">
        <v>569</v>
      </c>
      <c r="B528" s="13" t="s">
        <v>48</v>
      </c>
      <c r="C528" s="4">
        <v>1.0</v>
      </c>
      <c r="E528" s="3"/>
      <c r="F528" s="4">
        <v>29.0</v>
      </c>
    </row>
    <row r="529">
      <c r="A529" s="4" t="s">
        <v>570</v>
      </c>
      <c r="B529" s="13" t="s">
        <v>48</v>
      </c>
      <c r="C529" s="4">
        <v>1.0</v>
      </c>
      <c r="E529" s="3"/>
      <c r="F529" s="4">
        <v>29.0</v>
      </c>
    </row>
    <row r="530">
      <c r="A530" s="4" t="s">
        <v>571</v>
      </c>
      <c r="B530" s="13" t="s">
        <v>48</v>
      </c>
      <c r="C530" s="4">
        <v>1.0</v>
      </c>
      <c r="E530" s="3"/>
      <c r="F530" s="4">
        <v>29.0</v>
      </c>
    </row>
    <row r="531">
      <c r="A531" s="4" t="s">
        <v>572</v>
      </c>
      <c r="B531" s="13" t="s">
        <v>48</v>
      </c>
      <c r="C531" s="4">
        <v>1.0</v>
      </c>
      <c r="E531" s="3"/>
      <c r="F531" s="4">
        <v>29.0</v>
      </c>
    </row>
    <row r="532">
      <c r="A532" s="4" t="s">
        <v>573</v>
      </c>
      <c r="B532" s="13" t="s">
        <v>48</v>
      </c>
      <c r="C532" s="4">
        <v>1.0</v>
      </c>
      <c r="E532" s="3"/>
      <c r="F532" s="4">
        <v>29.0</v>
      </c>
    </row>
    <row r="533">
      <c r="A533" s="4" t="s">
        <v>574</v>
      </c>
      <c r="B533" s="13" t="s">
        <v>48</v>
      </c>
      <c r="C533" s="4">
        <v>1.0</v>
      </c>
      <c r="E533" s="3"/>
      <c r="F533" s="4">
        <v>29.0</v>
      </c>
    </row>
    <row r="534">
      <c r="A534" s="4" t="s">
        <v>575</v>
      </c>
      <c r="B534" s="13" t="s">
        <v>48</v>
      </c>
      <c r="C534" s="4">
        <v>1.0</v>
      </c>
      <c r="E534" s="3"/>
      <c r="F534" s="4">
        <v>29.0</v>
      </c>
    </row>
    <row r="535">
      <c r="A535" s="4" t="s">
        <v>576</v>
      </c>
      <c r="B535" s="13" t="s">
        <v>48</v>
      </c>
      <c r="C535" s="4">
        <v>1.0</v>
      </c>
      <c r="E535" s="3"/>
      <c r="F535" s="4">
        <v>29.0</v>
      </c>
    </row>
    <row r="536">
      <c r="A536" s="4" t="s">
        <v>577</v>
      </c>
      <c r="B536" s="13" t="s">
        <v>48</v>
      </c>
      <c r="C536" s="4">
        <v>1.0</v>
      </c>
      <c r="E536" s="3"/>
      <c r="F536" s="4">
        <v>29.0</v>
      </c>
    </row>
    <row r="537">
      <c r="A537" s="4" t="s">
        <v>578</v>
      </c>
      <c r="B537" s="13" t="s">
        <v>48</v>
      </c>
      <c r="C537" s="4">
        <v>1.0</v>
      </c>
      <c r="E537" s="3"/>
      <c r="F537" s="4">
        <v>29.0</v>
      </c>
    </row>
    <row r="538">
      <c r="A538" s="4" t="s">
        <v>579</v>
      </c>
      <c r="B538" s="13" t="s">
        <v>48</v>
      </c>
      <c r="C538" s="4">
        <v>1.0</v>
      </c>
      <c r="E538" s="3"/>
      <c r="F538" s="4">
        <v>29.0</v>
      </c>
    </row>
    <row r="539">
      <c r="A539" s="4" t="s">
        <v>580</v>
      </c>
      <c r="B539" s="13" t="s">
        <v>48</v>
      </c>
      <c r="C539" s="4">
        <v>1.0</v>
      </c>
      <c r="E539" s="3"/>
      <c r="F539" s="4">
        <v>29.0</v>
      </c>
    </row>
    <row r="540">
      <c r="A540" s="4" t="s">
        <v>581</v>
      </c>
      <c r="B540" s="13" t="s">
        <v>48</v>
      </c>
      <c r="C540" s="4">
        <v>1.0</v>
      </c>
      <c r="E540" s="3"/>
      <c r="F540" s="4">
        <v>29.0</v>
      </c>
    </row>
    <row r="541">
      <c r="A541" s="4" t="s">
        <v>582</v>
      </c>
      <c r="B541" s="13" t="s">
        <v>48</v>
      </c>
      <c r="C541" s="4">
        <v>1.0</v>
      </c>
      <c r="E541" s="3"/>
      <c r="F541" s="4">
        <v>29.0</v>
      </c>
    </row>
    <row r="542">
      <c r="A542" s="4" t="s">
        <v>583</v>
      </c>
      <c r="B542" s="13" t="s">
        <v>48</v>
      </c>
      <c r="C542" s="4">
        <v>1.0</v>
      </c>
      <c r="E542" s="3"/>
      <c r="F542" s="4">
        <v>29.0</v>
      </c>
    </row>
    <row r="543">
      <c r="A543" s="4" t="s">
        <v>584</v>
      </c>
      <c r="B543" s="13" t="s">
        <v>48</v>
      </c>
      <c r="C543" s="4">
        <v>2.0</v>
      </c>
      <c r="E543" s="3"/>
      <c r="F543" s="4">
        <v>29.0</v>
      </c>
      <c r="H543" s="4">
        <v>33.0</v>
      </c>
    </row>
    <row r="544">
      <c r="A544" s="4" t="s">
        <v>585</v>
      </c>
      <c r="B544" s="13" t="s">
        <v>48</v>
      </c>
      <c r="C544" s="4">
        <v>1.0</v>
      </c>
      <c r="E544" s="3"/>
      <c r="H544" s="4">
        <v>33.0</v>
      </c>
    </row>
    <row r="545">
      <c r="A545" s="4" t="s">
        <v>586</v>
      </c>
      <c r="B545" s="13" t="s">
        <v>48</v>
      </c>
      <c r="C545" s="4">
        <v>2.0</v>
      </c>
      <c r="D545" s="4">
        <v>26.0</v>
      </c>
      <c r="E545" s="3"/>
      <c r="H545" s="4">
        <v>33.0</v>
      </c>
    </row>
    <row r="546">
      <c r="A546" s="4" t="s">
        <v>587</v>
      </c>
      <c r="B546" s="13" t="s">
        <v>48</v>
      </c>
      <c r="C546" s="4">
        <v>2.0</v>
      </c>
      <c r="D546" s="4">
        <v>26.0</v>
      </c>
      <c r="E546" s="3"/>
      <c r="H546" s="4">
        <v>33.0</v>
      </c>
    </row>
    <row r="547">
      <c r="A547" s="4" t="s">
        <v>588</v>
      </c>
      <c r="B547" s="13" t="s">
        <v>48</v>
      </c>
      <c r="C547" s="4">
        <v>1.0</v>
      </c>
      <c r="E547" s="3"/>
      <c r="H547" s="4">
        <v>33.0</v>
      </c>
    </row>
    <row r="548">
      <c r="A548" s="4" t="s">
        <v>589</v>
      </c>
      <c r="B548" s="13" t="s">
        <v>48</v>
      </c>
      <c r="C548" s="4">
        <v>1.0</v>
      </c>
      <c r="E548" s="3"/>
      <c r="H548" s="4">
        <v>33.0</v>
      </c>
    </row>
    <row r="549">
      <c r="A549" s="4" t="s">
        <v>590</v>
      </c>
      <c r="B549" s="13" t="s">
        <v>48</v>
      </c>
      <c r="C549" s="4">
        <v>1.0</v>
      </c>
      <c r="E549" s="3"/>
      <c r="H549" s="4">
        <v>33.0</v>
      </c>
    </row>
    <row r="550">
      <c r="A550" s="4" t="s">
        <v>591</v>
      </c>
      <c r="B550" s="13" t="s">
        <v>48</v>
      </c>
      <c r="C550" s="4">
        <v>1.0</v>
      </c>
      <c r="E550" s="3"/>
      <c r="H550" s="4">
        <v>33.0</v>
      </c>
    </row>
    <row r="551">
      <c r="A551" s="4" t="s">
        <v>592</v>
      </c>
      <c r="B551" s="13" t="s">
        <v>48</v>
      </c>
      <c r="C551" s="4">
        <v>1.0</v>
      </c>
      <c r="E551" s="3"/>
      <c r="H551" s="4">
        <v>33.0</v>
      </c>
    </row>
    <row r="552">
      <c r="A552" s="4" t="s">
        <v>593</v>
      </c>
      <c r="B552" s="13" t="s">
        <v>48</v>
      </c>
      <c r="C552" s="4">
        <v>1.0</v>
      </c>
      <c r="E552" s="3"/>
      <c r="H552" s="4">
        <v>33.0</v>
      </c>
    </row>
    <row r="553">
      <c r="A553" s="4" t="s">
        <v>594</v>
      </c>
      <c r="B553" s="13" t="s">
        <v>48</v>
      </c>
      <c r="C553" s="4">
        <v>1.0</v>
      </c>
      <c r="E553" s="3"/>
      <c r="H553" s="4">
        <v>33.0</v>
      </c>
    </row>
    <row r="554">
      <c r="A554" s="4" t="s">
        <v>595</v>
      </c>
      <c r="B554" s="13" t="s">
        <v>48</v>
      </c>
      <c r="C554" s="4">
        <v>1.0</v>
      </c>
      <c r="E554" s="3"/>
      <c r="H554" s="4">
        <v>33.0</v>
      </c>
    </row>
    <row r="555">
      <c r="A555" s="4" t="s">
        <v>596</v>
      </c>
      <c r="B555" s="13" t="s">
        <v>48</v>
      </c>
      <c r="C555" s="4">
        <v>1.0</v>
      </c>
      <c r="E555" s="3"/>
      <c r="H555" s="4">
        <v>33.0</v>
      </c>
    </row>
    <row r="556">
      <c r="A556" s="4" t="s">
        <v>597</v>
      </c>
      <c r="B556" s="13" t="s">
        <v>48</v>
      </c>
      <c r="C556" s="4">
        <v>1.0</v>
      </c>
      <c r="E556" s="3"/>
      <c r="H556" s="4">
        <v>33.0</v>
      </c>
    </row>
    <row r="557">
      <c r="A557" s="4" t="s">
        <v>598</v>
      </c>
      <c r="B557" s="13" t="s">
        <v>48</v>
      </c>
      <c r="C557" s="4">
        <v>1.0</v>
      </c>
      <c r="E557" s="3"/>
      <c r="H557" s="4">
        <v>33.0</v>
      </c>
    </row>
    <row r="558">
      <c r="A558" s="4" t="s">
        <v>599</v>
      </c>
      <c r="B558" s="13" t="s">
        <v>48</v>
      </c>
      <c r="C558" s="4">
        <v>1.0</v>
      </c>
      <c r="E558" s="3"/>
      <c r="H558" s="4">
        <v>33.0</v>
      </c>
    </row>
    <row r="559">
      <c r="A559" s="4" t="s">
        <v>600</v>
      </c>
      <c r="B559" s="13" t="s">
        <v>48</v>
      </c>
      <c r="C559" s="4">
        <v>1.0</v>
      </c>
      <c r="E559" s="3"/>
      <c r="H559" s="4">
        <v>33.0</v>
      </c>
    </row>
    <row r="560">
      <c r="A560" s="4" t="s">
        <v>601</v>
      </c>
      <c r="B560" s="13" t="s">
        <v>48</v>
      </c>
      <c r="C560" s="4">
        <v>1.0</v>
      </c>
      <c r="E560" s="3"/>
      <c r="H560" s="4">
        <v>33.0</v>
      </c>
    </row>
    <row r="561">
      <c r="A561" s="4" t="s">
        <v>602</v>
      </c>
      <c r="B561" s="13" t="s">
        <v>48</v>
      </c>
      <c r="C561" s="4">
        <v>1.0</v>
      </c>
      <c r="E561" s="3"/>
      <c r="H561" s="4">
        <v>33.0</v>
      </c>
    </row>
    <row r="562">
      <c r="A562" s="4" t="s">
        <v>603</v>
      </c>
      <c r="B562" s="13" t="s">
        <v>48</v>
      </c>
      <c r="C562" s="4">
        <v>1.0</v>
      </c>
      <c r="E562" s="3"/>
      <c r="H562" s="4">
        <v>33.0</v>
      </c>
    </row>
    <row r="563">
      <c r="A563" s="4" t="s">
        <v>604</v>
      </c>
      <c r="B563" s="13" t="s">
        <v>48</v>
      </c>
      <c r="C563" s="4">
        <v>1.0</v>
      </c>
      <c r="E563" s="3"/>
      <c r="H563" s="4">
        <v>33.0</v>
      </c>
    </row>
    <row r="564">
      <c r="A564" s="4" t="s">
        <v>605</v>
      </c>
      <c r="B564" s="13" t="s">
        <v>48</v>
      </c>
      <c r="C564" s="4">
        <v>1.0</v>
      </c>
      <c r="E564" s="3"/>
      <c r="H564" s="4">
        <v>33.0</v>
      </c>
    </row>
    <row r="565">
      <c r="A565" s="4" t="s">
        <v>606</v>
      </c>
      <c r="B565" s="13" t="s">
        <v>48</v>
      </c>
      <c r="C565" s="4">
        <v>2.0</v>
      </c>
      <c r="E565" s="4">
        <v>28.0</v>
      </c>
      <c r="H565" s="4">
        <v>33.0</v>
      </c>
    </row>
    <row r="566">
      <c r="A566" s="4" t="s">
        <v>607</v>
      </c>
      <c r="B566" s="13" t="s">
        <v>48</v>
      </c>
      <c r="C566" s="4">
        <v>2.0</v>
      </c>
      <c r="E566" s="4">
        <v>28.0</v>
      </c>
      <c r="H566" s="4">
        <v>33.0</v>
      </c>
    </row>
    <row r="567">
      <c r="A567" s="4" t="s">
        <v>608</v>
      </c>
      <c r="B567" s="13" t="s">
        <v>48</v>
      </c>
      <c r="C567" s="4">
        <v>2.0</v>
      </c>
      <c r="E567" s="4">
        <v>28.0</v>
      </c>
      <c r="H567" s="4">
        <v>33.0</v>
      </c>
    </row>
    <row r="568">
      <c r="A568" s="4" t="s">
        <v>609</v>
      </c>
      <c r="B568" s="13" t="s">
        <v>48</v>
      </c>
      <c r="C568" s="4">
        <v>2.0</v>
      </c>
      <c r="E568" s="4">
        <v>28.0</v>
      </c>
      <c r="H568" s="4">
        <v>33.0</v>
      </c>
    </row>
    <row r="569">
      <c r="A569" s="4" t="s">
        <v>610</v>
      </c>
      <c r="B569" s="13" t="s">
        <v>48</v>
      </c>
      <c r="C569" s="4">
        <v>3.0</v>
      </c>
      <c r="D569" s="4">
        <v>26.0</v>
      </c>
      <c r="E569" s="4">
        <v>28.0</v>
      </c>
      <c r="H569" s="4">
        <v>33.0</v>
      </c>
    </row>
    <row r="570">
      <c r="A570" s="4" t="s">
        <v>611</v>
      </c>
      <c r="B570" s="13" t="s">
        <v>48</v>
      </c>
      <c r="C570" s="4">
        <v>3.0</v>
      </c>
      <c r="D570" s="4">
        <v>26.0</v>
      </c>
      <c r="E570" s="4">
        <v>28.0</v>
      </c>
      <c r="H570" s="4">
        <v>33.0</v>
      </c>
    </row>
    <row r="571">
      <c r="A571" s="4" t="s">
        <v>612</v>
      </c>
      <c r="B571" s="13" t="s">
        <v>48</v>
      </c>
      <c r="C571" s="4">
        <v>3.0</v>
      </c>
      <c r="D571" s="4">
        <v>26.0</v>
      </c>
      <c r="E571" s="4">
        <v>28.0</v>
      </c>
      <c r="H571" s="4">
        <v>33.0</v>
      </c>
    </row>
    <row r="572">
      <c r="A572" s="4" t="s">
        <v>613</v>
      </c>
      <c r="B572" s="13" t="s">
        <v>48</v>
      </c>
      <c r="C572" s="4">
        <v>2.0</v>
      </c>
      <c r="D572" s="4">
        <v>26.0</v>
      </c>
      <c r="E572" s="4">
        <v>28.0</v>
      </c>
    </row>
    <row r="573">
      <c r="A573" s="4" t="s">
        <v>614</v>
      </c>
      <c r="B573" s="13" t="s">
        <v>48</v>
      </c>
      <c r="C573" s="4">
        <v>2.0</v>
      </c>
      <c r="D573" s="4">
        <v>26.0</v>
      </c>
      <c r="E573" s="4">
        <v>28.0</v>
      </c>
    </row>
    <row r="574">
      <c r="A574" s="4" t="s">
        <v>615</v>
      </c>
      <c r="B574" s="13" t="s">
        <v>48</v>
      </c>
      <c r="C574" s="4">
        <v>2.0</v>
      </c>
      <c r="D574" s="4">
        <v>26.0</v>
      </c>
      <c r="E574" s="4">
        <v>28.0</v>
      </c>
    </row>
    <row r="575">
      <c r="A575" s="4" t="s">
        <v>616</v>
      </c>
      <c r="B575" s="13" t="s">
        <v>48</v>
      </c>
      <c r="C575" s="4">
        <v>2.0</v>
      </c>
      <c r="D575" s="4">
        <v>26.0</v>
      </c>
      <c r="E575" s="4">
        <v>28.0</v>
      </c>
    </row>
    <row r="576">
      <c r="A576" s="4" t="s">
        <v>617</v>
      </c>
      <c r="B576" s="13" t="s">
        <v>48</v>
      </c>
      <c r="C576" s="4">
        <v>2.0</v>
      </c>
      <c r="D576" s="4">
        <v>26.0</v>
      </c>
      <c r="E576" s="4">
        <v>28.0</v>
      </c>
    </row>
    <row r="577">
      <c r="A577" s="4" t="s">
        <v>618</v>
      </c>
      <c r="B577" s="13" t="s">
        <v>48</v>
      </c>
      <c r="C577" s="4">
        <v>2.0</v>
      </c>
      <c r="D577" s="4">
        <v>26.0</v>
      </c>
      <c r="E577" s="4">
        <v>28.0</v>
      </c>
    </row>
    <row r="578">
      <c r="A578" s="4" t="s">
        <v>619</v>
      </c>
      <c r="B578" s="13" t="s">
        <v>48</v>
      </c>
      <c r="C578" s="4">
        <v>2.0</v>
      </c>
      <c r="D578" s="4">
        <v>26.0</v>
      </c>
      <c r="E578" s="4">
        <v>28.0</v>
      </c>
    </row>
    <row r="579">
      <c r="A579" s="4" t="s">
        <v>620</v>
      </c>
      <c r="B579" s="13" t="s">
        <v>48</v>
      </c>
      <c r="C579" s="4">
        <v>2.0</v>
      </c>
      <c r="D579" s="4">
        <v>26.0</v>
      </c>
      <c r="E579" s="4">
        <v>28.0</v>
      </c>
    </row>
    <row r="580">
      <c r="A580" s="4" t="s">
        <v>621</v>
      </c>
      <c r="B580" s="13" t="s">
        <v>48</v>
      </c>
      <c r="C580" s="4">
        <v>2.0</v>
      </c>
      <c r="D580" s="4">
        <v>26.0</v>
      </c>
      <c r="E580" s="4">
        <v>28.0</v>
      </c>
    </row>
    <row r="581">
      <c r="A581" s="4" t="s">
        <v>622</v>
      </c>
      <c r="B581" s="13" t="s">
        <v>48</v>
      </c>
      <c r="C581" s="4">
        <v>2.0</v>
      </c>
      <c r="D581" s="4">
        <v>26.0</v>
      </c>
      <c r="E581" s="4">
        <v>28.0</v>
      </c>
    </row>
    <row r="582">
      <c r="A582" s="4" t="s">
        <v>623</v>
      </c>
      <c r="B582" s="13" t="s">
        <v>48</v>
      </c>
      <c r="C582" s="4">
        <v>2.0</v>
      </c>
      <c r="D582" s="4">
        <v>26.0</v>
      </c>
      <c r="E582" s="4">
        <v>28.0</v>
      </c>
    </row>
    <row r="583">
      <c r="A583" s="4" t="s">
        <v>624</v>
      </c>
      <c r="B583" s="13" t="s">
        <v>48</v>
      </c>
      <c r="C583" s="4">
        <v>2.0</v>
      </c>
      <c r="D583" s="4">
        <v>26.0</v>
      </c>
      <c r="E583" s="4">
        <v>28.0</v>
      </c>
    </row>
    <row r="584">
      <c r="A584" s="4" t="s">
        <v>625</v>
      </c>
      <c r="B584" s="13" t="s">
        <v>48</v>
      </c>
      <c r="C584" s="4">
        <v>2.0</v>
      </c>
      <c r="D584" s="4">
        <v>26.0</v>
      </c>
      <c r="E584" s="4">
        <v>28.0</v>
      </c>
    </row>
    <row r="585">
      <c r="A585" s="4" t="s">
        <v>626</v>
      </c>
      <c r="B585" s="13" t="s">
        <v>48</v>
      </c>
      <c r="C585" s="4">
        <v>2.0</v>
      </c>
      <c r="D585" s="4">
        <v>26.0</v>
      </c>
      <c r="E585" s="4">
        <v>28.0</v>
      </c>
    </row>
    <row r="586">
      <c r="A586" s="4" t="s">
        <v>627</v>
      </c>
      <c r="B586" s="13" t="s">
        <v>48</v>
      </c>
      <c r="C586" s="4">
        <v>2.0</v>
      </c>
      <c r="D586" s="4">
        <v>26.0</v>
      </c>
      <c r="E586" s="4">
        <v>28.0</v>
      </c>
    </row>
    <row r="587">
      <c r="A587" s="4" t="s">
        <v>628</v>
      </c>
      <c r="B587" s="13" t="s">
        <v>48</v>
      </c>
      <c r="C587" s="4">
        <v>2.0</v>
      </c>
      <c r="D587" s="4">
        <v>26.0</v>
      </c>
      <c r="E587" s="4">
        <v>28.0</v>
      </c>
    </row>
    <row r="588">
      <c r="A588" s="4" t="s">
        <v>629</v>
      </c>
      <c r="B588" s="13" t="s">
        <v>48</v>
      </c>
      <c r="C588" s="4">
        <v>2.0</v>
      </c>
      <c r="D588" s="4">
        <v>26.0</v>
      </c>
      <c r="E588" s="4">
        <v>28.0</v>
      </c>
    </row>
    <row r="589">
      <c r="A589" s="4" t="s">
        <v>630</v>
      </c>
      <c r="B589" s="13" t="s">
        <v>48</v>
      </c>
      <c r="C589" s="4">
        <v>2.0</v>
      </c>
      <c r="D589" s="4">
        <v>26.0</v>
      </c>
      <c r="E589" s="4">
        <v>28.0</v>
      </c>
    </row>
    <row r="590">
      <c r="A590" s="4" t="s">
        <v>631</v>
      </c>
      <c r="B590" s="13" t="s">
        <v>48</v>
      </c>
      <c r="C590" s="4">
        <v>2.0</v>
      </c>
      <c r="D590" s="4">
        <v>26.0</v>
      </c>
      <c r="E590" s="4">
        <v>28.0</v>
      </c>
    </row>
    <row r="591">
      <c r="A591" s="4" t="s">
        <v>632</v>
      </c>
      <c r="B591" s="13" t="s">
        <v>48</v>
      </c>
      <c r="C591" s="4">
        <v>1.0</v>
      </c>
      <c r="E591" s="4">
        <v>28.0</v>
      </c>
    </row>
    <row r="592">
      <c r="A592" s="4" t="s">
        <v>633</v>
      </c>
      <c r="B592" s="13" t="s">
        <v>48</v>
      </c>
      <c r="C592" s="4">
        <v>1.0</v>
      </c>
      <c r="E592" s="4">
        <v>28.0</v>
      </c>
    </row>
    <row r="593">
      <c r="A593" s="4" t="s">
        <v>634</v>
      </c>
      <c r="B593" s="13" t="s">
        <v>48</v>
      </c>
      <c r="C593" s="4">
        <v>3.0</v>
      </c>
      <c r="D593" s="4">
        <v>26.0</v>
      </c>
      <c r="E593" s="4">
        <v>28.0</v>
      </c>
      <c r="G593" s="4">
        <v>30.0</v>
      </c>
    </row>
    <row r="594">
      <c r="A594" s="4" t="s">
        <v>635</v>
      </c>
      <c r="B594" s="13" t="s">
        <v>48</v>
      </c>
      <c r="C594" s="4">
        <v>3.0</v>
      </c>
      <c r="D594" s="4">
        <v>26.0</v>
      </c>
      <c r="E594" s="4">
        <v>28.0</v>
      </c>
      <c r="G594" s="4">
        <v>30.0</v>
      </c>
    </row>
    <row r="595">
      <c r="A595" s="4" t="s">
        <v>636</v>
      </c>
      <c r="B595" s="13" t="s">
        <v>48</v>
      </c>
      <c r="C595" s="4">
        <v>3.0</v>
      </c>
      <c r="D595" s="4">
        <v>26.0</v>
      </c>
      <c r="E595" s="4">
        <v>28.0</v>
      </c>
      <c r="G595" s="4">
        <v>30.0</v>
      </c>
    </row>
    <row r="596">
      <c r="A596" s="4" t="s">
        <v>637</v>
      </c>
      <c r="B596" s="13" t="s">
        <v>48</v>
      </c>
      <c r="C596" s="4">
        <v>3.0</v>
      </c>
      <c r="D596" s="4">
        <v>26.0</v>
      </c>
      <c r="E596" s="4">
        <v>28.0</v>
      </c>
      <c r="G596" s="4">
        <v>30.0</v>
      </c>
    </row>
    <row r="597">
      <c r="A597" s="4" t="s">
        <v>638</v>
      </c>
      <c r="B597" s="13" t="s">
        <v>48</v>
      </c>
      <c r="C597" s="4">
        <v>3.0</v>
      </c>
      <c r="D597" s="4">
        <v>26.0</v>
      </c>
      <c r="E597" s="4">
        <v>28.0</v>
      </c>
      <c r="G597" s="4">
        <v>30.0</v>
      </c>
    </row>
    <row r="598">
      <c r="A598" s="4" t="s">
        <v>639</v>
      </c>
      <c r="B598" s="13" t="s">
        <v>48</v>
      </c>
      <c r="C598" s="4">
        <v>3.0</v>
      </c>
      <c r="D598" s="4">
        <v>26.0</v>
      </c>
      <c r="E598" s="4">
        <v>28.0</v>
      </c>
      <c r="G598" s="4">
        <v>30.0</v>
      </c>
    </row>
    <row r="599">
      <c r="A599" s="4" t="s">
        <v>640</v>
      </c>
      <c r="B599" s="13" t="s">
        <v>48</v>
      </c>
      <c r="C599" s="4">
        <v>3.0</v>
      </c>
      <c r="D599" s="4">
        <v>26.0</v>
      </c>
      <c r="E599" s="4">
        <v>28.0</v>
      </c>
      <c r="G599" s="4">
        <v>30.0</v>
      </c>
    </row>
    <row r="600">
      <c r="A600" s="4" t="s">
        <v>641</v>
      </c>
      <c r="B600" s="13" t="s">
        <v>48</v>
      </c>
      <c r="C600" s="4">
        <v>3.0</v>
      </c>
      <c r="D600" s="4">
        <v>26.0</v>
      </c>
      <c r="E600" s="4">
        <v>28.0</v>
      </c>
      <c r="G600" s="4">
        <v>30.0</v>
      </c>
    </row>
    <row r="601">
      <c r="A601" s="4" t="s">
        <v>642</v>
      </c>
      <c r="B601" s="13" t="s">
        <v>48</v>
      </c>
      <c r="C601" s="4">
        <v>3.0</v>
      </c>
      <c r="D601" s="4">
        <v>26.0</v>
      </c>
      <c r="E601" s="4">
        <v>28.0</v>
      </c>
      <c r="G601" s="4">
        <v>30.0</v>
      </c>
    </row>
    <row r="602">
      <c r="A602" s="4" t="s">
        <v>643</v>
      </c>
      <c r="B602" s="13" t="s">
        <v>48</v>
      </c>
      <c r="C602" s="4">
        <v>2.0</v>
      </c>
      <c r="D602" s="4">
        <v>26.0</v>
      </c>
      <c r="E602" s="3"/>
      <c r="G602" s="4">
        <v>30.0</v>
      </c>
    </row>
    <row r="603">
      <c r="A603" s="4" t="s">
        <v>644</v>
      </c>
      <c r="B603" s="13" t="s">
        <v>48</v>
      </c>
      <c r="C603" s="4">
        <v>2.0</v>
      </c>
      <c r="D603" s="4">
        <v>26.0</v>
      </c>
      <c r="E603" s="3"/>
      <c r="G603" s="4">
        <v>30.0</v>
      </c>
    </row>
    <row r="604">
      <c r="A604" s="4" t="s">
        <v>645</v>
      </c>
      <c r="B604" s="13" t="s">
        <v>48</v>
      </c>
      <c r="C604" s="4">
        <v>2.0</v>
      </c>
      <c r="D604" s="4">
        <v>26.0</v>
      </c>
      <c r="E604" s="3"/>
      <c r="G604" s="4">
        <v>30.0</v>
      </c>
    </row>
    <row r="605">
      <c r="A605" s="4" t="s">
        <v>646</v>
      </c>
      <c r="B605" s="13" t="s">
        <v>48</v>
      </c>
      <c r="C605" s="4">
        <v>2.0</v>
      </c>
      <c r="D605" s="4">
        <v>26.0</v>
      </c>
      <c r="E605" s="3"/>
      <c r="G605" s="4">
        <v>30.0</v>
      </c>
    </row>
    <row r="606">
      <c r="A606" s="4" t="s">
        <v>647</v>
      </c>
      <c r="B606" s="13" t="s">
        <v>48</v>
      </c>
      <c r="C606" s="4">
        <v>2.0</v>
      </c>
      <c r="D606" s="4">
        <v>26.0</v>
      </c>
      <c r="E606" s="3"/>
      <c r="G606" s="4">
        <v>30.0</v>
      </c>
    </row>
    <row r="607">
      <c r="A607" s="4" t="s">
        <v>648</v>
      </c>
      <c r="B607" s="13" t="s">
        <v>48</v>
      </c>
      <c r="C607" s="4">
        <v>2.0</v>
      </c>
      <c r="D607" s="4">
        <v>26.0</v>
      </c>
      <c r="E607" s="3"/>
      <c r="G607" s="4">
        <v>30.0</v>
      </c>
    </row>
    <row r="608">
      <c r="A608" s="4" t="s">
        <v>649</v>
      </c>
      <c r="B608" s="13" t="s">
        <v>48</v>
      </c>
      <c r="C608" s="4">
        <v>2.0</v>
      </c>
      <c r="D608" s="4">
        <v>26.0</v>
      </c>
      <c r="E608" s="3"/>
      <c r="G608" s="4">
        <v>30.0</v>
      </c>
    </row>
    <row r="609">
      <c r="A609" s="4" t="s">
        <v>650</v>
      </c>
      <c r="B609" s="13" t="s">
        <v>48</v>
      </c>
      <c r="C609" s="4">
        <v>2.0</v>
      </c>
      <c r="D609" s="4">
        <v>26.0</v>
      </c>
      <c r="E609" s="3"/>
      <c r="G609" s="4">
        <v>30.0</v>
      </c>
    </row>
    <row r="610">
      <c r="A610" s="4" t="s">
        <v>651</v>
      </c>
      <c r="B610" s="13" t="s">
        <v>48</v>
      </c>
      <c r="C610" s="4">
        <v>2.0</v>
      </c>
      <c r="D610" s="4">
        <v>26.0</v>
      </c>
      <c r="E610" s="3"/>
      <c r="G610" s="4">
        <v>30.0</v>
      </c>
    </row>
    <row r="611">
      <c r="A611" s="4" t="s">
        <v>652</v>
      </c>
      <c r="B611" s="13" t="s">
        <v>48</v>
      </c>
      <c r="C611" s="4">
        <v>1.0</v>
      </c>
      <c r="E611" s="3"/>
      <c r="G611" s="4">
        <v>30.0</v>
      </c>
    </row>
    <row r="612">
      <c r="A612" s="4" t="s">
        <v>653</v>
      </c>
      <c r="B612" s="13" t="s">
        <v>48</v>
      </c>
      <c r="C612" s="4">
        <v>1.0</v>
      </c>
      <c r="E612" s="3"/>
      <c r="G612" s="4">
        <v>30.0</v>
      </c>
    </row>
    <row r="613">
      <c r="A613" s="4" t="s">
        <v>654</v>
      </c>
      <c r="B613" s="13" t="s">
        <v>48</v>
      </c>
      <c r="C613" s="4">
        <v>1.0</v>
      </c>
      <c r="E613" s="3"/>
      <c r="G613" s="4">
        <v>30.0</v>
      </c>
    </row>
    <row r="614">
      <c r="A614" s="4" t="s">
        <v>655</v>
      </c>
      <c r="B614" s="13" t="s">
        <v>43</v>
      </c>
      <c r="E614" s="3"/>
    </row>
    <row r="615">
      <c r="A615" s="4" t="s">
        <v>656</v>
      </c>
      <c r="B615" s="13" t="s">
        <v>48</v>
      </c>
      <c r="C615" s="4">
        <v>1.0</v>
      </c>
      <c r="E615" s="3"/>
      <c r="G615" s="4">
        <v>30.0</v>
      </c>
    </row>
    <row r="616">
      <c r="A616" s="4" t="s">
        <v>657</v>
      </c>
      <c r="B616" s="13" t="s">
        <v>48</v>
      </c>
      <c r="C616" s="4">
        <v>1.0</v>
      </c>
      <c r="E616" s="3"/>
      <c r="G616" s="4">
        <v>30.0</v>
      </c>
    </row>
    <row r="617">
      <c r="A617" s="4" t="s">
        <v>658</v>
      </c>
      <c r="B617" s="13" t="s">
        <v>43</v>
      </c>
      <c r="E617" s="3"/>
    </row>
    <row r="618">
      <c r="A618" s="4" t="s">
        <v>659</v>
      </c>
      <c r="B618" s="13" t="s">
        <v>43</v>
      </c>
      <c r="E618" s="3"/>
    </row>
    <row r="619">
      <c r="A619" s="4" t="s">
        <v>660</v>
      </c>
      <c r="B619" s="13" t="s">
        <v>48</v>
      </c>
      <c r="C619" s="4">
        <v>2.0</v>
      </c>
      <c r="D619" s="4">
        <v>26.0</v>
      </c>
      <c r="E619" s="3"/>
      <c r="G619" s="4">
        <v>30.0</v>
      </c>
    </row>
    <row r="620">
      <c r="A620" s="4" t="s">
        <v>661</v>
      </c>
      <c r="B620" s="13" t="s">
        <v>43</v>
      </c>
      <c r="E620" s="3"/>
    </row>
    <row r="621">
      <c r="A621" s="4" t="s">
        <v>662</v>
      </c>
      <c r="B621" s="13" t="s">
        <v>43</v>
      </c>
      <c r="E621" s="3"/>
    </row>
    <row r="622">
      <c r="A622" s="4" t="s">
        <v>663</v>
      </c>
      <c r="B622" s="13" t="s">
        <v>43</v>
      </c>
      <c r="E622" s="3"/>
    </row>
    <row r="623">
      <c r="A623" s="4" t="s">
        <v>664</v>
      </c>
      <c r="B623" s="13" t="s">
        <v>43</v>
      </c>
      <c r="E623" s="3"/>
    </row>
    <row r="624">
      <c r="A624" s="4" t="s">
        <v>665</v>
      </c>
      <c r="B624" s="13" t="s">
        <v>43</v>
      </c>
      <c r="E624" s="3"/>
    </row>
    <row r="625">
      <c r="A625" s="4" t="s">
        <v>666</v>
      </c>
      <c r="B625" s="13" t="s">
        <v>43</v>
      </c>
      <c r="E625" s="3"/>
    </row>
    <row r="626">
      <c r="A626" s="4" t="s">
        <v>667</v>
      </c>
      <c r="B626" s="13" t="s">
        <v>43</v>
      </c>
      <c r="E626" s="3"/>
    </row>
    <row r="627">
      <c r="A627" s="4" t="s">
        <v>668</v>
      </c>
      <c r="B627" s="13" t="s">
        <v>43</v>
      </c>
      <c r="E627" s="3"/>
    </row>
    <row r="628">
      <c r="A628" s="4" t="s">
        <v>669</v>
      </c>
      <c r="B628" s="13" t="s">
        <v>43</v>
      </c>
      <c r="E628" s="3"/>
    </row>
    <row r="629">
      <c r="A629" s="4" t="s">
        <v>670</v>
      </c>
      <c r="B629" s="13" t="s">
        <v>43</v>
      </c>
      <c r="E629" s="3"/>
    </row>
    <row r="630">
      <c r="A630" s="4" t="s">
        <v>671</v>
      </c>
      <c r="B630" s="13" t="s">
        <v>48</v>
      </c>
      <c r="C630" s="4">
        <v>1.0</v>
      </c>
      <c r="E630" s="3"/>
      <c r="H630" s="4">
        <v>33.0</v>
      </c>
    </row>
    <row r="631">
      <c r="A631" s="4" t="s">
        <v>672</v>
      </c>
      <c r="B631" s="13" t="s">
        <v>48</v>
      </c>
      <c r="C631" s="4">
        <v>1.0</v>
      </c>
      <c r="E631" s="3"/>
      <c r="H631" s="4">
        <v>33.0</v>
      </c>
    </row>
    <row r="632">
      <c r="A632" s="4" t="s">
        <v>673</v>
      </c>
      <c r="B632" s="13" t="s">
        <v>48</v>
      </c>
      <c r="C632" s="4">
        <v>1.0</v>
      </c>
      <c r="E632" s="3"/>
      <c r="H632" s="4">
        <v>33.0</v>
      </c>
    </row>
    <row r="633">
      <c r="A633" s="4" t="s">
        <v>674</v>
      </c>
      <c r="B633" s="13" t="s">
        <v>48</v>
      </c>
      <c r="C633" s="4">
        <v>1.0</v>
      </c>
      <c r="E633" s="3"/>
      <c r="H633" s="4">
        <v>33.0</v>
      </c>
    </row>
    <row r="634">
      <c r="A634" s="4" t="s">
        <v>675</v>
      </c>
      <c r="B634" s="13" t="s">
        <v>48</v>
      </c>
      <c r="C634" s="4">
        <v>1.0</v>
      </c>
      <c r="E634" s="3"/>
      <c r="H634" s="4">
        <v>33.0</v>
      </c>
    </row>
    <row r="635">
      <c r="A635" s="4" t="s">
        <v>676</v>
      </c>
      <c r="B635" s="13" t="s">
        <v>48</v>
      </c>
      <c r="C635" s="4">
        <v>1.0</v>
      </c>
      <c r="E635" s="3"/>
      <c r="H635" s="4">
        <v>33.0</v>
      </c>
    </row>
    <row r="636">
      <c r="A636" s="4" t="s">
        <v>677</v>
      </c>
      <c r="B636" s="13" t="s">
        <v>48</v>
      </c>
      <c r="C636" s="4">
        <v>1.0</v>
      </c>
      <c r="E636" s="3"/>
      <c r="H636" s="4">
        <v>33.0</v>
      </c>
    </row>
    <row r="637">
      <c r="A637" s="4" t="s">
        <v>678</v>
      </c>
      <c r="B637" s="13" t="s">
        <v>48</v>
      </c>
      <c r="C637" s="4">
        <v>1.0</v>
      </c>
      <c r="E637" s="3"/>
      <c r="H637" s="4">
        <v>33.0</v>
      </c>
    </row>
    <row r="638">
      <c r="A638" s="4" t="s">
        <v>679</v>
      </c>
      <c r="B638" s="13" t="s">
        <v>48</v>
      </c>
      <c r="C638" s="4">
        <v>1.0</v>
      </c>
      <c r="E638" s="3"/>
      <c r="H638" s="4">
        <v>33.0</v>
      </c>
    </row>
    <row r="639">
      <c r="A639" s="4" t="s">
        <v>680</v>
      </c>
      <c r="B639" s="13" t="s">
        <v>48</v>
      </c>
      <c r="C639" s="4">
        <v>1.0</v>
      </c>
      <c r="E639" s="3"/>
      <c r="H639" s="4">
        <v>33.0</v>
      </c>
    </row>
    <row r="640">
      <c r="A640" s="4" t="s">
        <v>681</v>
      </c>
      <c r="B640" s="13" t="s">
        <v>48</v>
      </c>
      <c r="C640" s="4">
        <v>1.0</v>
      </c>
      <c r="E640" s="3"/>
      <c r="H640" s="4">
        <v>33.0</v>
      </c>
    </row>
    <row r="641">
      <c r="A641" s="4" t="s">
        <v>682</v>
      </c>
      <c r="B641" s="13" t="s">
        <v>48</v>
      </c>
      <c r="C641" s="4">
        <v>2.0</v>
      </c>
      <c r="E641" s="4">
        <v>28.0</v>
      </c>
      <c r="H641" s="4">
        <v>33.0</v>
      </c>
    </row>
    <row r="642">
      <c r="A642" s="4" t="s">
        <v>683</v>
      </c>
      <c r="B642" s="13" t="s">
        <v>48</v>
      </c>
      <c r="C642" s="4">
        <v>2.0</v>
      </c>
      <c r="E642" s="4">
        <v>28.0</v>
      </c>
      <c r="H642" s="4">
        <v>33.0</v>
      </c>
    </row>
    <row r="643">
      <c r="A643" s="4" t="s">
        <v>684</v>
      </c>
      <c r="B643" s="13" t="s">
        <v>48</v>
      </c>
      <c r="C643" s="4">
        <v>2.0</v>
      </c>
      <c r="E643" s="4">
        <v>28.0</v>
      </c>
      <c r="H643" s="4">
        <v>33.0</v>
      </c>
    </row>
    <row r="644">
      <c r="A644" s="4" t="s">
        <v>685</v>
      </c>
      <c r="B644" s="13" t="s">
        <v>48</v>
      </c>
      <c r="C644" s="4">
        <v>3.0</v>
      </c>
      <c r="D644" s="4">
        <v>26.0</v>
      </c>
      <c r="E644" s="4">
        <v>28.0</v>
      </c>
      <c r="H644" s="4">
        <v>33.0</v>
      </c>
    </row>
    <row r="645">
      <c r="A645" s="4" t="s">
        <v>686</v>
      </c>
      <c r="B645" s="13" t="s">
        <v>48</v>
      </c>
      <c r="C645" s="4">
        <v>4.0</v>
      </c>
      <c r="D645" s="4">
        <v>26.0</v>
      </c>
      <c r="E645" s="4">
        <v>28.0</v>
      </c>
      <c r="G645" s="4">
        <v>30.0</v>
      </c>
      <c r="H645" s="4">
        <v>33.0</v>
      </c>
    </row>
    <row r="646">
      <c r="A646" s="4" t="s">
        <v>687</v>
      </c>
      <c r="B646" s="13" t="s">
        <v>48</v>
      </c>
      <c r="C646" s="4">
        <v>3.0</v>
      </c>
      <c r="D646" s="4">
        <v>26.0</v>
      </c>
      <c r="E646" s="4">
        <v>28.0</v>
      </c>
      <c r="G646" s="4">
        <v>30.0</v>
      </c>
    </row>
    <row r="647">
      <c r="A647" s="4" t="s">
        <v>688</v>
      </c>
      <c r="B647" s="13" t="s">
        <v>48</v>
      </c>
      <c r="C647" s="4">
        <v>3.0</v>
      </c>
      <c r="D647" s="4">
        <v>26.0</v>
      </c>
      <c r="E647" s="4">
        <v>28.0</v>
      </c>
      <c r="G647" s="4">
        <v>30.0</v>
      </c>
    </row>
    <row r="648">
      <c r="A648" s="4" t="s">
        <v>689</v>
      </c>
      <c r="B648" s="13" t="s">
        <v>48</v>
      </c>
      <c r="C648" s="4">
        <v>3.0</v>
      </c>
      <c r="D648" s="4">
        <v>26.0</v>
      </c>
      <c r="E648" s="4">
        <v>28.0</v>
      </c>
      <c r="G648" s="4">
        <v>30.0</v>
      </c>
    </row>
    <row r="649">
      <c r="A649" s="4" t="s">
        <v>690</v>
      </c>
      <c r="B649" s="13" t="s">
        <v>48</v>
      </c>
      <c r="C649" s="4">
        <v>3.0</v>
      </c>
      <c r="D649" s="4">
        <v>26.0</v>
      </c>
      <c r="E649" s="4">
        <v>28.0</v>
      </c>
      <c r="G649" s="4">
        <v>30.0</v>
      </c>
    </row>
    <row r="650">
      <c r="A650" s="4" t="s">
        <v>691</v>
      </c>
      <c r="B650" s="13" t="s">
        <v>48</v>
      </c>
      <c r="C650" s="4">
        <v>3.0</v>
      </c>
      <c r="D650" s="4">
        <v>26.0</v>
      </c>
      <c r="E650" s="4">
        <v>28.0</v>
      </c>
      <c r="G650" s="4">
        <v>30.0</v>
      </c>
    </row>
    <row r="651">
      <c r="A651" s="4" t="s">
        <v>692</v>
      </c>
      <c r="B651" s="13" t="s">
        <v>48</v>
      </c>
      <c r="C651" s="4">
        <v>3.0</v>
      </c>
      <c r="D651" s="4">
        <v>26.0</v>
      </c>
      <c r="E651" s="4">
        <v>28.0</v>
      </c>
      <c r="G651" s="4">
        <v>30.0</v>
      </c>
    </row>
    <row r="652">
      <c r="A652" s="4" t="s">
        <v>693</v>
      </c>
      <c r="B652" s="13" t="s">
        <v>48</v>
      </c>
      <c r="C652" s="4">
        <v>3.0</v>
      </c>
      <c r="D652" s="4">
        <v>26.0</v>
      </c>
      <c r="E652" s="4">
        <v>28.0</v>
      </c>
      <c r="G652" s="4">
        <v>30.0</v>
      </c>
    </row>
    <row r="653">
      <c r="A653" s="4" t="s">
        <v>694</v>
      </c>
      <c r="B653" s="13" t="s">
        <v>48</v>
      </c>
      <c r="C653" s="4">
        <v>3.0</v>
      </c>
      <c r="D653" s="4">
        <v>26.0</v>
      </c>
      <c r="E653" s="4">
        <v>28.0</v>
      </c>
      <c r="G653" s="4">
        <v>30.0</v>
      </c>
    </row>
    <row r="654">
      <c r="A654" s="4" t="s">
        <v>695</v>
      </c>
      <c r="B654" s="13" t="s">
        <v>48</v>
      </c>
      <c r="C654" s="4">
        <v>3.0</v>
      </c>
      <c r="D654" s="4">
        <v>26.0</v>
      </c>
      <c r="E654" s="4">
        <v>28.0</v>
      </c>
      <c r="G654" s="4">
        <v>30.0</v>
      </c>
    </row>
    <row r="655">
      <c r="A655" s="4" t="s">
        <v>696</v>
      </c>
      <c r="B655" s="13" t="s">
        <v>48</v>
      </c>
      <c r="C655" s="4">
        <v>1.0</v>
      </c>
      <c r="E655" s="4">
        <v>28.0</v>
      </c>
    </row>
    <row r="656">
      <c r="A656" s="4" t="s">
        <v>697</v>
      </c>
      <c r="B656" s="13" t="s">
        <v>48</v>
      </c>
      <c r="C656" s="4">
        <v>3.0</v>
      </c>
      <c r="D656" s="4">
        <v>26.0</v>
      </c>
      <c r="E656" s="4">
        <v>28.0</v>
      </c>
      <c r="G656" s="4">
        <v>30.0</v>
      </c>
    </row>
    <row r="657">
      <c r="A657" s="4" t="s">
        <v>698</v>
      </c>
      <c r="B657" s="13" t="s">
        <v>48</v>
      </c>
      <c r="C657" s="4">
        <v>3.0</v>
      </c>
      <c r="D657" s="4">
        <v>26.0</v>
      </c>
      <c r="E657" s="4">
        <v>28.0</v>
      </c>
      <c r="G657" s="4">
        <v>30.0</v>
      </c>
    </row>
    <row r="658">
      <c r="A658" s="4" t="s">
        <v>699</v>
      </c>
      <c r="B658" s="13" t="s">
        <v>48</v>
      </c>
      <c r="C658" s="4">
        <v>3.0</v>
      </c>
      <c r="D658" s="4">
        <v>26.0</v>
      </c>
      <c r="E658" s="4">
        <v>28.0</v>
      </c>
      <c r="G658" s="4">
        <v>30.0</v>
      </c>
    </row>
    <row r="659">
      <c r="A659" s="4" t="s">
        <v>700</v>
      </c>
      <c r="B659" s="13" t="s">
        <v>48</v>
      </c>
      <c r="C659" s="4">
        <v>3.0</v>
      </c>
      <c r="D659" s="4">
        <v>26.0</v>
      </c>
      <c r="E659" s="4">
        <v>28.0</v>
      </c>
      <c r="G659" s="4">
        <v>30.0</v>
      </c>
    </row>
    <row r="660">
      <c r="A660" s="4" t="s">
        <v>701</v>
      </c>
      <c r="B660" s="13" t="s">
        <v>48</v>
      </c>
      <c r="C660" s="4">
        <v>3.0</v>
      </c>
      <c r="D660" s="4">
        <v>26.0</v>
      </c>
      <c r="E660" s="4">
        <v>28.0</v>
      </c>
      <c r="G660" s="4">
        <v>30.0</v>
      </c>
    </row>
    <row r="661">
      <c r="A661" s="4" t="s">
        <v>702</v>
      </c>
      <c r="B661" s="13" t="s">
        <v>48</v>
      </c>
      <c r="C661" s="4">
        <v>3.0</v>
      </c>
      <c r="D661" s="4">
        <v>26.0</v>
      </c>
      <c r="E661" s="4">
        <v>28.0</v>
      </c>
      <c r="G661" s="4">
        <v>30.0</v>
      </c>
    </row>
    <row r="662">
      <c r="A662" s="4" t="s">
        <v>703</v>
      </c>
      <c r="B662" s="13" t="s">
        <v>48</v>
      </c>
      <c r="C662" s="4">
        <v>3.0</v>
      </c>
      <c r="D662" s="4">
        <v>26.0</v>
      </c>
      <c r="E662" s="4">
        <v>28.0</v>
      </c>
      <c r="G662" s="4">
        <v>30.0</v>
      </c>
    </row>
    <row r="663">
      <c r="A663" s="4" t="s">
        <v>704</v>
      </c>
      <c r="B663" s="13" t="s">
        <v>48</v>
      </c>
      <c r="C663" s="4">
        <v>3.0</v>
      </c>
      <c r="D663" s="4">
        <v>26.0</v>
      </c>
      <c r="E663" s="4">
        <v>28.0</v>
      </c>
      <c r="G663" s="4">
        <v>30.0</v>
      </c>
    </row>
    <row r="664">
      <c r="A664" s="4" t="s">
        <v>705</v>
      </c>
      <c r="B664" s="13" t="s">
        <v>48</v>
      </c>
      <c r="C664" s="4">
        <v>2.0</v>
      </c>
      <c r="D664" s="4">
        <v>26.0</v>
      </c>
      <c r="E664" s="3"/>
      <c r="G664" s="4">
        <v>30.0</v>
      </c>
    </row>
    <row r="665">
      <c r="A665" s="4" t="s">
        <v>706</v>
      </c>
      <c r="B665" s="13" t="s">
        <v>48</v>
      </c>
      <c r="C665" s="4">
        <v>2.0</v>
      </c>
      <c r="D665" s="4">
        <v>26.0</v>
      </c>
      <c r="E665" s="3"/>
      <c r="G665" s="4">
        <v>30.0</v>
      </c>
    </row>
    <row r="666">
      <c r="A666" s="4" t="s">
        <v>707</v>
      </c>
      <c r="B666" s="13" t="s">
        <v>48</v>
      </c>
      <c r="C666" s="4">
        <v>2.0</v>
      </c>
      <c r="D666" s="4">
        <v>26.0</v>
      </c>
      <c r="E666" s="3"/>
      <c r="G666" s="4">
        <v>30.0</v>
      </c>
    </row>
    <row r="667">
      <c r="A667" s="4" t="s">
        <v>708</v>
      </c>
      <c r="B667" s="13" t="s">
        <v>48</v>
      </c>
      <c r="C667" s="4">
        <v>2.0</v>
      </c>
      <c r="D667" s="4">
        <v>26.0</v>
      </c>
      <c r="E667" s="3"/>
      <c r="G667" s="4">
        <v>30.0</v>
      </c>
    </row>
    <row r="668">
      <c r="A668" s="4" t="s">
        <v>709</v>
      </c>
      <c r="B668" s="13" t="s">
        <v>48</v>
      </c>
      <c r="C668" s="4">
        <v>2.0</v>
      </c>
      <c r="D668" s="4">
        <v>26.0</v>
      </c>
      <c r="E668" s="3"/>
      <c r="G668" s="4">
        <v>30.0</v>
      </c>
    </row>
    <row r="669">
      <c r="A669" s="4" t="s">
        <v>710</v>
      </c>
      <c r="B669" s="13" t="s">
        <v>48</v>
      </c>
      <c r="C669" s="4">
        <v>2.0</v>
      </c>
      <c r="D669" s="4">
        <v>26.0</v>
      </c>
      <c r="E669" s="3"/>
      <c r="G669" s="4">
        <v>30.0</v>
      </c>
    </row>
    <row r="670">
      <c r="A670" s="4" t="s">
        <v>711</v>
      </c>
      <c r="B670" s="13" t="s">
        <v>48</v>
      </c>
      <c r="C670" s="4">
        <v>2.0</v>
      </c>
      <c r="D670" s="4">
        <v>26.0</v>
      </c>
      <c r="E670" s="3"/>
      <c r="G670" s="4">
        <v>30.0</v>
      </c>
    </row>
    <row r="671">
      <c r="A671" s="4" t="s">
        <v>712</v>
      </c>
      <c r="B671" s="13" t="s">
        <v>48</v>
      </c>
      <c r="C671" s="4">
        <v>2.0</v>
      </c>
      <c r="D671" s="4">
        <v>26.0</v>
      </c>
      <c r="E671" s="3"/>
      <c r="G671" s="4">
        <v>30.0</v>
      </c>
    </row>
    <row r="672">
      <c r="A672" s="4" t="s">
        <v>713</v>
      </c>
      <c r="B672" s="13" t="s">
        <v>48</v>
      </c>
      <c r="C672" s="4">
        <v>1.0</v>
      </c>
      <c r="E672" s="3"/>
      <c r="G672" s="4">
        <v>30.0</v>
      </c>
    </row>
    <row r="673">
      <c r="A673" s="4" t="s">
        <v>714</v>
      </c>
      <c r="B673" s="13" t="s">
        <v>48</v>
      </c>
      <c r="C673" s="4">
        <v>1.0</v>
      </c>
      <c r="E673" s="3"/>
      <c r="G673" s="4">
        <v>30.0</v>
      </c>
    </row>
    <row r="674">
      <c r="A674" s="4" t="s">
        <v>715</v>
      </c>
      <c r="B674" s="13" t="s">
        <v>48</v>
      </c>
      <c r="C674" s="4">
        <v>1.0</v>
      </c>
      <c r="E674" s="3"/>
      <c r="G674" s="4">
        <v>30.0</v>
      </c>
    </row>
    <row r="675">
      <c r="A675" s="4" t="s">
        <v>716</v>
      </c>
      <c r="B675" s="13" t="s">
        <v>48</v>
      </c>
      <c r="C675" s="4">
        <v>1.0</v>
      </c>
      <c r="E675" s="3"/>
      <c r="G675" s="4">
        <v>30.0</v>
      </c>
    </row>
    <row r="676">
      <c r="A676" s="4" t="s">
        <v>717</v>
      </c>
      <c r="B676" s="13" t="s">
        <v>48</v>
      </c>
      <c r="C676" s="4">
        <v>1.0</v>
      </c>
      <c r="E676" s="3"/>
      <c r="G676" s="4">
        <v>30.0</v>
      </c>
    </row>
    <row r="677">
      <c r="A677" s="4" t="s">
        <v>718</v>
      </c>
      <c r="B677" s="13" t="s">
        <v>48</v>
      </c>
      <c r="C677" s="4">
        <v>1.0</v>
      </c>
      <c r="E677" s="3"/>
      <c r="G677" s="4">
        <v>30.0</v>
      </c>
    </row>
    <row r="678">
      <c r="A678" s="4" t="s">
        <v>719</v>
      </c>
      <c r="B678" s="13" t="s">
        <v>48</v>
      </c>
      <c r="C678" s="4">
        <v>1.0</v>
      </c>
      <c r="E678" s="3"/>
      <c r="G678" s="4">
        <v>30.0</v>
      </c>
    </row>
    <row r="679">
      <c r="A679" s="4" t="s">
        <v>720</v>
      </c>
      <c r="B679" s="13" t="s">
        <v>48</v>
      </c>
      <c r="C679" s="4">
        <v>1.0</v>
      </c>
      <c r="E679" s="3"/>
      <c r="G679" s="4">
        <v>30.0</v>
      </c>
    </row>
    <row r="680">
      <c r="A680" s="4" t="s">
        <v>721</v>
      </c>
      <c r="B680" s="13" t="s">
        <v>48</v>
      </c>
      <c r="C680" s="4">
        <v>1.0</v>
      </c>
      <c r="D680" s="4">
        <v>26.0</v>
      </c>
      <c r="E680" s="3"/>
    </row>
    <row r="681">
      <c r="A681" s="4" t="s">
        <v>722</v>
      </c>
      <c r="B681" s="13" t="s">
        <v>48</v>
      </c>
      <c r="C681" s="4">
        <v>1.0</v>
      </c>
      <c r="D681" s="4">
        <v>26.0</v>
      </c>
      <c r="E681" s="3"/>
    </row>
    <row r="682">
      <c r="A682" s="4" t="s">
        <v>723</v>
      </c>
      <c r="B682" s="13" t="s">
        <v>48</v>
      </c>
      <c r="C682" s="4">
        <v>2.0</v>
      </c>
      <c r="D682" s="4">
        <v>26.0</v>
      </c>
      <c r="E682" s="3"/>
      <c r="H682" s="4">
        <v>33.0</v>
      </c>
    </row>
    <row r="683">
      <c r="A683" s="4" t="s">
        <v>724</v>
      </c>
      <c r="B683" s="13" t="s">
        <v>48</v>
      </c>
      <c r="C683" s="4">
        <v>3.0</v>
      </c>
      <c r="D683" s="4">
        <v>26.0</v>
      </c>
      <c r="E683" s="3"/>
      <c r="F683" s="4">
        <v>29.0</v>
      </c>
      <c r="H683" s="4">
        <v>33.0</v>
      </c>
    </row>
    <row r="684">
      <c r="A684" s="4" t="s">
        <v>725</v>
      </c>
      <c r="B684" s="13" t="s">
        <v>48</v>
      </c>
      <c r="C684" s="4">
        <v>2.0</v>
      </c>
      <c r="D684" s="4">
        <v>26.0</v>
      </c>
      <c r="E684" s="3"/>
      <c r="F684" s="4">
        <v>29.0</v>
      </c>
    </row>
    <row r="685">
      <c r="A685" s="4" t="s">
        <v>726</v>
      </c>
      <c r="B685" s="13" t="s">
        <v>43</v>
      </c>
      <c r="E685" s="3"/>
    </row>
    <row r="686">
      <c r="A686" s="4" t="s">
        <v>727</v>
      </c>
      <c r="B686" s="13" t="s">
        <v>43</v>
      </c>
      <c r="E686" s="3"/>
    </row>
    <row r="687">
      <c r="A687" s="4" t="s">
        <v>728</v>
      </c>
      <c r="B687" s="13" t="s">
        <v>43</v>
      </c>
      <c r="E687" s="3"/>
    </row>
    <row r="688">
      <c r="A688" s="4" t="s">
        <v>729</v>
      </c>
      <c r="B688" s="13" t="s">
        <v>43</v>
      </c>
      <c r="E688" s="3"/>
    </row>
    <row r="689">
      <c r="A689" s="4" t="s">
        <v>730</v>
      </c>
      <c r="B689" s="13" t="s">
        <v>43</v>
      </c>
      <c r="E689" s="3"/>
    </row>
    <row r="690">
      <c r="A690" s="4" t="s">
        <v>731</v>
      </c>
      <c r="B690" s="13" t="s">
        <v>43</v>
      </c>
      <c r="E690" s="3"/>
    </row>
    <row r="691">
      <c r="A691" s="4" t="s">
        <v>732</v>
      </c>
      <c r="B691" s="13" t="s">
        <v>48</v>
      </c>
      <c r="C691" s="4">
        <v>1.0</v>
      </c>
      <c r="E691" s="3"/>
      <c r="F691" s="4">
        <v>29.0</v>
      </c>
    </row>
    <row r="692">
      <c r="A692" s="4" t="s">
        <v>733</v>
      </c>
      <c r="B692" s="13" t="s">
        <v>48</v>
      </c>
      <c r="C692" s="4">
        <v>1.0</v>
      </c>
      <c r="E692" s="3"/>
      <c r="F692" s="4">
        <v>29.0</v>
      </c>
    </row>
    <row r="693">
      <c r="A693" s="4" t="s">
        <v>734</v>
      </c>
      <c r="B693" s="13" t="s">
        <v>48</v>
      </c>
      <c r="C693" s="4">
        <v>1.0</v>
      </c>
      <c r="E693" s="3"/>
      <c r="F693" s="4">
        <v>29.0</v>
      </c>
    </row>
    <row r="694">
      <c r="A694" s="4" t="s">
        <v>735</v>
      </c>
      <c r="B694" s="13" t="s">
        <v>48</v>
      </c>
      <c r="C694" s="4">
        <v>1.0</v>
      </c>
      <c r="E694" s="3"/>
      <c r="F694" s="4">
        <v>29.0</v>
      </c>
    </row>
    <row r="695">
      <c r="A695" s="4" t="s">
        <v>736</v>
      </c>
      <c r="B695" s="13" t="s">
        <v>48</v>
      </c>
      <c r="C695" s="4">
        <v>1.0</v>
      </c>
      <c r="E695" s="3"/>
      <c r="F695" s="4">
        <v>29.0</v>
      </c>
    </row>
    <row r="696">
      <c r="A696" s="4" t="s">
        <v>737</v>
      </c>
      <c r="B696" s="13" t="s">
        <v>48</v>
      </c>
      <c r="C696" s="4">
        <v>1.0</v>
      </c>
      <c r="E696" s="3"/>
      <c r="F696" s="4">
        <v>29.0</v>
      </c>
    </row>
    <row r="697">
      <c r="A697" s="4" t="s">
        <v>738</v>
      </c>
      <c r="B697" s="13" t="s">
        <v>48</v>
      </c>
      <c r="C697" s="4">
        <v>1.0</v>
      </c>
      <c r="E697" s="3"/>
      <c r="F697" s="4">
        <v>29.0</v>
      </c>
    </row>
    <row r="698">
      <c r="A698" s="4" t="s">
        <v>739</v>
      </c>
      <c r="B698" s="13" t="s">
        <v>48</v>
      </c>
      <c r="C698" s="4">
        <v>1.0</v>
      </c>
      <c r="E698" s="3"/>
      <c r="F698" s="4">
        <v>29.0</v>
      </c>
    </row>
    <row r="699">
      <c r="A699" s="4" t="s">
        <v>740</v>
      </c>
      <c r="B699" s="13" t="s">
        <v>48</v>
      </c>
      <c r="C699" s="4">
        <v>1.0</v>
      </c>
      <c r="E699" s="3"/>
      <c r="F699" s="4">
        <v>29.0</v>
      </c>
    </row>
    <row r="700">
      <c r="A700" s="4" t="s">
        <v>741</v>
      </c>
      <c r="B700" s="13" t="s">
        <v>48</v>
      </c>
      <c r="C700" s="4">
        <v>1.0</v>
      </c>
      <c r="E700" s="3"/>
      <c r="F700" s="4">
        <v>29.0</v>
      </c>
    </row>
    <row r="701">
      <c r="A701" s="4" t="s">
        <v>742</v>
      </c>
      <c r="B701" s="13" t="s">
        <v>48</v>
      </c>
      <c r="C701" s="4">
        <v>1.0</v>
      </c>
      <c r="E701" s="3"/>
      <c r="F701" s="4">
        <v>29.0</v>
      </c>
    </row>
    <row r="702">
      <c r="A702" s="4" t="s">
        <v>743</v>
      </c>
      <c r="B702" s="13" t="s">
        <v>48</v>
      </c>
      <c r="C702" s="4">
        <v>1.0</v>
      </c>
      <c r="E702" s="3"/>
      <c r="F702" s="4">
        <v>29.0</v>
      </c>
    </row>
    <row r="703">
      <c r="A703" s="4" t="s">
        <v>744</v>
      </c>
      <c r="B703" s="13" t="s">
        <v>48</v>
      </c>
      <c r="C703" s="4">
        <v>1.0</v>
      </c>
      <c r="E703" s="3"/>
      <c r="F703" s="4">
        <v>29.0</v>
      </c>
    </row>
    <row r="704">
      <c r="A704" s="4" t="s">
        <v>745</v>
      </c>
      <c r="B704" s="13" t="s">
        <v>48</v>
      </c>
      <c r="C704" s="4">
        <v>1.0</v>
      </c>
      <c r="E704" s="3"/>
      <c r="F704" s="4">
        <v>29.0</v>
      </c>
    </row>
    <row r="705">
      <c r="A705" s="4" t="s">
        <v>746</v>
      </c>
      <c r="B705" s="13" t="s">
        <v>48</v>
      </c>
      <c r="C705" s="4">
        <v>1.0</v>
      </c>
      <c r="E705" s="3"/>
      <c r="F705" s="4">
        <v>29.0</v>
      </c>
    </row>
    <row r="706">
      <c r="A706" s="4" t="s">
        <v>747</v>
      </c>
      <c r="B706" s="13" t="s">
        <v>48</v>
      </c>
      <c r="C706" s="4">
        <v>1.0</v>
      </c>
      <c r="E706" s="3"/>
      <c r="F706" s="4">
        <v>29.0</v>
      </c>
    </row>
    <row r="707">
      <c r="A707" s="4" t="s">
        <v>748</v>
      </c>
      <c r="B707" s="13" t="s">
        <v>48</v>
      </c>
      <c r="C707" s="4">
        <v>1.0</v>
      </c>
      <c r="E707" s="3"/>
      <c r="F707" s="4">
        <v>29.0</v>
      </c>
    </row>
    <row r="708">
      <c r="A708" s="4" t="s">
        <v>749</v>
      </c>
      <c r="B708" s="13" t="s">
        <v>48</v>
      </c>
      <c r="C708" s="4">
        <v>1.0</v>
      </c>
      <c r="E708" s="3"/>
      <c r="F708" s="4">
        <v>29.0</v>
      </c>
    </row>
    <row r="709">
      <c r="A709" s="4" t="s">
        <v>750</v>
      </c>
      <c r="B709" s="13" t="s">
        <v>48</v>
      </c>
      <c r="C709" s="4">
        <v>1.0</v>
      </c>
      <c r="E709" s="3"/>
      <c r="F709" s="4">
        <v>29.0</v>
      </c>
    </row>
    <row r="710">
      <c r="A710" s="4" t="s">
        <v>751</v>
      </c>
      <c r="B710" s="13" t="s">
        <v>48</v>
      </c>
      <c r="C710" s="4">
        <v>1.0</v>
      </c>
      <c r="E710" s="3"/>
      <c r="F710" s="4">
        <v>29.0</v>
      </c>
    </row>
    <row r="711">
      <c r="A711" s="4" t="s">
        <v>752</v>
      </c>
      <c r="B711" s="13" t="s">
        <v>48</v>
      </c>
      <c r="C711" s="4">
        <v>1.0</v>
      </c>
      <c r="E711" s="3"/>
      <c r="F711" s="4">
        <v>29.0</v>
      </c>
    </row>
    <row r="712">
      <c r="A712" s="4" t="s">
        <v>753</v>
      </c>
      <c r="B712" s="13" t="s">
        <v>48</v>
      </c>
      <c r="C712" s="4">
        <v>1.0</v>
      </c>
      <c r="E712" s="3"/>
      <c r="F712" s="4">
        <v>29.0</v>
      </c>
    </row>
    <row r="713">
      <c r="A713" s="4" t="s">
        <v>754</v>
      </c>
      <c r="B713" s="13" t="s">
        <v>48</v>
      </c>
      <c r="C713" s="4">
        <v>1.0</v>
      </c>
      <c r="E713" s="3"/>
      <c r="F713" s="4">
        <v>29.0</v>
      </c>
    </row>
    <row r="714">
      <c r="A714" s="4" t="s">
        <v>755</v>
      </c>
      <c r="B714" s="13" t="s">
        <v>43</v>
      </c>
      <c r="E714" s="3"/>
    </row>
    <row r="715">
      <c r="A715" s="4" t="s">
        <v>756</v>
      </c>
      <c r="B715" s="13" t="s">
        <v>43</v>
      </c>
      <c r="E715" s="3"/>
    </row>
    <row r="716">
      <c r="A716" s="4" t="s">
        <v>757</v>
      </c>
      <c r="B716" s="13" t="s">
        <v>43</v>
      </c>
      <c r="E716" s="3"/>
    </row>
    <row r="717">
      <c r="A717" s="4" t="s">
        <v>758</v>
      </c>
      <c r="B717" s="13" t="s">
        <v>43</v>
      </c>
      <c r="E717" s="3"/>
    </row>
    <row r="718">
      <c r="A718" s="4" t="s">
        <v>759</v>
      </c>
      <c r="B718" s="13" t="s">
        <v>43</v>
      </c>
      <c r="E718" s="3"/>
    </row>
    <row r="719">
      <c r="A719" s="4" t="s">
        <v>760</v>
      </c>
      <c r="B719" s="13" t="s">
        <v>43</v>
      </c>
      <c r="E719" s="3"/>
    </row>
    <row r="720">
      <c r="A720" s="4" t="s">
        <v>761</v>
      </c>
      <c r="B720" s="13" t="s">
        <v>43</v>
      </c>
      <c r="E720" s="3"/>
    </row>
    <row r="721">
      <c r="A721" s="4" t="s">
        <v>762</v>
      </c>
      <c r="B721" s="13" t="s">
        <v>43</v>
      </c>
      <c r="E721" s="3"/>
    </row>
    <row r="722">
      <c r="A722" s="4" t="s">
        <v>763</v>
      </c>
      <c r="B722" s="13" t="s">
        <v>43</v>
      </c>
      <c r="E722" s="3"/>
    </row>
    <row r="723">
      <c r="A723" s="4" t="s">
        <v>764</v>
      </c>
      <c r="B723" s="13" t="s">
        <v>43</v>
      </c>
      <c r="E723" s="3"/>
    </row>
    <row r="724">
      <c r="A724" s="4" t="s">
        <v>765</v>
      </c>
      <c r="B724" s="13" t="s">
        <v>48</v>
      </c>
      <c r="C724" s="4">
        <v>1.0</v>
      </c>
      <c r="E724" s="3"/>
      <c r="H724" s="4">
        <v>33.0</v>
      </c>
    </row>
    <row r="725">
      <c r="A725" s="4" t="s">
        <v>766</v>
      </c>
      <c r="B725" s="13" t="s">
        <v>48</v>
      </c>
      <c r="C725" s="4">
        <v>1.0</v>
      </c>
      <c r="E725" s="3"/>
      <c r="H725" s="4">
        <v>33.0</v>
      </c>
    </row>
    <row r="726">
      <c r="A726" s="4" t="s">
        <v>767</v>
      </c>
      <c r="B726" s="13" t="s">
        <v>48</v>
      </c>
      <c r="C726" s="4">
        <v>1.0</v>
      </c>
      <c r="E726" s="3"/>
      <c r="H726" s="4">
        <v>33.0</v>
      </c>
    </row>
    <row r="727">
      <c r="A727" s="4" t="s">
        <v>768</v>
      </c>
      <c r="B727" s="13" t="s">
        <v>48</v>
      </c>
      <c r="C727" s="4">
        <v>1.0</v>
      </c>
      <c r="E727" s="3"/>
      <c r="H727" s="4">
        <v>33.0</v>
      </c>
    </row>
    <row r="728">
      <c r="A728" s="4" t="s">
        <v>769</v>
      </c>
      <c r="B728" s="13" t="s">
        <v>48</v>
      </c>
      <c r="C728" s="4">
        <v>1.0</v>
      </c>
      <c r="E728" s="3"/>
      <c r="H728" s="4">
        <v>33.0</v>
      </c>
    </row>
    <row r="729">
      <c r="A729" s="4" t="s">
        <v>770</v>
      </c>
      <c r="B729" s="13" t="s">
        <v>48</v>
      </c>
      <c r="C729" s="4">
        <v>1.0</v>
      </c>
      <c r="E729" s="3"/>
      <c r="H729" s="4">
        <v>33.0</v>
      </c>
    </row>
    <row r="730">
      <c r="A730" s="4" t="s">
        <v>771</v>
      </c>
      <c r="B730" s="13" t="s">
        <v>48</v>
      </c>
      <c r="C730" s="4">
        <v>1.0</v>
      </c>
      <c r="E730" s="3"/>
      <c r="H730" s="4">
        <v>33.0</v>
      </c>
    </row>
    <row r="731">
      <c r="A731" s="4" t="s">
        <v>772</v>
      </c>
      <c r="B731" s="13" t="s">
        <v>48</v>
      </c>
      <c r="C731" s="4">
        <v>1.0</v>
      </c>
      <c r="E731" s="3"/>
      <c r="H731" s="4">
        <v>33.0</v>
      </c>
    </row>
    <row r="732">
      <c r="A732" s="4" t="s">
        <v>773</v>
      </c>
      <c r="B732" s="13" t="s">
        <v>48</v>
      </c>
      <c r="C732" s="4">
        <v>1.0</v>
      </c>
      <c r="E732" s="3"/>
      <c r="H732" s="4">
        <v>33.0</v>
      </c>
    </row>
    <row r="733">
      <c r="A733" s="4" t="s">
        <v>774</v>
      </c>
      <c r="B733" s="13" t="s">
        <v>48</v>
      </c>
      <c r="C733" s="4">
        <v>1.0</v>
      </c>
      <c r="E733" s="3"/>
      <c r="H733" s="4">
        <v>33.0</v>
      </c>
    </row>
    <row r="734">
      <c r="A734" s="4" t="s">
        <v>775</v>
      </c>
      <c r="B734" s="13" t="s">
        <v>48</v>
      </c>
      <c r="C734" s="4">
        <v>1.0</v>
      </c>
      <c r="E734" s="3"/>
      <c r="H734" s="4">
        <v>33.0</v>
      </c>
    </row>
    <row r="735">
      <c r="A735" s="4" t="s">
        <v>776</v>
      </c>
      <c r="B735" s="13" t="s">
        <v>48</v>
      </c>
      <c r="C735" s="4">
        <v>1.0</v>
      </c>
      <c r="E735" s="3"/>
      <c r="H735" s="4">
        <v>33.0</v>
      </c>
    </row>
    <row r="736">
      <c r="A736" s="4" t="s">
        <v>777</v>
      </c>
      <c r="B736" s="13" t="s">
        <v>48</v>
      </c>
      <c r="C736" s="4">
        <v>1.0</v>
      </c>
      <c r="E736" s="3"/>
      <c r="H736" s="4">
        <v>33.0</v>
      </c>
    </row>
    <row r="737">
      <c r="A737" s="4" t="s">
        <v>778</v>
      </c>
      <c r="B737" s="13" t="s">
        <v>48</v>
      </c>
      <c r="C737" s="4">
        <v>1.0</v>
      </c>
      <c r="E737" s="3"/>
      <c r="H737" s="4">
        <v>33.0</v>
      </c>
    </row>
    <row r="738">
      <c r="A738" s="4" t="s">
        <v>779</v>
      </c>
      <c r="B738" s="13" t="s">
        <v>48</v>
      </c>
      <c r="C738" s="4">
        <v>1.0</v>
      </c>
      <c r="E738" s="3"/>
      <c r="H738" s="4">
        <v>33.0</v>
      </c>
    </row>
    <row r="739">
      <c r="A739" s="4" t="s">
        <v>780</v>
      </c>
      <c r="B739" s="13" t="s">
        <v>48</v>
      </c>
      <c r="C739" s="4">
        <v>1.0</v>
      </c>
      <c r="E739" s="3"/>
      <c r="H739" s="4">
        <v>33.0</v>
      </c>
    </row>
    <row r="740">
      <c r="A740" s="4" t="s">
        <v>781</v>
      </c>
      <c r="B740" s="13" t="s">
        <v>48</v>
      </c>
      <c r="C740" s="4">
        <v>1.0</v>
      </c>
      <c r="E740" s="3"/>
      <c r="H740" s="4">
        <v>33.0</v>
      </c>
    </row>
    <row r="741">
      <c r="A741" s="4" t="s">
        <v>782</v>
      </c>
      <c r="B741" s="13" t="s">
        <v>48</v>
      </c>
      <c r="C741" s="4">
        <v>1.0</v>
      </c>
      <c r="E741" s="3"/>
      <c r="H741" s="4">
        <v>33.0</v>
      </c>
    </row>
    <row r="742">
      <c r="A742" s="4" t="s">
        <v>783</v>
      </c>
      <c r="B742" s="13" t="s">
        <v>48</v>
      </c>
      <c r="C742" s="4">
        <v>2.0</v>
      </c>
      <c r="E742" s="4">
        <v>28.0</v>
      </c>
      <c r="H742" s="4">
        <v>33.0</v>
      </c>
    </row>
    <row r="743">
      <c r="A743" s="4" t="s">
        <v>784</v>
      </c>
      <c r="B743" s="13" t="s">
        <v>48</v>
      </c>
      <c r="C743" s="4">
        <v>2.0</v>
      </c>
      <c r="E743" s="4">
        <v>28.0</v>
      </c>
      <c r="H743" s="4">
        <v>33.0</v>
      </c>
    </row>
    <row r="744">
      <c r="A744" s="4" t="s">
        <v>785</v>
      </c>
      <c r="B744" s="13" t="s">
        <v>48</v>
      </c>
      <c r="C744" s="4">
        <v>2.0</v>
      </c>
      <c r="E744" s="4">
        <v>28.0</v>
      </c>
      <c r="H744" s="4">
        <v>33.0</v>
      </c>
    </row>
    <row r="745">
      <c r="A745" s="4" t="s">
        <v>786</v>
      </c>
      <c r="B745" s="13" t="s">
        <v>48</v>
      </c>
      <c r="C745" s="4">
        <v>2.0</v>
      </c>
      <c r="D745" s="4">
        <v>26.0</v>
      </c>
      <c r="E745" s="4">
        <v>28.0</v>
      </c>
    </row>
    <row r="746">
      <c r="A746" s="4" t="s">
        <v>787</v>
      </c>
      <c r="B746" s="13" t="s">
        <v>48</v>
      </c>
      <c r="C746" s="4">
        <v>3.0</v>
      </c>
      <c r="D746" s="4">
        <v>26.0</v>
      </c>
      <c r="E746" s="4">
        <v>28.0</v>
      </c>
      <c r="G746" s="4">
        <v>30.0</v>
      </c>
    </row>
    <row r="747">
      <c r="A747" s="4" t="s">
        <v>788</v>
      </c>
      <c r="B747" s="13" t="s">
        <v>48</v>
      </c>
      <c r="C747" s="4">
        <v>3.0</v>
      </c>
      <c r="D747" s="4">
        <v>26.0</v>
      </c>
      <c r="E747" s="4">
        <v>28.0</v>
      </c>
      <c r="G747" s="4">
        <v>30.0</v>
      </c>
    </row>
    <row r="748">
      <c r="A748" s="4" t="s">
        <v>789</v>
      </c>
      <c r="B748" s="13" t="s">
        <v>48</v>
      </c>
      <c r="C748" s="4">
        <v>3.0</v>
      </c>
      <c r="D748" s="4">
        <v>26.0</v>
      </c>
      <c r="E748" s="4">
        <v>28.0</v>
      </c>
      <c r="G748" s="4">
        <v>30.0</v>
      </c>
    </row>
    <row r="749">
      <c r="A749" s="4" t="s">
        <v>790</v>
      </c>
      <c r="B749" s="13" t="s">
        <v>48</v>
      </c>
      <c r="C749" s="4">
        <v>3.0</v>
      </c>
      <c r="D749" s="4">
        <v>26.0</v>
      </c>
      <c r="E749" s="4">
        <v>28.0</v>
      </c>
      <c r="G749" s="4">
        <v>30.0</v>
      </c>
    </row>
    <row r="750">
      <c r="A750" s="4" t="s">
        <v>791</v>
      </c>
      <c r="B750" s="13" t="s">
        <v>48</v>
      </c>
      <c r="C750" s="4">
        <v>3.0</v>
      </c>
      <c r="D750" s="4">
        <v>26.0</v>
      </c>
      <c r="E750" s="4">
        <v>28.0</v>
      </c>
      <c r="G750" s="4">
        <v>30.0</v>
      </c>
    </row>
    <row r="751">
      <c r="A751" s="4" t="s">
        <v>792</v>
      </c>
      <c r="B751" s="13" t="s">
        <v>48</v>
      </c>
      <c r="C751" s="4">
        <v>3.0</v>
      </c>
      <c r="D751" s="4">
        <v>26.0</v>
      </c>
      <c r="E751" s="4">
        <v>28.0</v>
      </c>
      <c r="G751" s="4">
        <v>30.0</v>
      </c>
    </row>
    <row r="752">
      <c r="A752" s="4" t="s">
        <v>793</v>
      </c>
      <c r="B752" s="13" t="s">
        <v>48</v>
      </c>
      <c r="C752" s="4">
        <v>3.0</v>
      </c>
      <c r="D752" s="4">
        <v>26.0</v>
      </c>
      <c r="E752" s="4">
        <v>28.0</v>
      </c>
      <c r="G752" s="4">
        <v>30.0</v>
      </c>
    </row>
    <row r="753">
      <c r="A753" s="4" t="s">
        <v>794</v>
      </c>
      <c r="B753" s="13" t="s">
        <v>48</v>
      </c>
      <c r="C753" s="4">
        <v>3.0</v>
      </c>
      <c r="D753" s="4">
        <v>26.0</v>
      </c>
      <c r="E753" s="4">
        <v>28.0</v>
      </c>
      <c r="G753" s="4">
        <v>30.0</v>
      </c>
    </row>
    <row r="754">
      <c r="A754" s="4" t="s">
        <v>795</v>
      </c>
      <c r="B754" s="13" t="s">
        <v>48</v>
      </c>
      <c r="C754" s="4">
        <v>3.0</v>
      </c>
      <c r="D754" s="4">
        <v>26.0</v>
      </c>
      <c r="E754" s="4">
        <v>28.0</v>
      </c>
      <c r="G754" s="4">
        <v>30.0</v>
      </c>
    </row>
    <row r="755">
      <c r="A755" s="4" t="s">
        <v>796</v>
      </c>
      <c r="B755" s="13" t="s">
        <v>48</v>
      </c>
      <c r="C755" s="4">
        <v>3.0</v>
      </c>
      <c r="D755" s="4">
        <v>26.0</v>
      </c>
      <c r="E755" s="4">
        <v>28.0</v>
      </c>
      <c r="G755" s="4">
        <v>30.0</v>
      </c>
    </row>
    <row r="756">
      <c r="A756" s="4" t="s">
        <v>797</v>
      </c>
      <c r="B756" s="13" t="s">
        <v>48</v>
      </c>
      <c r="C756" s="4">
        <v>3.0</v>
      </c>
      <c r="D756" s="4">
        <v>26.0</v>
      </c>
      <c r="E756" s="4">
        <v>28.0</v>
      </c>
      <c r="G756" s="4">
        <v>30.0</v>
      </c>
    </row>
    <row r="757">
      <c r="A757" s="4" t="s">
        <v>798</v>
      </c>
      <c r="B757" s="13" t="s">
        <v>48</v>
      </c>
      <c r="C757" s="4">
        <v>3.0</v>
      </c>
      <c r="D757" s="4">
        <v>26.0</v>
      </c>
      <c r="E757" s="4">
        <v>28.0</v>
      </c>
      <c r="G757" s="4">
        <v>30.0</v>
      </c>
    </row>
    <row r="758">
      <c r="A758" s="4" t="s">
        <v>799</v>
      </c>
      <c r="B758" s="13" t="s">
        <v>48</v>
      </c>
      <c r="C758" s="4">
        <v>3.0</v>
      </c>
      <c r="D758" s="4">
        <v>26.0</v>
      </c>
      <c r="E758" s="4">
        <v>28.0</v>
      </c>
      <c r="G758" s="4">
        <v>30.0</v>
      </c>
    </row>
    <row r="759">
      <c r="A759" s="4" t="s">
        <v>800</v>
      </c>
      <c r="B759" s="13" t="s">
        <v>48</v>
      </c>
      <c r="C759" s="4">
        <v>3.0</v>
      </c>
      <c r="D759" s="4">
        <v>26.0</v>
      </c>
      <c r="E759" s="4">
        <v>28.0</v>
      </c>
      <c r="G759" s="4">
        <v>30.0</v>
      </c>
    </row>
    <row r="760">
      <c r="A760" s="4" t="s">
        <v>801</v>
      </c>
      <c r="B760" s="13" t="s">
        <v>48</v>
      </c>
      <c r="C760" s="4">
        <v>3.0</v>
      </c>
      <c r="D760" s="4">
        <v>26.0</v>
      </c>
      <c r="E760" s="4">
        <v>28.0</v>
      </c>
      <c r="G760" s="4">
        <v>30.0</v>
      </c>
    </row>
    <row r="761">
      <c r="A761" s="4" t="s">
        <v>802</v>
      </c>
      <c r="B761" s="13" t="s">
        <v>48</v>
      </c>
      <c r="C761" s="4">
        <v>3.0</v>
      </c>
      <c r="D761" s="4">
        <v>26.0</v>
      </c>
      <c r="E761" s="4">
        <v>28.0</v>
      </c>
      <c r="G761" s="4">
        <v>30.0</v>
      </c>
    </row>
    <row r="762">
      <c r="A762" s="4" t="s">
        <v>803</v>
      </c>
      <c r="B762" s="13" t="s">
        <v>48</v>
      </c>
      <c r="C762" s="4">
        <v>3.0</v>
      </c>
      <c r="D762" s="4">
        <v>26.0</v>
      </c>
      <c r="E762" s="4">
        <v>28.0</v>
      </c>
      <c r="G762" s="4">
        <v>30.0</v>
      </c>
    </row>
    <row r="763">
      <c r="A763" s="4" t="s">
        <v>804</v>
      </c>
      <c r="B763" s="13" t="s">
        <v>48</v>
      </c>
      <c r="C763" s="4">
        <v>3.0</v>
      </c>
      <c r="D763" s="4">
        <v>26.0</v>
      </c>
      <c r="E763" s="4">
        <v>28.0</v>
      </c>
      <c r="G763" s="4">
        <v>30.0</v>
      </c>
    </row>
    <row r="764">
      <c r="A764" s="4" t="s">
        <v>805</v>
      </c>
      <c r="B764" s="13" t="s">
        <v>48</v>
      </c>
      <c r="C764" s="4">
        <v>2.0</v>
      </c>
      <c r="D764" s="4">
        <v>26.0</v>
      </c>
      <c r="E764" s="3"/>
      <c r="G764" s="4">
        <v>30.0</v>
      </c>
    </row>
    <row r="765">
      <c r="A765" s="4" t="s">
        <v>806</v>
      </c>
      <c r="B765" s="13" t="s">
        <v>48</v>
      </c>
      <c r="C765" s="4">
        <v>2.0</v>
      </c>
      <c r="D765" s="4">
        <v>26.0</v>
      </c>
      <c r="E765" s="3"/>
      <c r="G765" s="4">
        <v>30.0</v>
      </c>
    </row>
    <row r="766">
      <c r="A766" s="4" t="s">
        <v>807</v>
      </c>
      <c r="B766" s="13" t="s">
        <v>48</v>
      </c>
      <c r="C766" s="4">
        <v>2.0</v>
      </c>
      <c r="D766" s="4">
        <v>26.0</v>
      </c>
      <c r="E766" s="3"/>
      <c r="G766" s="4">
        <v>30.0</v>
      </c>
    </row>
    <row r="767">
      <c r="A767" s="4" t="s">
        <v>808</v>
      </c>
      <c r="B767" s="13" t="s">
        <v>48</v>
      </c>
      <c r="C767" s="4">
        <v>2.0</v>
      </c>
      <c r="D767" s="4">
        <v>26.0</v>
      </c>
      <c r="E767" s="3"/>
      <c r="G767" s="4">
        <v>30.0</v>
      </c>
    </row>
    <row r="768">
      <c r="A768" s="4" t="s">
        <v>809</v>
      </c>
      <c r="B768" s="13" t="s">
        <v>48</v>
      </c>
      <c r="C768" s="4">
        <v>2.0</v>
      </c>
      <c r="D768" s="4">
        <v>26.0</v>
      </c>
      <c r="E768" s="3"/>
      <c r="G768" s="4">
        <v>30.0</v>
      </c>
    </row>
    <row r="769">
      <c r="A769" s="4" t="s">
        <v>810</v>
      </c>
      <c r="B769" s="13" t="s">
        <v>48</v>
      </c>
      <c r="C769" s="4">
        <v>2.0</v>
      </c>
      <c r="D769" s="4">
        <v>26.0</v>
      </c>
      <c r="E769" s="3"/>
      <c r="G769" s="4">
        <v>30.0</v>
      </c>
    </row>
    <row r="770">
      <c r="A770" s="4" t="s">
        <v>811</v>
      </c>
      <c r="B770" s="13" t="s">
        <v>48</v>
      </c>
      <c r="C770" s="4">
        <v>2.0</v>
      </c>
      <c r="D770" s="4">
        <v>26.0</v>
      </c>
      <c r="E770" s="3"/>
      <c r="G770" s="4">
        <v>30.0</v>
      </c>
    </row>
    <row r="771">
      <c r="A771" s="4" t="s">
        <v>812</v>
      </c>
      <c r="B771" s="13" t="s">
        <v>48</v>
      </c>
      <c r="C771" s="4">
        <v>2.0</v>
      </c>
      <c r="D771" s="4">
        <v>26.0</v>
      </c>
      <c r="E771" s="3"/>
      <c r="G771" s="4">
        <v>30.0</v>
      </c>
    </row>
    <row r="772">
      <c r="A772" s="4" t="s">
        <v>813</v>
      </c>
      <c r="B772" s="13" t="s">
        <v>48</v>
      </c>
      <c r="C772" s="4">
        <v>2.0</v>
      </c>
      <c r="D772" s="4">
        <v>26.0</v>
      </c>
      <c r="E772" s="3"/>
      <c r="G772" s="4">
        <v>30.0</v>
      </c>
    </row>
    <row r="773">
      <c r="A773" s="4" t="s">
        <v>814</v>
      </c>
      <c r="B773" s="13" t="s">
        <v>48</v>
      </c>
      <c r="C773" s="4">
        <v>1.0</v>
      </c>
      <c r="E773" s="3"/>
      <c r="G773" s="4">
        <v>30.0</v>
      </c>
    </row>
    <row r="774">
      <c r="A774" s="4" t="s">
        <v>815</v>
      </c>
      <c r="B774" s="13" t="s">
        <v>48</v>
      </c>
      <c r="C774" s="4">
        <v>1.0</v>
      </c>
      <c r="E774" s="3"/>
      <c r="G774" s="4">
        <v>30.0</v>
      </c>
    </row>
    <row r="775">
      <c r="A775" s="4" t="s">
        <v>816</v>
      </c>
      <c r="B775" s="13" t="s">
        <v>48</v>
      </c>
      <c r="C775" s="4">
        <v>1.0</v>
      </c>
      <c r="E775" s="3"/>
      <c r="G775" s="4">
        <v>30.0</v>
      </c>
    </row>
    <row r="776">
      <c r="A776" s="4" t="s">
        <v>817</v>
      </c>
      <c r="B776" s="13" t="s">
        <v>48</v>
      </c>
      <c r="C776" s="4">
        <v>1.0</v>
      </c>
      <c r="E776" s="3"/>
      <c r="G776" s="4">
        <v>30.0</v>
      </c>
    </row>
    <row r="777">
      <c r="A777" s="4" t="s">
        <v>818</v>
      </c>
      <c r="B777" s="13" t="s">
        <v>48</v>
      </c>
      <c r="C777" s="4">
        <v>1.0</v>
      </c>
      <c r="E777" s="3"/>
      <c r="G777" s="4">
        <v>30.0</v>
      </c>
    </row>
    <row r="778">
      <c r="A778" s="4" t="s">
        <v>819</v>
      </c>
      <c r="B778" s="13" t="s">
        <v>48</v>
      </c>
      <c r="C778" s="4">
        <v>1.0</v>
      </c>
      <c r="E778" s="3"/>
      <c r="G778" s="4">
        <v>30.0</v>
      </c>
    </row>
    <row r="779">
      <c r="A779" s="4" t="s">
        <v>820</v>
      </c>
      <c r="B779" s="13" t="s">
        <v>48</v>
      </c>
      <c r="C779" s="4">
        <v>1.0</v>
      </c>
      <c r="E779" s="3"/>
      <c r="G779" s="4">
        <v>30.0</v>
      </c>
    </row>
    <row r="780">
      <c r="A780" s="4" t="s">
        <v>821</v>
      </c>
      <c r="B780" s="13" t="s">
        <v>48</v>
      </c>
      <c r="C780" s="4">
        <v>1.0</v>
      </c>
      <c r="E780" s="3"/>
      <c r="G780" s="4">
        <v>30.0</v>
      </c>
    </row>
    <row r="781">
      <c r="A781" s="4" t="s">
        <v>822</v>
      </c>
      <c r="B781" s="13" t="s">
        <v>48</v>
      </c>
      <c r="C781" s="4">
        <v>2.0</v>
      </c>
      <c r="D781" s="4">
        <v>26.0</v>
      </c>
      <c r="E781" s="3"/>
      <c r="G781" s="4">
        <v>30.0</v>
      </c>
    </row>
    <row r="782">
      <c r="A782" s="4" t="s">
        <v>823</v>
      </c>
      <c r="B782" s="13" t="s">
        <v>48</v>
      </c>
      <c r="C782" s="4">
        <v>2.0</v>
      </c>
      <c r="D782" s="4">
        <v>26.0</v>
      </c>
      <c r="E782" s="3"/>
      <c r="G782" s="4">
        <v>30.0</v>
      </c>
    </row>
    <row r="783">
      <c r="A783" s="4" t="s">
        <v>824</v>
      </c>
      <c r="B783" s="13" t="s">
        <v>48</v>
      </c>
      <c r="C783" s="4">
        <v>2.0</v>
      </c>
      <c r="D783" s="4">
        <v>26.0</v>
      </c>
      <c r="E783" s="3"/>
      <c r="G783" s="4">
        <v>30.0</v>
      </c>
    </row>
    <row r="784">
      <c r="A784" s="4" t="s">
        <v>825</v>
      </c>
      <c r="B784" s="13" t="s">
        <v>48</v>
      </c>
      <c r="C784" s="4">
        <v>2.0</v>
      </c>
      <c r="D784" s="4">
        <v>26.0</v>
      </c>
      <c r="E784" s="3"/>
      <c r="F784" s="4">
        <v>29.0</v>
      </c>
    </row>
    <row r="785">
      <c r="A785" s="4" t="s">
        <v>826</v>
      </c>
      <c r="B785" s="13" t="s">
        <v>48</v>
      </c>
      <c r="C785" s="4">
        <v>2.0</v>
      </c>
      <c r="D785" s="4">
        <v>26.0</v>
      </c>
      <c r="E785" s="3"/>
      <c r="F785" s="4">
        <v>29.0</v>
      </c>
    </row>
    <row r="786">
      <c r="A786" s="4" t="s">
        <v>827</v>
      </c>
      <c r="B786" s="13" t="s">
        <v>48</v>
      </c>
      <c r="C786" s="4">
        <v>2.0</v>
      </c>
      <c r="D786" s="4">
        <v>26.0</v>
      </c>
      <c r="E786" s="3"/>
      <c r="G786" s="4">
        <v>30.0</v>
      </c>
    </row>
    <row r="787">
      <c r="A787" s="4" t="s">
        <v>828</v>
      </c>
      <c r="B787" s="13" t="s">
        <v>48</v>
      </c>
      <c r="C787" s="4">
        <v>3.0</v>
      </c>
      <c r="D787" s="4">
        <v>26.0</v>
      </c>
      <c r="E787" s="4">
        <v>28.0</v>
      </c>
      <c r="G787" s="4">
        <v>30.0</v>
      </c>
    </row>
    <row r="788">
      <c r="A788" s="4" t="s">
        <v>829</v>
      </c>
      <c r="B788" s="13" t="s">
        <v>48</v>
      </c>
      <c r="C788" s="4">
        <v>3.0</v>
      </c>
      <c r="D788" s="4">
        <v>26.0</v>
      </c>
      <c r="E788" s="4">
        <v>28.0</v>
      </c>
      <c r="G788" s="4">
        <v>30.0</v>
      </c>
    </row>
    <row r="789">
      <c r="A789" s="4" t="s">
        <v>830</v>
      </c>
      <c r="B789" s="13" t="s">
        <v>48</v>
      </c>
      <c r="C789" s="4">
        <v>3.0</v>
      </c>
      <c r="D789" s="4">
        <v>26.0</v>
      </c>
      <c r="E789" s="4">
        <v>28.0</v>
      </c>
      <c r="G789" s="4">
        <v>30.0</v>
      </c>
    </row>
    <row r="790">
      <c r="A790" s="4" t="s">
        <v>831</v>
      </c>
      <c r="B790" s="13" t="s">
        <v>48</v>
      </c>
      <c r="C790" s="4">
        <v>3.0</v>
      </c>
      <c r="D790" s="4">
        <v>26.0</v>
      </c>
      <c r="E790" s="4">
        <v>28.0</v>
      </c>
      <c r="G790" s="4">
        <v>30.0</v>
      </c>
    </row>
    <row r="791">
      <c r="A791" s="4" t="s">
        <v>832</v>
      </c>
      <c r="B791" s="13" t="s">
        <v>48</v>
      </c>
      <c r="C791" s="4">
        <v>4.0</v>
      </c>
      <c r="D791" s="4">
        <v>26.0</v>
      </c>
      <c r="E791" s="4">
        <v>28.0</v>
      </c>
      <c r="F791" s="4">
        <v>29.0</v>
      </c>
      <c r="G791" s="4">
        <v>30.0</v>
      </c>
    </row>
    <row r="792">
      <c r="A792" s="4" t="s">
        <v>833</v>
      </c>
      <c r="B792" s="13" t="s">
        <v>48</v>
      </c>
      <c r="C792" s="4">
        <v>4.0</v>
      </c>
      <c r="D792" s="4">
        <v>26.0</v>
      </c>
      <c r="E792" s="4">
        <v>28.0</v>
      </c>
      <c r="F792" s="4">
        <v>29.0</v>
      </c>
      <c r="G792" s="4">
        <v>30.0</v>
      </c>
    </row>
    <row r="793">
      <c r="A793" s="4" t="s">
        <v>834</v>
      </c>
      <c r="B793" s="13" t="s">
        <v>48</v>
      </c>
      <c r="C793" s="4">
        <v>4.0</v>
      </c>
      <c r="D793" s="4">
        <v>26.0</v>
      </c>
      <c r="E793" s="4">
        <v>28.0</v>
      </c>
      <c r="F793" s="4">
        <v>29.0</v>
      </c>
      <c r="G793" s="4">
        <v>30.0</v>
      </c>
    </row>
    <row r="794">
      <c r="A794" s="4" t="s">
        <v>835</v>
      </c>
      <c r="B794" s="13" t="s">
        <v>48</v>
      </c>
      <c r="C794" s="4">
        <v>3.0</v>
      </c>
      <c r="D794" s="4">
        <v>26.0</v>
      </c>
      <c r="E794" s="3"/>
      <c r="F794" s="4">
        <v>29.0</v>
      </c>
      <c r="G794" s="4">
        <v>30.0</v>
      </c>
    </row>
    <row r="795">
      <c r="A795" s="4" t="s">
        <v>836</v>
      </c>
      <c r="B795" s="13" t="s">
        <v>48</v>
      </c>
      <c r="C795" s="4">
        <v>3.0</v>
      </c>
      <c r="D795" s="4">
        <v>26.0</v>
      </c>
      <c r="E795" s="3"/>
      <c r="F795" s="4">
        <v>29.0</v>
      </c>
      <c r="G795" s="4">
        <v>30.0</v>
      </c>
    </row>
    <row r="796">
      <c r="A796" s="4" t="s">
        <v>837</v>
      </c>
      <c r="B796" s="13" t="s">
        <v>48</v>
      </c>
      <c r="C796" s="4">
        <v>5.0</v>
      </c>
      <c r="D796" s="4">
        <v>26.0</v>
      </c>
      <c r="E796" s="4">
        <v>28.0</v>
      </c>
      <c r="F796" s="4">
        <v>29.0</v>
      </c>
      <c r="G796" s="4">
        <v>30.0</v>
      </c>
      <c r="H796" s="4">
        <v>33.0</v>
      </c>
    </row>
    <row r="797">
      <c r="A797" s="4" t="s">
        <v>838</v>
      </c>
      <c r="B797" s="13" t="s">
        <v>48</v>
      </c>
      <c r="C797" s="4">
        <v>4.0</v>
      </c>
      <c r="D797" s="4">
        <v>26.0</v>
      </c>
      <c r="E797" s="4">
        <v>28.0</v>
      </c>
      <c r="F797" s="4">
        <v>29.0</v>
      </c>
      <c r="G797" s="4">
        <v>30.0</v>
      </c>
    </row>
    <row r="798">
      <c r="A798" s="4" t="s">
        <v>839</v>
      </c>
      <c r="B798" s="13" t="s">
        <v>48</v>
      </c>
      <c r="C798" s="4">
        <v>3.0</v>
      </c>
      <c r="D798" s="4">
        <v>26.0</v>
      </c>
      <c r="E798" s="4">
        <v>28.0</v>
      </c>
      <c r="G798" s="4">
        <v>30.0</v>
      </c>
    </row>
    <row r="799">
      <c r="A799" s="4" t="s">
        <v>840</v>
      </c>
      <c r="B799" s="13" t="s">
        <v>48</v>
      </c>
      <c r="C799" s="4">
        <v>2.0</v>
      </c>
      <c r="D799" s="4">
        <v>26.0</v>
      </c>
      <c r="E799" s="3"/>
      <c r="G799" s="4">
        <v>30.0</v>
      </c>
    </row>
    <row r="800">
      <c r="A800" s="4" t="s">
        <v>841</v>
      </c>
      <c r="B800" s="13" t="s">
        <v>48</v>
      </c>
      <c r="C800" s="4">
        <v>4.0</v>
      </c>
      <c r="D800" s="4">
        <v>26.0</v>
      </c>
      <c r="E800" s="4">
        <v>28.0</v>
      </c>
      <c r="F800" s="4">
        <v>29.0</v>
      </c>
      <c r="G800" s="4">
        <v>30.0</v>
      </c>
    </row>
    <row r="801">
      <c r="A801" s="4" t="s">
        <v>842</v>
      </c>
      <c r="B801" s="13" t="s">
        <v>48</v>
      </c>
      <c r="C801" s="4">
        <v>3.0</v>
      </c>
      <c r="D801" s="4">
        <v>26.0</v>
      </c>
      <c r="E801" s="3"/>
      <c r="F801" s="4">
        <v>29.0</v>
      </c>
      <c r="G801" s="4">
        <v>30.0</v>
      </c>
    </row>
    <row r="802">
      <c r="A802" s="4" t="s">
        <v>843</v>
      </c>
      <c r="B802" s="13" t="s">
        <v>48</v>
      </c>
      <c r="C802" s="4">
        <v>3.0</v>
      </c>
      <c r="D802" s="4">
        <v>26.0</v>
      </c>
      <c r="E802" s="3"/>
      <c r="F802" s="4">
        <v>29.0</v>
      </c>
      <c r="G802" s="4">
        <v>30.0</v>
      </c>
    </row>
    <row r="803">
      <c r="A803" s="4" t="s">
        <v>844</v>
      </c>
      <c r="B803" s="13" t="s">
        <v>48</v>
      </c>
      <c r="C803" s="4">
        <v>3.0</v>
      </c>
      <c r="D803" s="4">
        <v>26.0</v>
      </c>
      <c r="E803" s="3"/>
      <c r="F803" s="4">
        <v>29.0</v>
      </c>
      <c r="G803" s="4">
        <v>30.0</v>
      </c>
    </row>
    <row r="804">
      <c r="A804" s="4" t="s">
        <v>845</v>
      </c>
      <c r="B804" s="13" t="s">
        <v>48</v>
      </c>
      <c r="C804" s="4">
        <v>3.0</v>
      </c>
      <c r="D804" s="4">
        <v>26.0</v>
      </c>
      <c r="E804" s="3"/>
      <c r="F804" s="4">
        <v>29.0</v>
      </c>
      <c r="G804" s="4">
        <v>30.0</v>
      </c>
    </row>
    <row r="805">
      <c r="A805" s="4" t="s">
        <v>846</v>
      </c>
      <c r="B805" s="13" t="s">
        <v>48</v>
      </c>
      <c r="C805" s="4">
        <v>3.0</v>
      </c>
      <c r="D805" s="4">
        <v>26.0</v>
      </c>
      <c r="E805" s="3"/>
      <c r="F805" s="4">
        <v>29.0</v>
      </c>
      <c r="G805" s="4">
        <v>30.0</v>
      </c>
    </row>
    <row r="806">
      <c r="A806" s="4" t="s">
        <v>847</v>
      </c>
      <c r="B806" s="13" t="s">
        <v>48</v>
      </c>
      <c r="C806" s="4">
        <v>3.0</v>
      </c>
      <c r="D806" s="4">
        <v>26.0</v>
      </c>
      <c r="E806" s="3"/>
      <c r="F806" s="4">
        <v>29.0</v>
      </c>
      <c r="G806" s="4">
        <v>30.0</v>
      </c>
    </row>
    <row r="807">
      <c r="A807" s="4" t="s">
        <v>848</v>
      </c>
      <c r="B807" s="13" t="s">
        <v>48</v>
      </c>
      <c r="C807" s="4">
        <v>3.0</v>
      </c>
      <c r="D807" s="4">
        <v>26.0</v>
      </c>
      <c r="E807" s="3"/>
      <c r="F807" s="4">
        <v>29.0</v>
      </c>
      <c r="G807" s="4">
        <v>30.0</v>
      </c>
    </row>
    <row r="808">
      <c r="A808" s="4" t="s">
        <v>849</v>
      </c>
      <c r="B808" s="13" t="s">
        <v>48</v>
      </c>
      <c r="C808" s="4">
        <v>2.0</v>
      </c>
      <c r="E808" s="3"/>
      <c r="F808" s="4">
        <v>29.0</v>
      </c>
      <c r="G808" s="4">
        <v>30.0</v>
      </c>
    </row>
    <row r="809">
      <c r="A809" s="4" t="s">
        <v>850</v>
      </c>
      <c r="B809" s="13" t="s">
        <v>48</v>
      </c>
      <c r="C809" s="4">
        <v>2.0</v>
      </c>
      <c r="E809" s="3"/>
      <c r="F809" s="4">
        <v>29.0</v>
      </c>
      <c r="G809" s="4">
        <v>30.0</v>
      </c>
    </row>
    <row r="810">
      <c r="A810" s="4" t="s">
        <v>851</v>
      </c>
      <c r="B810" s="13" t="s">
        <v>48</v>
      </c>
      <c r="C810" s="4">
        <v>1.0</v>
      </c>
      <c r="E810" s="3"/>
      <c r="F810" s="4">
        <v>29.0</v>
      </c>
    </row>
    <row r="811">
      <c r="A811" s="4" t="s">
        <v>852</v>
      </c>
      <c r="B811" s="13" t="s">
        <v>48</v>
      </c>
      <c r="C811" s="4">
        <v>1.0</v>
      </c>
      <c r="E811" s="3"/>
      <c r="F811" s="4">
        <v>29.0</v>
      </c>
    </row>
    <row r="812">
      <c r="A812" s="4" t="s">
        <v>853</v>
      </c>
      <c r="B812" s="13" t="s">
        <v>48</v>
      </c>
      <c r="C812" s="4">
        <v>1.0</v>
      </c>
      <c r="E812" s="3"/>
      <c r="F812" s="4">
        <v>29.0</v>
      </c>
    </row>
    <row r="813">
      <c r="A813" s="4" t="s">
        <v>854</v>
      </c>
      <c r="B813" s="13" t="s">
        <v>48</v>
      </c>
      <c r="C813" s="4">
        <v>1.0</v>
      </c>
      <c r="E813" s="3"/>
      <c r="F813" s="4">
        <v>29.0</v>
      </c>
    </row>
    <row r="814">
      <c r="A814" s="4" t="s">
        <v>855</v>
      </c>
      <c r="B814" s="13" t="s">
        <v>48</v>
      </c>
      <c r="C814" s="4">
        <v>1.0</v>
      </c>
      <c r="E814" s="3"/>
      <c r="F814" s="4">
        <v>29.0</v>
      </c>
    </row>
    <row r="815">
      <c r="A815" s="4" t="s">
        <v>856</v>
      </c>
      <c r="B815" s="13" t="s">
        <v>48</v>
      </c>
      <c r="C815" s="4">
        <v>1.0</v>
      </c>
      <c r="E815" s="3"/>
      <c r="F815" s="4">
        <v>29.0</v>
      </c>
    </row>
    <row r="816">
      <c r="A816" s="4" t="s">
        <v>857</v>
      </c>
      <c r="B816" s="13" t="s">
        <v>48</v>
      </c>
      <c r="C816" s="4">
        <v>1.0</v>
      </c>
      <c r="E816" s="3"/>
      <c r="F816" s="4">
        <v>29.0</v>
      </c>
    </row>
    <row r="817">
      <c r="A817" s="4" t="s">
        <v>858</v>
      </c>
      <c r="B817" s="13" t="s">
        <v>48</v>
      </c>
      <c r="C817" s="4">
        <v>1.0</v>
      </c>
      <c r="E817" s="3"/>
      <c r="F817" s="4">
        <v>29.0</v>
      </c>
    </row>
    <row r="818">
      <c r="A818" s="4" t="s">
        <v>859</v>
      </c>
      <c r="B818" s="13" t="s">
        <v>48</v>
      </c>
      <c r="C818" s="4">
        <v>2.0</v>
      </c>
      <c r="E818" s="3"/>
      <c r="F818" s="4">
        <v>29.0</v>
      </c>
      <c r="H818" s="4">
        <v>33.0</v>
      </c>
    </row>
    <row r="819">
      <c r="A819" s="4" t="s">
        <v>860</v>
      </c>
      <c r="B819" s="13" t="s">
        <v>48</v>
      </c>
      <c r="C819" s="4">
        <v>2.0</v>
      </c>
      <c r="E819" s="3"/>
      <c r="F819" s="4">
        <v>29.0</v>
      </c>
      <c r="H819" s="4">
        <v>33.0</v>
      </c>
    </row>
    <row r="820">
      <c r="A820" s="4" t="s">
        <v>861</v>
      </c>
      <c r="B820" s="13" t="s">
        <v>48</v>
      </c>
      <c r="C820" s="4">
        <v>1.0</v>
      </c>
      <c r="E820" s="3"/>
      <c r="H820" s="4">
        <v>33.0</v>
      </c>
    </row>
    <row r="821">
      <c r="A821" s="4" t="s">
        <v>862</v>
      </c>
      <c r="B821" s="13" t="s">
        <v>48</v>
      </c>
      <c r="C821" s="4">
        <v>1.0</v>
      </c>
      <c r="E821" s="3"/>
      <c r="H821" s="4">
        <v>33.0</v>
      </c>
    </row>
    <row r="822">
      <c r="A822" s="4" t="s">
        <v>863</v>
      </c>
      <c r="B822" s="13" t="s">
        <v>48</v>
      </c>
      <c r="C822" s="4">
        <v>1.0</v>
      </c>
      <c r="E822" s="3"/>
      <c r="H822" s="4">
        <v>33.0</v>
      </c>
    </row>
    <row r="823">
      <c r="A823" s="4" t="s">
        <v>864</v>
      </c>
      <c r="B823" s="13" t="s">
        <v>48</v>
      </c>
      <c r="C823" s="4">
        <v>1.0</v>
      </c>
      <c r="E823" s="3"/>
      <c r="H823" s="4">
        <v>33.0</v>
      </c>
    </row>
    <row r="824">
      <c r="A824" s="4" t="s">
        <v>865</v>
      </c>
      <c r="B824" s="13" t="s">
        <v>48</v>
      </c>
      <c r="C824" s="4">
        <v>1.0</v>
      </c>
      <c r="E824" s="3"/>
      <c r="H824" s="4">
        <v>33.0</v>
      </c>
    </row>
    <row r="825">
      <c r="A825" s="4" t="s">
        <v>866</v>
      </c>
      <c r="B825" s="13" t="s">
        <v>48</v>
      </c>
      <c r="C825" s="4">
        <v>1.0</v>
      </c>
      <c r="E825" s="3"/>
      <c r="H825" s="4">
        <v>33.0</v>
      </c>
    </row>
    <row r="826">
      <c r="A826" s="4" t="s">
        <v>867</v>
      </c>
      <c r="B826" s="13" t="s">
        <v>48</v>
      </c>
      <c r="C826" s="4">
        <v>1.0</v>
      </c>
      <c r="E826" s="3"/>
      <c r="H826" s="4">
        <v>33.0</v>
      </c>
    </row>
    <row r="827">
      <c r="A827" s="4" t="s">
        <v>868</v>
      </c>
      <c r="B827" s="13" t="s">
        <v>48</v>
      </c>
      <c r="C827" s="4">
        <v>1.0</v>
      </c>
      <c r="E827" s="3"/>
      <c r="H827" s="4">
        <v>33.0</v>
      </c>
    </row>
    <row r="828">
      <c r="A828" s="4" t="s">
        <v>869</v>
      </c>
      <c r="B828" s="13" t="s">
        <v>48</v>
      </c>
      <c r="C828" s="4">
        <v>1.0</v>
      </c>
      <c r="E828" s="3"/>
      <c r="H828" s="4">
        <v>33.0</v>
      </c>
    </row>
    <row r="829">
      <c r="A829" s="4" t="s">
        <v>870</v>
      </c>
      <c r="B829" s="13" t="s">
        <v>48</v>
      </c>
      <c r="C829" s="4">
        <v>1.0</v>
      </c>
      <c r="E829" s="3"/>
      <c r="H829" s="4">
        <v>33.0</v>
      </c>
    </row>
    <row r="830">
      <c r="A830" s="4" t="s">
        <v>871</v>
      </c>
      <c r="B830" s="13" t="s">
        <v>48</v>
      </c>
      <c r="C830" s="4">
        <v>1.0</v>
      </c>
      <c r="E830" s="3"/>
      <c r="H830" s="4">
        <v>33.0</v>
      </c>
    </row>
    <row r="831">
      <c r="A831" s="4" t="s">
        <v>872</v>
      </c>
      <c r="B831" s="13" t="s">
        <v>48</v>
      </c>
      <c r="C831" s="4">
        <v>1.0</v>
      </c>
      <c r="E831" s="3"/>
      <c r="H831" s="4">
        <v>33.0</v>
      </c>
    </row>
    <row r="832">
      <c r="A832" s="4" t="s">
        <v>873</v>
      </c>
      <c r="B832" s="13" t="s">
        <v>48</v>
      </c>
      <c r="C832" s="4">
        <v>1.0</v>
      </c>
      <c r="E832" s="3"/>
      <c r="H832" s="4">
        <v>33.0</v>
      </c>
    </row>
    <row r="833">
      <c r="A833" s="4" t="s">
        <v>874</v>
      </c>
      <c r="B833" s="13" t="s">
        <v>48</v>
      </c>
      <c r="C833" s="4">
        <v>1.0</v>
      </c>
      <c r="E833" s="3"/>
      <c r="H833" s="4">
        <v>33.0</v>
      </c>
    </row>
    <row r="834">
      <c r="A834" s="4" t="s">
        <v>875</v>
      </c>
      <c r="B834" s="13" t="s">
        <v>48</v>
      </c>
      <c r="C834" s="4">
        <v>1.0</v>
      </c>
      <c r="E834" s="3"/>
      <c r="H834" s="4">
        <v>33.0</v>
      </c>
    </row>
    <row r="835">
      <c r="A835" s="4" t="s">
        <v>876</v>
      </c>
      <c r="B835" s="13" t="s">
        <v>48</v>
      </c>
      <c r="C835" s="4">
        <v>1.0</v>
      </c>
      <c r="E835" s="3"/>
      <c r="H835" s="4">
        <v>33.0</v>
      </c>
    </row>
    <row r="836">
      <c r="A836" s="4" t="s">
        <v>877</v>
      </c>
      <c r="B836" s="13" t="s">
        <v>48</v>
      </c>
      <c r="C836" s="4">
        <v>1.0</v>
      </c>
      <c r="E836" s="3"/>
      <c r="H836" s="4">
        <v>33.0</v>
      </c>
    </row>
    <row r="837">
      <c r="A837" s="4" t="s">
        <v>878</v>
      </c>
      <c r="B837" s="13" t="s">
        <v>48</v>
      </c>
      <c r="C837" s="4">
        <v>1.0</v>
      </c>
      <c r="E837" s="3"/>
      <c r="H837" s="4">
        <v>33.0</v>
      </c>
    </row>
    <row r="838">
      <c r="A838" s="4" t="s">
        <v>879</v>
      </c>
      <c r="B838" s="13" t="s">
        <v>48</v>
      </c>
      <c r="C838" s="4">
        <v>1.0</v>
      </c>
      <c r="E838" s="3"/>
      <c r="H838" s="4">
        <v>33.0</v>
      </c>
    </row>
    <row r="839">
      <c r="A839" s="4" t="s">
        <v>880</v>
      </c>
      <c r="B839" s="13" t="s">
        <v>48</v>
      </c>
      <c r="C839" s="4">
        <v>1.0</v>
      </c>
      <c r="E839" s="3"/>
      <c r="H839" s="4">
        <v>33.0</v>
      </c>
    </row>
    <row r="840">
      <c r="A840" s="4" t="s">
        <v>881</v>
      </c>
      <c r="B840" s="13" t="s">
        <v>48</v>
      </c>
      <c r="C840" s="4">
        <v>1.0</v>
      </c>
      <c r="E840" s="3"/>
      <c r="H840" s="4">
        <v>33.0</v>
      </c>
    </row>
    <row r="841">
      <c r="A841" s="4" t="s">
        <v>882</v>
      </c>
      <c r="B841" s="13" t="s">
        <v>48</v>
      </c>
      <c r="C841" s="4">
        <v>1.0</v>
      </c>
      <c r="E841" s="3"/>
      <c r="H841" s="4">
        <v>33.0</v>
      </c>
    </row>
    <row r="842">
      <c r="A842" s="4" t="s">
        <v>883</v>
      </c>
      <c r="B842" s="13" t="s">
        <v>48</v>
      </c>
      <c r="C842" s="4">
        <v>1.0</v>
      </c>
      <c r="E842" s="3"/>
      <c r="H842" s="4">
        <v>33.0</v>
      </c>
    </row>
    <row r="843">
      <c r="A843" s="4" t="s">
        <v>884</v>
      </c>
      <c r="B843" s="13" t="s">
        <v>48</v>
      </c>
      <c r="C843" s="4">
        <v>1.0</v>
      </c>
      <c r="E843" s="3"/>
      <c r="H843" s="4">
        <v>33.0</v>
      </c>
    </row>
    <row r="844">
      <c r="A844" s="4" t="s">
        <v>885</v>
      </c>
      <c r="B844" s="13" t="s">
        <v>48</v>
      </c>
      <c r="C844" s="4">
        <v>1.0</v>
      </c>
      <c r="E844" s="3"/>
      <c r="H844" s="4">
        <v>33.0</v>
      </c>
    </row>
    <row r="845">
      <c r="A845" s="4" t="s">
        <v>886</v>
      </c>
      <c r="B845" s="13" t="s">
        <v>48</v>
      </c>
      <c r="C845" s="4">
        <v>1.0</v>
      </c>
      <c r="E845" s="3"/>
      <c r="H845" s="4">
        <v>33.0</v>
      </c>
    </row>
    <row r="846">
      <c r="A846" s="4" t="s">
        <v>887</v>
      </c>
      <c r="B846" s="13" t="s">
        <v>48</v>
      </c>
      <c r="C846" s="4">
        <v>1.0</v>
      </c>
      <c r="E846" s="3"/>
      <c r="H846" s="4">
        <v>33.0</v>
      </c>
    </row>
    <row r="847">
      <c r="A847" s="4" t="s">
        <v>888</v>
      </c>
      <c r="B847" s="13" t="s">
        <v>48</v>
      </c>
      <c r="C847" s="4">
        <v>1.0</v>
      </c>
      <c r="E847" s="4">
        <v>28.0</v>
      </c>
    </row>
    <row r="848">
      <c r="A848" s="4" t="s">
        <v>889</v>
      </c>
      <c r="B848" s="13" t="s">
        <v>48</v>
      </c>
      <c r="C848" s="4">
        <v>1.0</v>
      </c>
      <c r="E848" s="4">
        <v>28.0</v>
      </c>
    </row>
    <row r="849">
      <c r="A849" s="4" t="s">
        <v>890</v>
      </c>
      <c r="B849" s="13" t="s">
        <v>48</v>
      </c>
      <c r="C849" s="4">
        <v>1.0</v>
      </c>
      <c r="E849" s="4">
        <v>28.0</v>
      </c>
    </row>
    <row r="850">
      <c r="A850" s="4" t="s">
        <v>891</v>
      </c>
      <c r="B850" s="13" t="s">
        <v>48</v>
      </c>
      <c r="C850" s="4">
        <v>1.0</v>
      </c>
      <c r="E850" s="4">
        <v>28.0</v>
      </c>
    </row>
    <row r="851">
      <c r="A851" s="4" t="s">
        <v>892</v>
      </c>
      <c r="B851" s="13" t="s">
        <v>48</v>
      </c>
      <c r="C851" s="4">
        <v>1.0</v>
      </c>
      <c r="E851" s="4">
        <v>28.0</v>
      </c>
    </row>
    <row r="852">
      <c r="A852" s="4" t="s">
        <v>893</v>
      </c>
      <c r="B852" s="13" t="s">
        <v>48</v>
      </c>
      <c r="C852" s="4">
        <v>1.0</v>
      </c>
      <c r="E852" s="4">
        <v>28.0</v>
      </c>
    </row>
    <row r="853">
      <c r="A853" s="4" t="s">
        <v>894</v>
      </c>
      <c r="B853" s="13" t="s">
        <v>48</v>
      </c>
      <c r="C853" s="4">
        <v>1.0</v>
      </c>
      <c r="E853" s="4">
        <v>28.0</v>
      </c>
    </row>
    <row r="854">
      <c r="A854" s="4" t="s">
        <v>895</v>
      </c>
      <c r="B854" s="13" t="s">
        <v>48</v>
      </c>
      <c r="C854" s="4">
        <v>1.0</v>
      </c>
      <c r="E854" s="4">
        <v>28.0</v>
      </c>
    </row>
    <row r="855">
      <c r="A855" s="4" t="s">
        <v>896</v>
      </c>
      <c r="B855" s="13" t="s">
        <v>48</v>
      </c>
      <c r="C855" s="4">
        <v>1.0</v>
      </c>
      <c r="E855" s="4">
        <v>28.0</v>
      </c>
    </row>
    <row r="856">
      <c r="A856" s="4" t="s">
        <v>897</v>
      </c>
      <c r="B856" s="13" t="s">
        <v>48</v>
      </c>
      <c r="C856" s="4">
        <v>1.0</v>
      </c>
      <c r="E856" s="4">
        <v>28.0</v>
      </c>
    </row>
    <row r="857">
      <c r="A857" s="4" t="s">
        <v>898</v>
      </c>
      <c r="B857" s="13" t="s">
        <v>48</v>
      </c>
      <c r="C857" s="4">
        <v>1.0</v>
      </c>
      <c r="E857" s="4">
        <v>28.0</v>
      </c>
    </row>
    <row r="858">
      <c r="A858" s="4" t="s">
        <v>899</v>
      </c>
      <c r="B858" s="13" t="s">
        <v>48</v>
      </c>
      <c r="C858" s="4">
        <v>1.0</v>
      </c>
      <c r="E858" s="4">
        <v>28.0</v>
      </c>
    </row>
    <row r="859">
      <c r="A859" s="4" t="s">
        <v>900</v>
      </c>
      <c r="B859" s="13" t="s">
        <v>48</v>
      </c>
      <c r="C859" s="4">
        <v>1.0</v>
      </c>
      <c r="E859" s="4">
        <v>28.0</v>
      </c>
    </row>
    <row r="860">
      <c r="A860" s="4" t="s">
        <v>901</v>
      </c>
      <c r="B860" s="13" t="s">
        <v>48</v>
      </c>
      <c r="C860" s="4">
        <v>1.0</v>
      </c>
      <c r="E860" s="4">
        <v>28.0</v>
      </c>
    </row>
    <row r="861">
      <c r="A861" s="4" t="s">
        <v>902</v>
      </c>
      <c r="B861" s="13" t="s">
        <v>48</v>
      </c>
      <c r="C861" s="4">
        <v>1.0</v>
      </c>
      <c r="E861" s="4">
        <v>28.0</v>
      </c>
    </row>
    <row r="862">
      <c r="A862" s="4" t="s">
        <v>903</v>
      </c>
      <c r="B862" s="13" t="s">
        <v>48</v>
      </c>
      <c r="C862" s="4">
        <v>1.0</v>
      </c>
      <c r="E862" s="4">
        <v>28.0</v>
      </c>
    </row>
    <row r="863">
      <c r="A863" s="4" t="s">
        <v>904</v>
      </c>
      <c r="B863" s="13" t="s">
        <v>48</v>
      </c>
      <c r="C863" s="4">
        <v>1.0</v>
      </c>
      <c r="E863" s="4">
        <v>28.0</v>
      </c>
    </row>
    <row r="864">
      <c r="A864" s="4" t="s">
        <v>905</v>
      </c>
      <c r="B864" s="13" t="s">
        <v>48</v>
      </c>
      <c r="C864" s="4">
        <v>1.0</v>
      </c>
      <c r="E864" s="4">
        <v>28.0</v>
      </c>
    </row>
    <row r="865">
      <c r="A865" s="4" t="s">
        <v>906</v>
      </c>
      <c r="B865" s="13" t="s">
        <v>48</v>
      </c>
      <c r="C865" s="4">
        <v>1.0</v>
      </c>
      <c r="E865" s="4">
        <v>28.0</v>
      </c>
    </row>
    <row r="866">
      <c r="A866" s="4" t="s">
        <v>907</v>
      </c>
      <c r="B866" s="13" t="s">
        <v>48</v>
      </c>
      <c r="C866" s="4">
        <v>1.0</v>
      </c>
      <c r="E866" s="4">
        <v>28.0</v>
      </c>
    </row>
    <row r="867">
      <c r="A867" s="4" t="s">
        <v>908</v>
      </c>
      <c r="B867" s="13" t="s">
        <v>48</v>
      </c>
      <c r="C867" s="4">
        <v>1.0</v>
      </c>
      <c r="E867" s="4">
        <v>28.0</v>
      </c>
    </row>
    <row r="868">
      <c r="A868" s="4" t="s">
        <v>909</v>
      </c>
      <c r="B868" s="13" t="s">
        <v>48</v>
      </c>
      <c r="C868" s="4">
        <v>1.0</v>
      </c>
      <c r="E868" s="4">
        <v>28.0</v>
      </c>
    </row>
    <row r="869">
      <c r="A869" s="4" t="s">
        <v>910</v>
      </c>
      <c r="B869" s="13" t="s">
        <v>48</v>
      </c>
      <c r="C869" s="4">
        <v>1.0</v>
      </c>
      <c r="E869" s="4">
        <v>28.0</v>
      </c>
    </row>
    <row r="870">
      <c r="A870" s="4" t="s">
        <v>911</v>
      </c>
      <c r="B870" s="13" t="s">
        <v>48</v>
      </c>
      <c r="C870" s="4">
        <v>1.0</v>
      </c>
      <c r="E870" s="4">
        <v>28.0</v>
      </c>
    </row>
    <row r="871">
      <c r="A871" s="4" t="s">
        <v>912</v>
      </c>
      <c r="B871" s="13" t="s">
        <v>48</v>
      </c>
      <c r="C871" s="4">
        <v>1.0</v>
      </c>
      <c r="E871" s="4">
        <v>28.0</v>
      </c>
    </row>
    <row r="872">
      <c r="A872" s="4" t="s">
        <v>913</v>
      </c>
      <c r="B872" s="13" t="s">
        <v>48</v>
      </c>
      <c r="C872" s="4">
        <v>1.0</v>
      </c>
      <c r="E872" s="4">
        <v>28.0</v>
      </c>
    </row>
    <row r="873">
      <c r="A873" s="4" t="s">
        <v>914</v>
      </c>
      <c r="B873" s="13" t="s">
        <v>48</v>
      </c>
      <c r="C873" s="4">
        <v>1.0</v>
      </c>
      <c r="E873" s="4">
        <v>28.0</v>
      </c>
    </row>
    <row r="874">
      <c r="A874" s="4" t="s">
        <v>915</v>
      </c>
      <c r="B874" s="13" t="s">
        <v>48</v>
      </c>
      <c r="C874" s="4">
        <v>1.0</v>
      </c>
      <c r="E874" s="4">
        <v>28.0</v>
      </c>
    </row>
    <row r="875">
      <c r="A875" s="4" t="s">
        <v>916</v>
      </c>
      <c r="B875" s="13" t="s">
        <v>48</v>
      </c>
      <c r="C875" s="4">
        <v>1.0</v>
      </c>
      <c r="E875" s="4">
        <v>28.0</v>
      </c>
    </row>
    <row r="876">
      <c r="A876" s="4" t="s">
        <v>917</v>
      </c>
      <c r="B876" s="13" t="s">
        <v>48</v>
      </c>
      <c r="C876" s="4">
        <v>1.0</v>
      </c>
      <c r="E876" s="4">
        <v>28.0</v>
      </c>
    </row>
    <row r="877">
      <c r="A877" s="4" t="s">
        <v>918</v>
      </c>
      <c r="B877" s="13" t="s">
        <v>48</v>
      </c>
      <c r="C877" s="4">
        <v>1.0</v>
      </c>
      <c r="E877" s="4">
        <v>28.0</v>
      </c>
    </row>
    <row r="878">
      <c r="A878" s="4" t="s">
        <v>919</v>
      </c>
      <c r="B878" s="13" t="s">
        <v>48</v>
      </c>
      <c r="C878" s="4">
        <v>1.0</v>
      </c>
      <c r="E878" s="4">
        <v>28.0</v>
      </c>
    </row>
    <row r="879">
      <c r="A879" s="4" t="s">
        <v>920</v>
      </c>
      <c r="B879" s="13" t="s">
        <v>48</v>
      </c>
      <c r="C879" s="4">
        <v>1.0</v>
      </c>
      <c r="E879" s="4">
        <v>28.0</v>
      </c>
    </row>
    <row r="880">
      <c r="A880" s="4" t="s">
        <v>921</v>
      </c>
      <c r="B880" s="13" t="s">
        <v>48</v>
      </c>
      <c r="C880" s="4">
        <v>1.0</v>
      </c>
      <c r="E880" s="4">
        <v>28.0</v>
      </c>
    </row>
    <row r="881">
      <c r="A881" s="4" t="s">
        <v>922</v>
      </c>
      <c r="B881" s="13" t="s">
        <v>48</v>
      </c>
      <c r="C881" s="4">
        <v>1.0</v>
      </c>
      <c r="E881" s="4">
        <v>28.0</v>
      </c>
    </row>
    <row r="882">
      <c r="A882" s="4" t="s">
        <v>923</v>
      </c>
      <c r="B882" s="13" t="s">
        <v>48</v>
      </c>
      <c r="C882" s="4">
        <v>1.0</v>
      </c>
      <c r="E882" s="4">
        <v>28.0</v>
      </c>
    </row>
    <row r="883">
      <c r="A883" s="4" t="s">
        <v>924</v>
      </c>
      <c r="B883" s="13" t="s">
        <v>48</v>
      </c>
      <c r="C883" s="4">
        <v>1.0</v>
      </c>
      <c r="E883" s="4">
        <v>28.0</v>
      </c>
    </row>
    <row r="884">
      <c r="A884" s="4" t="s">
        <v>925</v>
      </c>
      <c r="B884" s="13" t="s">
        <v>43</v>
      </c>
      <c r="E884" s="3"/>
    </row>
    <row r="885">
      <c r="A885" s="4" t="s">
        <v>926</v>
      </c>
      <c r="B885" s="13" t="s">
        <v>43</v>
      </c>
      <c r="E885" s="3"/>
    </row>
    <row r="886">
      <c r="A886" s="4" t="s">
        <v>927</v>
      </c>
      <c r="B886" s="13" t="s">
        <v>43</v>
      </c>
      <c r="E886" s="3"/>
    </row>
    <row r="887">
      <c r="A887" s="4" t="s">
        <v>928</v>
      </c>
      <c r="B887" s="13" t="s">
        <v>43</v>
      </c>
      <c r="E887" s="3"/>
    </row>
    <row r="888">
      <c r="A888" s="4" t="s">
        <v>929</v>
      </c>
      <c r="B888" s="13" t="s">
        <v>43</v>
      </c>
      <c r="E888" s="3"/>
    </row>
    <row r="889">
      <c r="A889" s="4" t="s">
        <v>930</v>
      </c>
      <c r="B889" s="13" t="s">
        <v>43</v>
      </c>
      <c r="E889" s="3"/>
    </row>
    <row r="890">
      <c r="A890" s="4" t="s">
        <v>931</v>
      </c>
      <c r="B890" s="13" t="s">
        <v>43</v>
      </c>
      <c r="E890" s="3"/>
    </row>
    <row r="891">
      <c r="A891" s="4" t="s">
        <v>932</v>
      </c>
      <c r="B891" s="13" t="s">
        <v>43</v>
      </c>
      <c r="E891" s="3"/>
    </row>
    <row r="892">
      <c r="A892" s="4" t="s">
        <v>933</v>
      </c>
      <c r="B892" s="13" t="s">
        <v>43</v>
      </c>
      <c r="E892" s="3"/>
    </row>
    <row r="893">
      <c r="A893" s="4" t="s">
        <v>934</v>
      </c>
      <c r="B893" s="13" t="s">
        <v>48</v>
      </c>
      <c r="C893" s="4">
        <v>1.0</v>
      </c>
      <c r="E893" s="3"/>
      <c r="H893" s="4">
        <v>33.0</v>
      </c>
    </row>
    <row r="894">
      <c r="A894" s="4" t="s">
        <v>935</v>
      </c>
      <c r="B894" s="13" t="s">
        <v>48</v>
      </c>
      <c r="C894" s="4">
        <v>1.0</v>
      </c>
      <c r="E894" s="3"/>
      <c r="H894" s="4">
        <v>33.0</v>
      </c>
    </row>
    <row r="895">
      <c r="A895" s="4" t="s">
        <v>936</v>
      </c>
      <c r="B895" s="13" t="s">
        <v>48</v>
      </c>
      <c r="C895" s="4">
        <v>1.0</v>
      </c>
      <c r="E895" s="3"/>
      <c r="H895" s="4">
        <v>33.0</v>
      </c>
    </row>
    <row r="896">
      <c r="A896" s="4" t="s">
        <v>937</v>
      </c>
      <c r="B896" s="13" t="s">
        <v>48</v>
      </c>
      <c r="C896" s="4">
        <v>1.0</v>
      </c>
      <c r="E896" s="3"/>
      <c r="H896" s="4">
        <v>33.0</v>
      </c>
    </row>
    <row r="897">
      <c r="A897" s="4" t="s">
        <v>938</v>
      </c>
      <c r="B897" s="13" t="s">
        <v>48</v>
      </c>
      <c r="C897" s="4">
        <v>1.0</v>
      </c>
      <c r="E897" s="3"/>
      <c r="H897" s="4">
        <v>33.0</v>
      </c>
    </row>
    <row r="898">
      <c r="A898" s="4" t="s">
        <v>939</v>
      </c>
      <c r="B898" s="13" t="s">
        <v>48</v>
      </c>
      <c r="C898" s="4">
        <v>1.0</v>
      </c>
      <c r="E898" s="3"/>
      <c r="H898" s="4">
        <v>33.0</v>
      </c>
    </row>
    <row r="899">
      <c r="A899" s="4" t="s">
        <v>940</v>
      </c>
      <c r="B899" s="13" t="s">
        <v>48</v>
      </c>
      <c r="C899" s="4">
        <v>2.0</v>
      </c>
      <c r="E899" s="4">
        <v>28.0</v>
      </c>
      <c r="H899" s="4">
        <v>33.0</v>
      </c>
    </row>
    <row r="900">
      <c r="A900" s="4" t="s">
        <v>941</v>
      </c>
      <c r="B900" s="13" t="s">
        <v>48</v>
      </c>
      <c r="C900" s="4">
        <v>3.0</v>
      </c>
      <c r="D900" s="4">
        <v>26.0</v>
      </c>
      <c r="E900" s="4">
        <v>28.0</v>
      </c>
      <c r="G900" s="4">
        <v>30.0</v>
      </c>
    </row>
    <row r="901">
      <c r="A901" s="4" t="s">
        <v>942</v>
      </c>
      <c r="B901" s="13" t="s">
        <v>48</v>
      </c>
      <c r="C901" s="4">
        <v>3.0</v>
      </c>
      <c r="D901" s="4">
        <v>26.0</v>
      </c>
      <c r="E901" s="4">
        <v>28.0</v>
      </c>
      <c r="G901" s="4">
        <v>30.0</v>
      </c>
    </row>
    <row r="902">
      <c r="A902" s="4" t="s">
        <v>943</v>
      </c>
      <c r="B902" s="13" t="s">
        <v>48</v>
      </c>
      <c r="C902" s="4">
        <v>3.0</v>
      </c>
      <c r="D902" s="4">
        <v>26.0</v>
      </c>
      <c r="E902" s="4">
        <v>28.0</v>
      </c>
      <c r="G902" s="4">
        <v>30.0</v>
      </c>
    </row>
    <row r="903">
      <c r="A903" s="4" t="s">
        <v>944</v>
      </c>
      <c r="B903" s="13" t="s">
        <v>48</v>
      </c>
      <c r="C903" s="4">
        <v>3.0</v>
      </c>
      <c r="D903" s="4">
        <v>26.0</v>
      </c>
      <c r="E903" s="4">
        <v>28.0</v>
      </c>
      <c r="G903" s="4">
        <v>30.0</v>
      </c>
    </row>
    <row r="904">
      <c r="A904" s="4" t="s">
        <v>945</v>
      </c>
      <c r="B904" s="13" t="s">
        <v>48</v>
      </c>
      <c r="C904" s="4">
        <v>3.0</v>
      </c>
      <c r="D904" s="4">
        <v>26.0</v>
      </c>
      <c r="E904" s="4">
        <v>28.0</v>
      </c>
      <c r="G904" s="4">
        <v>30.0</v>
      </c>
    </row>
    <row r="905">
      <c r="A905" s="4" t="s">
        <v>946</v>
      </c>
      <c r="B905" s="13" t="s">
        <v>48</v>
      </c>
      <c r="C905" s="4">
        <v>3.0</v>
      </c>
      <c r="D905" s="4">
        <v>26.0</v>
      </c>
      <c r="E905" s="4">
        <v>28.0</v>
      </c>
      <c r="G905" s="4">
        <v>30.0</v>
      </c>
    </row>
    <row r="906">
      <c r="A906" s="4" t="s">
        <v>947</v>
      </c>
      <c r="B906" s="13" t="s">
        <v>48</v>
      </c>
      <c r="C906" s="4">
        <v>3.0</v>
      </c>
      <c r="D906" s="4">
        <v>26.0</v>
      </c>
      <c r="E906" s="4">
        <v>28.0</v>
      </c>
      <c r="G906" s="4">
        <v>30.0</v>
      </c>
    </row>
    <row r="907">
      <c r="A907" s="4" t="s">
        <v>948</v>
      </c>
      <c r="B907" s="13" t="s">
        <v>48</v>
      </c>
      <c r="C907" s="4">
        <v>3.0</v>
      </c>
      <c r="D907" s="4">
        <v>26.0</v>
      </c>
      <c r="E907" s="4">
        <v>28.0</v>
      </c>
      <c r="G907" s="4">
        <v>30.0</v>
      </c>
    </row>
    <row r="908">
      <c r="A908" s="4" t="s">
        <v>949</v>
      </c>
      <c r="B908" s="13" t="s">
        <v>48</v>
      </c>
      <c r="C908" s="4">
        <v>3.0</v>
      </c>
      <c r="D908" s="4">
        <v>26.0</v>
      </c>
      <c r="E908" s="4">
        <v>28.0</v>
      </c>
      <c r="G908" s="4">
        <v>30.0</v>
      </c>
    </row>
    <row r="909">
      <c r="A909" s="4" t="s">
        <v>950</v>
      </c>
      <c r="B909" s="13" t="s">
        <v>48</v>
      </c>
      <c r="C909" s="4">
        <v>3.0</v>
      </c>
      <c r="D909" s="4">
        <v>26.0</v>
      </c>
      <c r="E909" s="4">
        <v>28.0</v>
      </c>
      <c r="G909" s="4">
        <v>30.0</v>
      </c>
    </row>
    <row r="910">
      <c r="A910" s="4" t="s">
        <v>951</v>
      </c>
      <c r="B910" s="13" t="s">
        <v>48</v>
      </c>
      <c r="C910" s="4">
        <v>4.0</v>
      </c>
      <c r="D910" s="4">
        <v>26.0</v>
      </c>
      <c r="E910" s="3"/>
      <c r="F910" s="4">
        <v>29.0</v>
      </c>
      <c r="G910" s="4">
        <v>30.0</v>
      </c>
      <c r="H910" s="4">
        <v>33.0</v>
      </c>
    </row>
    <row r="911">
      <c r="A911" s="4" t="s">
        <v>952</v>
      </c>
      <c r="B911" s="13" t="s">
        <v>48</v>
      </c>
      <c r="C911" s="4">
        <v>4.0</v>
      </c>
      <c r="D911" s="4">
        <v>26.0</v>
      </c>
      <c r="E911" s="3"/>
      <c r="F911" s="4">
        <v>29.0</v>
      </c>
      <c r="G911" s="4">
        <v>30.0</v>
      </c>
      <c r="H911" s="4">
        <v>33.0</v>
      </c>
    </row>
    <row r="912">
      <c r="A912" s="4" t="s">
        <v>953</v>
      </c>
      <c r="B912" s="13" t="s">
        <v>48</v>
      </c>
      <c r="C912" s="4">
        <v>3.0</v>
      </c>
      <c r="D912" s="4">
        <v>26.0</v>
      </c>
      <c r="E912" s="4">
        <v>28.0</v>
      </c>
      <c r="G912" s="4">
        <v>30.0</v>
      </c>
    </row>
    <row r="913">
      <c r="A913" s="4" t="s">
        <v>954</v>
      </c>
      <c r="B913" s="13" t="s">
        <v>48</v>
      </c>
      <c r="C913" s="4">
        <v>3.0</v>
      </c>
      <c r="D913" s="4">
        <v>26.0</v>
      </c>
      <c r="E913" s="4">
        <v>28.0</v>
      </c>
      <c r="G913" s="4">
        <v>30.0</v>
      </c>
    </row>
    <row r="914">
      <c r="A914" s="4" t="s">
        <v>955</v>
      </c>
      <c r="B914" s="13" t="s">
        <v>48</v>
      </c>
      <c r="C914" s="4">
        <v>3.0</v>
      </c>
      <c r="D914" s="4">
        <v>26.0</v>
      </c>
      <c r="E914" s="4">
        <v>28.0</v>
      </c>
      <c r="G914" s="4">
        <v>30.0</v>
      </c>
    </row>
    <row r="915">
      <c r="A915" s="4" t="s">
        <v>956</v>
      </c>
      <c r="B915" s="13" t="s">
        <v>48</v>
      </c>
      <c r="C915" s="4">
        <v>3.0</v>
      </c>
      <c r="D915" s="4">
        <v>26.0</v>
      </c>
      <c r="E915" s="4">
        <v>28.0</v>
      </c>
      <c r="G915" s="4">
        <v>30.0</v>
      </c>
    </row>
    <row r="916">
      <c r="A916" s="4" t="s">
        <v>957</v>
      </c>
      <c r="B916" s="13" t="s">
        <v>48</v>
      </c>
      <c r="C916" s="4">
        <v>3.0</v>
      </c>
      <c r="D916" s="4">
        <v>26.0</v>
      </c>
      <c r="E916" s="4">
        <v>28.0</v>
      </c>
      <c r="G916" s="4">
        <v>30.0</v>
      </c>
    </row>
    <row r="917">
      <c r="A917" s="4" t="s">
        <v>958</v>
      </c>
      <c r="B917" s="13" t="s">
        <v>48</v>
      </c>
      <c r="C917" s="4">
        <v>3.0</v>
      </c>
      <c r="D917" s="4">
        <v>26.0</v>
      </c>
      <c r="E917" s="4">
        <v>28.0</v>
      </c>
      <c r="G917" s="4">
        <v>30.0</v>
      </c>
    </row>
    <row r="918">
      <c r="A918" s="4" t="s">
        <v>959</v>
      </c>
      <c r="B918" s="13" t="s">
        <v>48</v>
      </c>
      <c r="C918" s="4">
        <v>3.0</v>
      </c>
      <c r="D918" s="4">
        <v>26.0</v>
      </c>
      <c r="E918" s="4">
        <v>28.0</v>
      </c>
      <c r="G918" s="4">
        <v>30.0</v>
      </c>
    </row>
    <row r="919">
      <c r="A919" s="4" t="s">
        <v>960</v>
      </c>
      <c r="B919" s="13" t="s">
        <v>48</v>
      </c>
      <c r="C919" s="4">
        <v>3.0</v>
      </c>
      <c r="D919" s="4">
        <v>26.0</v>
      </c>
      <c r="E919" s="4">
        <v>28.0</v>
      </c>
      <c r="G919" s="4">
        <v>30.0</v>
      </c>
    </row>
    <row r="920">
      <c r="A920" s="4" t="s">
        <v>961</v>
      </c>
      <c r="B920" s="13" t="s">
        <v>48</v>
      </c>
      <c r="C920" s="4">
        <v>3.0</v>
      </c>
      <c r="D920" s="4">
        <v>26.0</v>
      </c>
      <c r="E920" s="4">
        <v>28.0</v>
      </c>
      <c r="G920" s="4">
        <v>30.0</v>
      </c>
    </row>
    <row r="921">
      <c r="A921" s="4" t="s">
        <v>962</v>
      </c>
      <c r="B921" s="13" t="s">
        <v>48</v>
      </c>
      <c r="C921" s="4">
        <v>3.0</v>
      </c>
      <c r="D921" s="4">
        <v>26.0</v>
      </c>
      <c r="E921" s="4">
        <v>28.0</v>
      </c>
      <c r="G921" s="4">
        <v>30.0</v>
      </c>
    </row>
    <row r="922">
      <c r="A922" s="4" t="s">
        <v>963</v>
      </c>
      <c r="B922" s="13" t="s">
        <v>48</v>
      </c>
      <c r="C922" s="4">
        <v>3.0</v>
      </c>
      <c r="D922" s="4">
        <v>26.0</v>
      </c>
      <c r="E922" s="4">
        <v>28.0</v>
      </c>
      <c r="G922" s="4">
        <v>30.0</v>
      </c>
    </row>
    <row r="923">
      <c r="A923" s="4" t="s">
        <v>964</v>
      </c>
      <c r="B923" s="13" t="s">
        <v>48</v>
      </c>
      <c r="C923" s="4">
        <v>3.0</v>
      </c>
      <c r="D923" s="4">
        <v>26.0</v>
      </c>
      <c r="E923" s="4">
        <v>28.0</v>
      </c>
      <c r="G923" s="4">
        <v>30.0</v>
      </c>
    </row>
    <row r="924">
      <c r="A924" s="4" t="s">
        <v>965</v>
      </c>
      <c r="B924" s="13" t="s">
        <v>48</v>
      </c>
      <c r="C924" s="4">
        <v>3.0</v>
      </c>
      <c r="D924" s="4">
        <v>26.0</v>
      </c>
      <c r="E924" s="4">
        <v>28.0</v>
      </c>
      <c r="G924" s="4">
        <v>30.0</v>
      </c>
    </row>
    <row r="925">
      <c r="A925" s="4" t="s">
        <v>966</v>
      </c>
      <c r="B925" s="13" t="s">
        <v>48</v>
      </c>
      <c r="C925" s="4">
        <v>3.0</v>
      </c>
      <c r="D925" s="4">
        <v>26.0</v>
      </c>
      <c r="E925" s="4">
        <v>28.0</v>
      </c>
      <c r="G925" s="4">
        <v>30.0</v>
      </c>
    </row>
    <row r="926">
      <c r="A926" s="4" t="s">
        <v>967</v>
      </c>
      <c r="B926" s="13" t="s">
        <v>48</v>
      </c>
      <c r="C926" s="4">
        <v>3.0</v>
      </c>
      <c r="D926" s="4">
        <v>26.0</v>
      </c>
      <c r="E926" s="4">
        <v>28.0</v>
      </c>
      <c r="G926" s="4">
        <v>30.0</v>
      </c>
    </row>
    <row r="927">
      <c r="A927" s="4" t="s">
        <v>968</v>
      </c>
      <c r="B927" s="13" t="s">
        <v>48</v>
      </c>
      <c r="C927" s="4">
        <v>3.0</v>
      </c>
      <c r="D927" s="4">
        <v>26.0</v>
      </c>
      <c r="E927" s="4">
        <v>28.0</v>
      </c>
      <c r="G927" s="4">
        <v>30.0</v>
      </c>
    </row>
    <row r="928">
      <c r="A928" s="4" t="s">
        <v>969</v>
      </c>
      <c r="B928" s="13" t="s">
        <v>48</v>
      </c>
      <c r="C928" s="4">
        <v>3.0</v>
      </c>
      <c r="D928" s="4">
        <v>26.0</v>
      </c>
      <c r="E928" s="4">
        <v>28.0</v>
      </c>
      <c r="G928" s="4">
        <v>30.0</v>
      </c>
    </row>
    <row r="929">
      <c r="A929" s="4" t="s">
        <v>970</v>
      </c>
      <c r="B929" s="13" t="s">
        <v>48</v>
      </c>
      <c r="C929" s="4">
        <v>3.0</v>
      </c>
      <c r="D929" s="4">
        <v>26.0</v>
      </c>
      <c r="E929" s="4">
        <v>28.0</v>
      </c>
      <c r="G929" s="4">
        <v>30.0</v>
      </c>
    </row>
    <row r="930">
      <c r="A930" s="4" t="s">
        <v>971</v>
      </c>
      <c r="B930" s="13" t="s">
        <v>48</v>
      </c>
      <c r="C930" s="4">
        <v>3.0</v>
      </c>
      <c r="D930" s="4">
        <v>26.0</v>
      </c>
      <c r="E930" s="4">
        <v>28.0</v>
      </c>
      <c r="G930" s="4">
        <v>30.0</v>
      </c>
    </row>
    <row r="931">
      <c r="A931" s="4" t="s">
        <v>972</v>
      </c>
      <c r="B931" s="13" t="s">
        <v>48</v>
      </c>
      <c r="C931" s="4">
        <v>3.0</v>
      </c>
      <c r="D931" s="4">
        <v>26.0</v>
      </c>
      <c r="E931" s="4">
        <v>28.0</v>
      </c>
      <c r="G931" s="4">
        <v>30.0</v>
      </c>
    </row>
    <row r="932">
      <c r="A932" s="4" t="s">
        <v>973</v>
      </c>
      <c r="B932" s="13" t="s">
        <v>48</v>
      </c>
      <c r="C932" s="4">
        <v>2.0</v>
      </c>
      <c r="D932" s="4">
        <v>26.0</v>
      </c>
      <c r="E932" s="3"/>
      <c r="G932" s="4">
        <v>30.0</v>
      </c>
    </row>
    <row r="933">
      <c r="A933" s="4" t="s">
        <v>974</v>
      </c>
      <c r="B933" s="13" t="s">
        <v>48</v>
      </c>
      <c r="C933" s="4">
        <v>2.0</v>
      </c>
      <c r="D933" s="4">
        <v>26.0</v>
      </c>
      <c r="E933" s="3"/>
      <c r="G933" s="4">
        <v>30.0</v>
      </c>
    </row>
    <row r="934">
      <c r="A934" s="4" t="s">
        <v>975</v>
      </c>
      <c r="B934" s="13" t="s">
        <v>48</v>
      </c>
      <c r="C934" s="4">
        <v>3.0</v>
      </c>
      <c r="D934" s="4">
        <v>26.0</v>
      </c>
      <c r="E934" s="3"/>
      <c r="F934" s="4">
        <v>29.0</v>
      </c>
      <c r="G934" s="4">
        <v>30.0</v>
      </c>
    </row>
    <row r="935">
      <c r="A935" s="4" t="s">
        <v>976</v>
      </c>
      <c r="B935" s="13" t="s">
        <v>48</v>
      </c>
      <c r="C935" s="4">
        <v>3.0</v>
      </c>
      <c r="D935" s="4">
        <v>26.0</v>
      </c>
      <c r="E935" s="3"/>
      <c r="F935" s="4">
        <v>29.0</v>
      </c>
      <c r="G935" s="4">
        <v>30.0</v>
      </c>
    </row>
    <row r="936">
      <c r="A936" s="4" t="s">
        <v>977</v>
      </c>
      <c r="B936" s="13" t="s">
        <v>48</v>
      </c>
      <c r="C936" s="4">
        <v>3.0</v>
      </c>
      <c r="D936" s="4">
        <v>26.0</v>
      </c>
      <c r="E936" s="3"/>
      <c r="F936" s="4">
        <v>29.0</v>
      </c>
      <c r="G936" s="4">
        <v>30.0</v>
      </c>
    </row>
    <row r="937">
      <c r="A937" s="4" t="s">
        <v>978</v>
      </c>
      <c r="B937" s="13" t="s">
        <v>48</v>
      </c>
      <c r="C937" s="4">
        <v>3.0</v>
      </c>
      <c r="D937" s="4">
        <v>26.0</v>
      </c>
      <c r="E937" s="3"/>
      <c r="F937" s="4">
        <v>29.0</v>
      </c>
      <c r="G937" s="4">
        <v>30.0</v>
      </c>
    </row>
    <row r="938">
      <c r="A938" s="4" t="s">
        <v>979</v>
      </c>
      <c r="B938" s="13" t="s">
        <v>48</v>
      </c>
      <c r="C938" s="4">
        <v>2.0</v>
      </c>
      <c r="D938" s="4">
        <v>26.0</v>
      </c>
      <c r="E938" s="3"/>
      <c r="G938" s="4">
        <v>30.0</v>
      </c>
    </row>
    <row r="939">
      <c r="A939" s="4" t="s">
        <v>980</v>
      </c>
      <c r="B939" s="13" t="s">
        <v>48</v>
      </c>
      <c r="C939" s="4">
        <v>3.0</v>
      </c>
      <c r="D939" s="4">
        <v>26.0</v>
      </c>
      <c r="E939" s="4">
        <v>28.0</v>
      </c>
      <c r="G939" s="4">
        <v>30.0</v>
      </c>
    </row>
    <row r="940">
      <c r="A940" s="4" t="s">
        <v>981</v>
      </c>
      <c r="B940" s="13" t="s">
        <v>48</v>
      </c>
      <c r="C940" s="4">
        <v>3.0</v>
      </c>
      <c r="D940" s="4">
        <v>26.0</v>
      </c>
      <c r="E940" s="4">
        <v>28.0</v>
      </c>
      <c r="G940" s="4">
        <v>30.0</v>
      </c>
    </row>
    <row r="941">
      <c r="A941" s="4" t="s">
        <v>982</v>
      </c>
      <c r="B941" s="13" t="s">
        <v>48</v>
      </c>
      <c r="C941" s="4">
        <v>2.0</v>
      </c>
      <c r="D941" s="4">
        <v>26.0</v>
      </c>
      <c r="E941" s="3"/>
      <c r="G941" s="4">
        <v>30.0</v>
      </c>
    </row>
    <row r="942">
      <c r="A942" s="4" t="s">
        <v>983</v>
      </c>
      <c r="B942" s="13" t="s">
        <v>48</v>
      </c>
      <c r="C942" s="4">
        <v>2.0</v>
      </c>
      <c r="D942" s="4">
        <v>26.0</v>
      </c>
      <c r="E942" s="3"/>
      <c r="G942" s="4">
        <v>30.0</v>
      </c>
    </row>
    <row r="943">
      <c r="A943" s="4" t="s">
        <v>984</v>
      </c>
      <c r="B943" s="13" t="s">
        <v>48</v>
      </c>
      <c r="C943" s="4">
        <v>2.0</v>
      </c>
      <c r="D943" s="4">
        <v>26.0</v>
      </c>
      <c r="E943" s="3"/>
      <c r="G943" s="4">
        <v>30.0</v>
      </c>
    </row>
    <row r="944">
      <c r="A944" s="4" t="s">
        <v>985</v>
      </c>
      <c r="B944" s="13" t="s">
        <v>48</v>
      </c>
      <c r="C944" s="4">
        <v>3.0</v>
      </c>
      <c r="D944" s="4">
        <v>26.0</v>
      </c>
      <c r="E944" s="4">
        <v>28.0</v>
      </c>
      <c r="G944" s="4">
        <v>30.0</v>
      </c>
    </row>
    <row r="945">
      <c r="A945" s="4" t="s">
        <v>986</v>
      </c>
      <c r="B945" s="13" t="s">
        <v>48</v>
      </c>
      <c r="C945" s="4">
        <v>3.0</v>
      </c>
      <c r="D945" s="4">
        <v>26.0</v>
      </c>
      <c r="E945" s="4">
        <v>28.0</v>
      </c>
      <c r="G945" s="4">
        <v>30.0</v>
      </c>
    </row>
    <row r="946">
      <c r="A946" s="4" t="s">
        <v>987</v>
      </c>
      <c r="B946" s="13" t="s">
        <v>48</v>
      </c>
      <c r="C946" s="4">
        <v>2.0</v>
      </c>
      <c r="D946" s="4">
        <v>26.0</v>
      </c>
      <c r="E946" s="3"/>
      <c r="G946" s="4">
        <v>30.0</v>
      </c>
    </row>
    <row r="947">
      <c r="A947" s="4" t="s">
        <v>988</v>
      </c>
      <c r="B947" s="13" t="s">
        <v>48</v>
      </c>
      <c r="C947" s="4">
        <v>2.0</v>
      </c>
      <c r="D947" s="4">
        <v>26.0</v>
      </c>
      <c r="E947" s="3"/>
      <c r="G947" s="4">
        <v>30.0</v>
      </c>
    </row>
    <row r="948">
      <c r="A948" s="4" t="s">
        <v>989</v>
      </c>
      <c r="B948" s="13" t="s">
        <v>48</v>
      </c>
      <c r="C948" s="4">
        <v>2.0</v>
      </c>
      <c r="D948" s="4">
        <v>26.0</v>
      </c>
      <c r="E948" s="3"/>
      <c r="G948" s="4">
        <v>30.0</v>
      </c>
    </row>
    <row r="949">
      <c r="A949" s="4" t="s">
        <v>990</v>
      </c>
      <c r="B949" s="13" t="s">
        <v>48</v>
      </c>
      <c r="C949" s="4">
        <v>2.0</v>
      </c>
      <c r="D949" s="4">
        <v>26.0</v>
      </c>
      <c r="E949" s="3"/>
      <c r="G949" s="4">
        <v>30.0</v>
      </c>
    </row>
    <row r="950">
      <c r="A950" s="4" t="s">
        <v>991</v>
      </c>
      <c r="B950" s="13" t="s">
        <v>48</v>
      </c>
      <c r="C950" s="4">
        <v>1.0</v>
      </c>
      <c r="E950" s="3"/>
      <c r="G950" s="4">
        <v>30.0</v>
      </c>
    </row>
    <row r="951">
      <c r="A951" s="4" t="s">
        <v>992</v>
      </c>
      <c r="B951" s="13" t="s">
        <v>48</v>
      </c>
      <c r="C951" s="4">
        <v>1.0</v>
      </c>
      <c r="E951" s="3"/>
      <c r="G951" s="4">
        <v>30.0</v>
      </c>
    </row>
    <row r="952">
      <c r="A952" s="4" t="s">
        <v>993</v>
      </c>
      <c r="B952" s="13" t="s">
        <v>48</v>
      </c>
      <c r="C952" s="4">
        <v>1.0</v>
      </c>
      <c r="E952" s="3"/>
      <c r="G952" s="4">
        <v>30.0</v>
      </c>
    </row>
    <row r="953">
      <c r="A953" s="4" t="s">
        <v>994</v>
      </c>
      <c r="B953" s="13" t="s">
        <v>48</v>
      </c>
      <c r="C953" s="4">
        <v>1.0</v>
      </c>
      <c r="E953" s="3"/>
      <c r="G953" s="4">
        <v>30.0</v>
      </c>
    </row>
    <row r="954">
      <c r="A954" s="4" t="s">
        <v>995</v>
      </c>
      <c r="B954" s="13" t="s">
        <v>48</v>
      </c>
      <c r="C954" s="4">
        <v>2.0</v>
      </c>
      <c r="E954" s="3"/>
      <c r="F954" s="4">
        <v>29.0</v>
      </c>
      <c r="G954" s="4">
        <v>30.0</v>
      </c>
    </row>
    <row r="955">
      <c r="A955" s="4" t="s">
        <v>996</v>
      </c>
      <c r="B955" s="13" t="s">
        <v>48</v>
      </c>
      <c r="C955" s="4">
        <v>1.0</v>
      </c>
      <c r="E955" s="3"/>
      <c r="F955" s="4">
        <v>29.0</v>
      </c>
    </row>
    <row r="956">
      <c r="A956" s="4" t="s">
        <v>997</v>
      </c>
      <c r="B956" s="13" t="s">
        <v>48</v>
      </c>
      <c r="C956" s="4">
        <v>1.0</v>
      </c>
      <c r="E956" s="3"/>
      <c r="F956" s="4">
        <v>29.0</v>
      </c>
    </row>
    <row r="957">
      <c r="A957" s="4" t="s">
        <v>998</v>
      </c>
      <c r="B957" s="13" t="s">
        <v>48</v>
      </c>
      <c r="C957" s="4">
        <v>1.0</v>
      </c>
      <c r="E957" s="3"/>
      <c r="F957" s="4">
        <v>29.0</v>
      </c>
    </row>
    <row r="958">
      <c r="A958" s="4" t="s">
        <v>999</v>
      </c>
      <c r="B958" s="13" t="s">
        <v>48</v>
      </c>
      <c r="C958" s="4">
        <v>1.0</v>
      </c>
      <c r="E958" s="3"/>
      <c r="F958" s="4">
        <v>29.0</v>
      </c>
    </row>
    <row r="959">
      <c r="A959" s="4" t="s">
        <v>1000</v>
      </c>
      <c r="B959" s="13" t="s">
        <v>48</v>
      </c>
      <c r="C959" s="4">
        <v>1.0</v>
      </c>
      <c r="E959" s="3"/>
      <c r="F959" s="4">
        <v>29.0</v>
      </c>
    </row>
    <row r="960">
      <c r="A960" s="4" t="s">
        <v>1001</v>
      </c>
      <c r="B960" s="13" t="s">
        <v>48</v>
      </c>
      <c r="C960" s="4">
        <v>1.0</v>
      </c>
      <c r="E960" s="3"/>
      <c r="F960" s="4">
        <v>29.0</v>
      </c>
    </row>
    <row r="961">
      <c r="A961" s="4" t="s">
        <v>1002</v>
      </c>
      <c r="B961" s="13" t="s">
        <v>48</v>
      </c>
      <c r="C961" s="4">
        <v>1.0</v>
      </c>
      <c r="E961" s="3"/>
      <c r="F961" s="4">
        <v>29.0</v>
      </c>
    </row>
    <row r="962">
      <c r="A962" s="4" t="s">
        <v>1003</v>
      </c>
      <c r="B962" s="13" t="s">
        <v>48</v>
      </c>
      <c r="C962" s="4">
        <v>1.0</v>
      </c>
      <c r="E962" s="3"/>
      <c r="F962" s="4">
        <v>29.0</v>
      </c>
    </row>
    <row r="963">
      <c r="A963" s="4" t="s">
        <v>1004</v>
      </c>
      <c r="B963" s="13" t="s">
        <v>48</v>
      </c>
      <c r="C963" s="4">
        <v>1.0</v>
      </c>
      <c r="E963" s="3"/>
      <c r="F963" s="4">
        <v>29.0</v>
      </c>
    </row>
    <row r="964">
      <c r="A964" s="4" t="s">
        <v>1005</v>
      </c>
      <c r="B964" s="13" t="s">
        <v>48</v>
      </c>
      <c r="C964" s="4">
        <v>1.0</v>
      </c>
      <c r="E964" s="3"/>
      <c r="F964" s="4">
        <v>29.0</v>
      </c>
    </row>
    <row r="965">
      <c r="A965" s="4" t="s">
        <v>1006</v>
      </c>
      <c r="B965" s="13" t="s">
        <v>48</v>
      </c>
      <c r="C965" s="4">
        <v>1.0</v>
      </c>
      <c r="E965" s="3"/>
      <c r="F965" s="4">
        <v>29.0</v>
      </c>
    </row>
    <row r="966">
      <c r="A966" s="4" t="s">
        <v>1007</v>
      </c>
      <c r="B966" s="13" t="s">
        <v>48</v>
      </c>
      <c r="C966" s="4">
        <v>1.0</v>
      </c>
      <c r="E966" s="3"/>
      <c r="F966" s="4">
        <v>29.0</v>
      </c>
    </row>
    <row r="967">
      <c r="A967" s="4" t="s">
        <v>1008</v>
      </c>
      <c r="B967" s="13" t="s">
        <v>48</v>
      </c>
      <c r="C967" s="4">
        <v>1.0</v>
      </c>
      <c r="E967" s="3"/>
      <c r="F967" s="4">
        <v>29.0</v>
      </c>
    </row>
    <row r="968">
      <c r="A968" s="4" t="s">
        <v>1009</v>
      </c>
      <c r="B968" s="13" t="s">
        <v>48</v>
      </c>
      <c r="C968" s="4">
        <v>1.0</v>
      </c>
      <c r="E968" s="3"/>
      <c r="F968" s="4">
        <v>29.0</v>
      </c>
    </row>
    <row r="969">
      <c r="A969" s="4" t="s">
        <v>1010</v>
      </c>
      <c r="B969" s="13" t="s">
        <v>48</v>
      </c>
      <c r="C969" s="4">
        <v>1.0</v>
      </c>
      <c r="E969" s="3"/>
      <c r="F969" s="4">
        <v>29.0</v>
      </c>
    </row>
    <row r="970">
      <c r="A970" s="4" t="s">
        <v>1011</v>
      </c>
      <c r="B970" s="13" t="s">
        <v>48</v>
      </c>
      <c r="C970" s="4">
        <v>1.0</v>
      </c>
      <c r="E970" s="3"/>
      <c r="F970" s="4">
        <v>29.0</v>
      </c>
    </row>
    <row r="971">
      <c r="A971" s="4" t="s">
        <v>1012</v>
      </c>
      <c r="B971" s="13" t="s">
        <v>48</v>
      </c>
      <c r="C971" s="4">
        <v>1.0</v>
      </c>
      <c r="E971" s="3"/>
      <c r="F971" s="4">
        <v>29.0</v>
      </c>
    </row>
    <row r="972">
      <c r="A972" s="4" t="s">
        <v>1013</v>
      </c>
      <c r="B972" s="13" t="s">
        <v>48</v>
      </c>
      <c r="C972" s="4">
        <v>1.0</v>
      </c>
      <c r="E972" s="3"/>
      <c r="F972" s="4">
        <v>29.0</v>
      </c>
    </row>
    <row r="973">
      <c r="A973" s="4" t="s">
        <v>1014</v>
      </c>
      <c r="B973" s="13" t="s">
        <v>48</v>
      </c>
      <c r="C973" s="4">
        <v>1.0</v>
      </c>
      <c r="E973" s="3"/>
      <c r="F973" s="4">
        <v>29.0</v>
      </c>
    </row>
    <row r="974">
      <c r="A974" s="4" t="s">
        <v>1015</v>
      </c>
      <c r="B974" s="13" t="s">
        <v>48</v>
      </c>
      <c r="C974" s="4">
        <v>1.0</v>
      </c>
      <c r="E974" s="3"/>
      <c r="F974" s="4">
        <v>29.0</v>
      </c>
    </row>
    <row r="975">
      <c r="A975" s="4" t="s">
        <v>1016</v>
      </c>
      <c r="B975" s="13" t="s">
        <v>48</v>
      </c>
      <c r="C975" s="4">
        <v>1.0</v>
      </c>
      <c r="E975" s="3"/>
      <c r="F975" s="4">
        <v>29.0</v>
      </c>
    </row>
    <row r="976">
      <c r="A976" s="4" t="s">
        <v>1017</v>
      </c>
      <c r="B976" s="13" t="s">
        <v>48</v>
      </c>
      <c r="C976" s="4">
        <v>1.0</v>
      </c>
      <c r="E976" s="3"/>
      <c r="F976" s="4">
        <v>29.0</v>
      </c>
    </row>
    <row r="977">
      <c r="A977" s="4" t="s">
        <v>1018</v>
      </c>
      <c r="B977" s="13" t="s">
        <v>48</v>
      </c>
      <c r="C977" s="4">
        <v>1.0</v>
      </c>
      <c r="E977" s="3"/>
      <c r="F977" s="4">
        <v>29.0</v>
      </c>
    </row>
    <row r="978">
      <c r="A978" s="4" t="s">
        <v>1019</v>
      </c>
      <c r="B978" s="13" t="s">
        <v>48</v>
      </c>
      <c r="C978" s="4">
        <v>1.0</v>
      </c>
      <c r="E978" s="3"/>
      <c r="F978" s="4">
        <v>29.0</v>
      </c>
    </row>
    <row r="979">
      <c r="A979" s="4" t="s">
        <v>1020</v>
      </c>
      <c r="B979" s="13" t="s">
        <v>43</v>
      </c>
      <c r="E979" s="3"/>
    </row>
    <row r="980">
      <c r="A980" s="4" t="s">
        <v>1021</v>
      </c>
      <c r="B980" s="13" t="s">
        <v>48</v>
      </c>
      <c r="C980" s="4">
        <v>1.0</v>
      </c>
      <c r="E980" s="3"/>
      <c r="H980" s="4">
        <v>33.0</v>
      </c>
    </row>
    <row r="981">
      <c r="A981" s="4" t="s">
        <v>1022</v>
      </c>
      <c r="B981" s="13" t="s">
        <v>48</v>
      </c>
      <c r="C981" s="4">
        <v>1.0</v>
      </c>
      <c r="E981" s="3"/>
      <c r="H981" s="4">
        <v>33.0</v>
      </c>
    </row>
    <row r="982">
      <c r="A982" s="4" t="s">
        <v>1023</v>
      </c>
      <c r="B982" s="13" t="s">
        <v>48</v>
      </c>
      <c r="C982" s="4">
        <v>1.0</v>
      </c>
      <c r="E982" s="3"/>
      <c r="H982" s="4">
        <v>33.0</v>
      </c>
    </row>
    <row r="983">
      <c r="A983" s="4" t="s">
        <v>1024</v>
      </c>
      <c r="B983" s="13" t="s">
        <v>48</v>
      </c>
      <c r="C983" s="4">
        <v>1.0</v>
      </c>
      <c r="E983" s="3"/>
      <c r="H983" s="4">
        <v>33.0</v>
      </c>
    </row>
    <row r="984">
      <c r="A984" s="4" t="s">
        <v>1025</v>
      </c>
      <c r="B984" s="13" t="s">
        <v>48</v>
      </c>
      <c r="C984" s="4">
        <v>1.0</v>
      </c>
      <c r="E984" s="3"/>
      <c r="H984" s="4">
        <v>33.0</v>
      </c>
    </row>
    <row r="985">
      <c r="A985" s="4" t="s">
        <v>1026</v>
      </c>
      <c r="B985" s="13" t="s">
        <v>48</v>
      </c>
      <c r="C985" s="4">
        <v>1.0</v>
      </c>
      <c r="E985" s="3"/>
      <c r="H985" s="4">
        <v>33.0</v>
      </c>
    </row>
    <row r="986">
      <c r="A986" s="4" t="s">
        <v>1027</v>
      </c>
      <c r="B986" s="13" t="s">
        <v>48</v>
      </c>
      <c r="C986" s="4">
        <v>1.0</v>
      </c>
      <c r="E986" s="3"/>
      <c r="H986" s="4">
        <v>33.0</v>
      </c>
    </row>
    <row r="987">
      <c r="A987" s="4" t="s">
        <v>1028</v>
      </c>
      <c r="B987" s="13" t="s">
        <v>48</v>
      </c>
      <c r="C987" s="4">
        <v>1.0</v>
      </c>
      <c r="E987" s="3"/>
      <c r="H987" s="4">
        <v>33.0</v>
      </c>
    </row>
    <row r="988">
      <c r="A988" s="4" t="s">
        <v>1029</v>
      </c>
      <c r="B988" s="13" t="s">
        <v>48</v>
      </c>
      <c r="C988" s="4">
        <v>1.0</v>
      </c>
      <c r="E988" s="3"/>
      <c r="H988" s="4">
        <v>33.0</v>
      </c>
    </row>
    <row r="989">
      <c r="A989" s="4" t="s">
        <v>1030</v>
      </c>
      <c r="B989" s="13" t="s">
        <v>48</v>
      </c>
      <c r="C989" s="4">
        <v>1.0</v>
      </c>
      <c r="E989" s="3"/>
      <c r="H989" s="4">
        <v>33.0</v>
      </c>
    </row>
    <row r="990">
      <c r="A990" s="4" t="s">
        <v>1031</v>
      </c>
      <c r="B990" s="13" t="s">
        <v>48</v>
      </c>
      <c r="C990" s="4">
        <v>1.0</v>
      </c>
      <c r="E990" s="3"/>
      <c r="H990" s="4">
        <v>33.0</v>
      </c>
    </row>
    <row r="991">
      <c r="A991" s="4" t="s">
        <v>1032</v>
      </c>
      <c r="B991" s="13" t="s">
        <v>48</v>
      </c>
      <c r="C991" s="4">
        <v>1.0</v>
      </c>
      <c r="E991" s="3"/>
      <c r="H991" s="4">
        <v>33.0</v>
      </c>
    </row>
    <row r="992">
      <c r="A992" s="4" t="s">
        <v>1033</v>
      </c>
      <c r="B992" s="13" t="s">
        <v>48</v>
      </c>
      <c r="C992" s="4">
        <v>1.0</v>
      </c>
      <c r="E992" s="3"/>
      <c r="H992" s="4">
        <v>33.0</v>
      </c>
    </row>
    <row r="993">
      <c r="A993" s="4" t="s">
        <v>1034</v>
      </c>
      <c r="B993" s="13" t="s">
        <v>48</v>
      </c>
      <c r="C993" s="4">
        <v>1.0</v>
      </c>
      <c r="E993" s="3"/>
      <c r="H993" s="4">
        <v>33.0</v>
      </c>
    </row>
    <row r="994">
      <c r="A994" s="4" t="s">
        <v>1035</v>
      </c>
      <c r="B994" s="13" t="s">
        <v>48</v>
      </c>
      <c r="C994" s="4">
        <v>2.0</v>
      </c>
      <c r="E994" s="3"/>
      <c r="G994" s="4">
        <v>30.0</v>
      </c>
      <c r="H994" s="4">
        <v>33.0</v>
      </c>
    </row>
    <row r="995">
      <c r="A995" s="4" t="s">
        <v>1036</v>
      </c>
      <c r="B995" s="13" t="s">
        <v>48</v>
      </c>
      <c r="C995" s="4">
        <v>1.0</v>
      </c>
      <c r="E995" s="3"/>
      <c r="H995" s="4">
        <v>33.0</v>
      </c>
    </row>
    <row r="996">
      <c r="A996" s="4" t="s">
        <v>1037</v>
      </c>
      <c r="B996" s="13" t="s">
        <v>48</v>
      </c>
      <c r="C996" s="4">
        <v>1.0</v>
      </c>
      <c r="E996" s="3"/>
      <c r="H996" s="4">
        <v>33.0</v>
      </c>
    </row>
    <row r="997">
      <c r="A997" s="4" t="s">
        <v>1038</v>
      </c>
      <c r="B997" s="13" t="s">
        <v>48</v>
      </c>
      <c r="C997" s="4">
        <v>1.0</v>
      </c>
      <c r="E997" s="3"/>
      <c r="H997" s="4">
        <v>33.0</v>
      </c>
    </row>
    <row r="998">
      <c r="A998" s="4" t="s">
        <v>1039</v>
      </c>
      <c r="B998" s="13" t="s">
        <v>48</v>
      </c>
      <c r="C998" s="4">
        <v>1.0</v>
      </c>
      <c r="E998" s="3"/>
      <c r="H998" s="4">
        <v>33.0</v>
      </c>
    </row>
    <row r="999">
      <c r="A999" s="4" t="s">
        <v>1040</v>
      </c>
      <c r="B999" s="13" t="s">
        <v>48</v>
      </c>
      <c r="C999" s="4">
        <v>2.0</v>
      </c>
      <c r="D999" s="4">
        <v>26.0</v>
      </c>
      <c r="E999" s="3"/>
      <c r="H999" s="4">
        <v>33.0</v>
      </c>
    </row>
    <row r="1000">
      <c r="A1000" s="4" t="s">
        <v>1041</v>
      </c>
      <c r="B1000" s="13" t="s">
        <v>48</v>
      </c>
      <c r="C1000" s="4">
        <v>1.0</v>
      </c>
      <c r="E1000" s="3"/>
      <c r="H1000" s="4">
        <v>33.0</v>
      </c>
    </row>
    <row r="1001">
      <c r="A1001" s="4" t="s">
        <v>1042</v>
      </c>
      <c r="B1001" s="13" t="s">
        <v>48</v>
      </c>
      <c r="C1001" s="4">
        <v>1.0</v>
      </c>
      <c r="E1001" s="3"/>
      <c r="H1001" s="4">
        <v>33.0</v>
      </c>
    </row>
    <row r="1002">
      <c r="A1002" s="4" t="s">
        <v>1043</v>
      </c>
      <c r="B1002" s="13" t="s">
        <v>48</v>
      </c>
      <c r="C1002" s="4">
        <v>2.0</v>
      </c>
      <c r="D1002" s="4">
        <v>26.0</v>
      </c>
      <c r="E1002" s="4">
        <v>28.0</v>
      </c>
    </row>
    <row r="1003">
      <c r="A1003" s="4" t="s">
        <v>1044</v>
      </c>
      <c r="B1003" s="13" t="s">
        <v>48</v>
      </c>
      <c r="C1003" s="4">
        <v>3.0</v>
      </c>
      <c r="D1003" s="4">
        <v>26.0</v>
      </c>
      <c r="E1003" s="4">
        <v>28.0</v>
      </c>
      <c r="G1003" s="4">
        <v>30.0</v>
      </c>
    </row>
    <row r="1004">
      <c r="A1004" s="4" t="s">
        <v>1045</v>
      </c>
      <c r="B1004" s="13" t="s">
        <v>48</v>
      </c>
      <c r="C1004" s="4">
        <v>3.0</v>
      </c>
      <c r="D1004" s="4">
        <v>26.0</v>
      </c>
      <c r="E1004" s="4">
        <v>28.0</v>
      </c>
      <c r="G1004" s="4">
        <v>30.0</v>
      </c>
    </row>
    <row r="1005">
      <c r="A1005" s="4" t="s">
        <v>1046</v>
      </c>
      <c r="B1005" s="13" t="s">
        <v>48</v>
      </c>
      <c r="C1005" s="4">
        <v>3.0</v>
      </c>
      <c r="D1005" s="4">
        <v>26.0</v>
      </c>
      <c r="E1005" s="4">
        <v>28.0</v>
      </c>
      <c r="G1005" s="4">
        <v>30.0</v>
      </c>
    </row>
    <row r="1006">
      <c r="A1006" s="4" t="s">
        <v>1047</v>
      </c>
      <c r="B1006" s="13" t="s">
        <v>48</v>
      </c>
      <c r="C1006" s="4">
        <v>3.0</v>
      </c>
      <c r="D1006" s="4">
        <v>26.0</v>
      </c>
      <c r="E1006" s="4">
        <v>28.0</v>
      </c>
      <c r="G1006" s="4">
        <v>30.0</v>
      </c>
    </row>
    <row r="1007">
      <c r="A1007" s="4" t="s">
        <v>1048</v>
      </c>
      <c r="B1007" s="13" t="s">
        <v>48</v>
      </c>
      <c r="C1007" s="4">
        <v>3.0</v>
      </c>
      <c r="D1007" s="4">
        <v>26.0</v>
      </c>
      <c r="E1007" s="4">
        <v>28.0</v>
      </c>
      <c r="G1007" s="4">
        <v>30.0</v>
      </c>
    </row>
    <row r="1008">
      <c r="A1008" s="4" t="s">
        <v>1049</v>
      </c>
      <c r="B1008" s="13" t="s">
        <v>48</v>
      </c>
      <c r="C1008" s="4">
        <v>3.0</v>
      </c>
      <c r="D1008" s="4">
        <v>26.0</v>
      </c>
      <c r="E1008" s="4">
        <v>28.0</v>
      </c>
      <c r="G1008" s="4">
        <v>30.0</v>
      </c>
    </row>
    <row r="1009">
      <c r="A1009" s="4" t="s">
        <v>1050</v>
      </c>
      <c r="B1009" s="13" t="s">
        <v>48</v>
      </c>
      <c r="C1009" s="4">
        <v>3.0</v>
      </c>
      <c r="D1009" s="4">
        <v>26.0</v>
      </c>
      <c r="E1009" s="4">
        <v>28.0</v>
      </c>
      <c r="G1009" s="4">
        <v>30.0</v>
      </c>
    </row>
    <row r="1010">
      <c r="A1010" s="4" t="s">
        <v>1051</v>
      </c>
      <c r="B1010" s="13" t="s">
        <v>48</v>
      </c>
      <c r="C1010" s="4">
        <v>3.0</v>
      </c>
      <c r="D1010" s="4">
        <v>26.0</v>
      </c>
      <c r="E1010" s="4">
        <v>28.0</v>
      </c>
      <c r="G1010" s="4">
        <v>30.0</v>
      </c>
    </row>
    <row r="1011">
      <c r="A1011" s="4" t="s">
        <v>1052</v>
      </c>
      <c r="B1011" s="13" t="s">
        <v>48</v>
      </c>
      <c r="C1011" s="4">
        <v>3.0</v>
      </c>
      <c r="D1011" s="4">
        <v>26.0</v>
      </c>
      <c r="E1011" s="4">
        <v>28.0</v>
      </c>
      <c r="G1011" s="4">
        <v>30.0</v>
      </c>
    </row>
    <row r="1012">
      <c r="A1012" s="4" t="s">
        <v>1053</v>
      </c>
      <c r="B1012" s="13" t="s">
        <v>48</v>
      </c>
      <c r="C1012" s="4">
        <v>3.0</v>
      </c>
      <c r="D1012" s="4">
        <v>26.0</v>
      </c>
      <c r="E1012" s="4">
        <v>28.0</v>
      </c>
      <c r="G1012" s="4">
        <v>30.0</v>
      </c>
    </row>
    <row r="1013">
      <c r="A1013" s="4" t="s">
        <v>1054</v>
      </c>
      <c r="B1013" s="13" t="s">
        <v>48</v>
      </c>
      <c r="C1013" s="4">
        <v>3.0</v>
      </c>
      <c r="D1013" s="4">
        <v>26.0</v>
      </c>
      <c r="E1013" s="4">
        <v>28.0</v>
      </c>
      <c r="G1013" s="4">
        <v>30.0</v>
      </c>
    </row>
    <row r="1014">
      <c r="A1014" s="4" t="s">
        <v>1055</v>
      </c>
      <c r="B1014" s="13" t="s">
        <v>48</v>
      </c>
      <c r="C1014" s="4">
        <v>3.0</v>
      </c>
      <c r="D1014" s="4">
        <v>26.0</v>
      </c>
      <c r="E1014" s="4">
        <v>28.0</v>
      </c>
      <c r="G1014" s="4">
        <v>30.0</v>
      </c>
    </row>
    <row r="1015">
      <c r="A1015" s="4" t="s">
        <v>1056</v>
      </c>
      <c r="B1015" s="13" t="s">
        <v>48</v>
      </c>
      <c r="C1015" s="4">
        <v>3.0</v>
      </c>
      <c r="D1015" s="4">
        <v>26.0</v>
      </c>
      <c r="E1015" s="4">
        <v>28.0</v>
      </c>
      <c r="G1015" s="4">
        <v>30.0</v>
      </c>
    </row>
    <row r="1016">
      <c r="A1016" s="4" t="s">
        <v>1057</v>
      </c>
      <c r="B1016" s="13" t="s">
        <v>48</v>
      </c>
      <c r="C1016" s="4">
        <v>3.0</v>
      </c>
      <c r="D1016" s="4">
        <v>26.0</v>
      </c>
      <c r="E1016" s="4">
        <v>28.0</v>
      </c>
      <c r="G1016" s="4">
        <v>30.0</v>
      </c>
    </row>
    <row r="1017">
      <c r="A1017" s="4" t="s">
        <v>1058</v>
      </c>
      <c r="B1017" s="13" t="s">
        <v>48</v>
      </c>
      <c r="C1017" s="4">
        <v>1.0</v>
      </c>
      <c r="E1017" s="3"/>
      <c r="G1017" s="4">
        <v>30.0</v>
      </c>
    </row>
    <row r="1018">
      <c r="A1018" s="4" t="s">
        <v>1059</v>
      </c>
      <c r="B1018" s="13" t="s">
        <v>48</v>
      </c>
      <c r="C1018" s="4">
        <v>1.0</v>
      </c>
      <c r="E1018" s="3"/>
      <c r="G1018" s="4">
        <v>30.0</v>
      </c>
    </row>
    <row r="1019">
      <c r="A1019" s="4" t="s">
        <v>1060</v>
      </c>
      <c r="B1019" s="13" t="s">
        <v>48</v>
      </c>
      <c r="C1019" s="4">
        <v>1.0</v>
      </c>
      <c r="E1019" s="3"/>
      <c r="G1019" s="4">
        <v>30.0</v>
      </c>
    </row>
    <row r="1020">
      <c r="A1020" s="4" t="s">
        <v>1061</v>
      </c>
      <c r="B1020" s="13" t="s">
        <v>48</v>
      </c>
      <c r="C1020" s="4">
        <v>1.0</v>
      </c>
      <c r="E1020" s="3"/>
      <c r="G1020" s="4">
        <v>30.0</v>
      </c>
    </row>
    <row r="1021">
      <c r="A1021" s="4" t="s">
        <v>1062</v>
      </c>
      <c r="B1021" s="13" t="s">
        <v>48</v>
      </c>
      <c r="C1021" s="4">
        <v>1.0</v>
      </c>
      <c r="E1021" s="3"/>
      <c r="G1021" s="4">
        <v>30.0</v>
      </c>
    </row>
    <row r="1022">
      <c r="A1022" s="4" t="s">
        <v>1063</v>
      </c>
      <c r="B1022" s="13" t="s">
        <v>48</v>
      </c>
      <c r="C1022" s="4">
        <v>1.0</v>
      </c>
      <c r="E1022" s="3"/>
      <c r="G1022" s="4">
        <v>30.0</v>
      </c>
    </row>
    <row r="1023">
      <c r="A1023" s="4" t="s">
        <v>1064</v>
      </c>
      <c r="B1023" s="13" t="s">
        <v>48</v>
      </c>
      <c r="C1023" s="4">
        <v>1.0</v>
      </c>
      <c r="E1023" s="3"/>
      <c r="G1023" s="4">
        <v>30.0</v>
      </c>
    </row>
    <row r="1024">
      <c r="A1024" s="4" t="s">
        <v>1065</v>
      </c>
      <c r="B1024" s="13" t="s">
        <v>48</v>
      </c>
      <c r="C1024" s="4">
        <v>1.0</v>
      </c>
      <c r="E1024" s="3"/>
      <c r="G1024" s="4">
        <v>30.0</v>
      </c>
    </row>
    <row r="1025">
      <c r="A1025" s="4" t="s">
        <v>1066</v>
      </c>
      <c r="B1025" s="13" t="s">
        <v>48</v>
      </c>
      <c r="C1025" s="4">
        <v>1.0</v>
      </c>
      <c r="E1025" s="3"/>
      <c r="G1025" s="4">
        <v>30.0</v>
      </c>
    </row>
    <row r="1026">
      <c r="A1026" s="4" t="s">
        <v>1067</v>
      </c>
      <c r="B1026" s="13" t="s">
        <v>48</v>
      </c>
      <c r="C1026" s="4">
        <v>1.0</v>
      </c>
      <c r="E1026" s="3"/>
      <c r="G1026" s="4">
        <v>30.0</v>
      </c>
    </row>
    <row r="1027">
      <c r="A1027" s="4" t="s">
        <v>1068</v>
      </c>
      <c r="B1027" s="13" t="s">
        <v>48</v>
      </c>
      <c r="C1027" s="4">
        <v>1.0</v>
      </c>
      <c r="E1027" s="3"/>
      <c r="G1027" s="4">
        <v>30.0</v>
      </c>
    </row>
    <row r="1028">
      <c r="A1028" s="4" t="s">
        <v>1069</v>
      </c>
      <c r="B1028" s="13" t="s">
        <v>48</v>
      </c>
      <c r="C1028" s="4">
        <v>1.0</v>
      </c>
      <c r="E1028" s="3"/>
      <c r="G1028" s="4">
        <v>30.0</v>
      </c>
    </row>
    <row r="1029">
      <c r="A1029" s="4" t="s">
        <v>1070</v>
      </c>
      <c r="B1029" s="13" t="s">
        <v>48</v>
      </c>
      <c r="C1029" s="4">
        <v>1.0</v>
      </c>
      <c r="E1029" s="3"/>
      <c r="G1029" s="4">
        <v>30.0</v>
      </c>
    </row>
    <row r="1030">
      <c r="A1030" s="4" t="s">
        <v>1071</v>
      </c>
      <c r="B1030" s="13" t="s">
        <v>43</v>
      </c>
      <c r="E1030" s="3"/>
    </row>
    <row r="1031">
      <c r="A1031" s="4" t="s">
        <v>1072</v>
      </c>
      <c r="B1031" s="13" t="s">
        <v>43</v>
      </c>
      <c r="E1031" s="3"/>
    </row>
    <row r="1032">
      <c r="A1032" s="4" t="s">
        <v>1073</v>
      </c>
      <c r="B1032" s="13" t="s">
        <v>43</v>
      </c>
      <c r="E1032" s="3"/>
    </row>
    <row r="1033">
      <c r="A1033" s="4" t="s">
        <v>1074</v>
      </c>
      <c r="B1033" s="13" t="s">
        <v>43</v>
      </c>
      <c r="E1033" s="3"/>
    </row>
    <row r="1034">
      <c r="A1034" s="4" t="s">
        <v>1075</v>
      </c>
      <c r="B1034" s="13" t="s">
        <v>43</v>
      </c>
      <c r="E1034" s="3"/>
    </row>
    <row r="1035">
      <c r="A1035" s="4" t="s">
        <v>1076</v>
      </c>
      <c r="B1035" s="13" t="s">
        <v>43</v>
      </c>
      <c r="E1035" s="3"/>
    </row>
    <row r="1036">
      <c r="A1036" s="4" t="s">
        <v>1077</v>
      </c>
      <c r="B1036" s="13" t="s">
        <v>43</v>
      </c>
      <c r="E1036" s="3"/>
    </row>
    <row r="1037">
      <c r="A1037" s="4" t="s">
        <v>1078</v>
      </c>
      <c r="B1037" s="13" t="s">
        <v>43</v>
      </c>
      <c r="E1037" s="3"/>
    </row>
    <row r="1038">
      <c r="A1038" s="4" t="s">
        <v>1079</v>
      </c>
      <c r="B1038" s="13" t="s">
        <v>43</v>
      </c>
      <c r="E1038" s="3"/>
    </row>
    <row r="1039">
      <c r="A1039" s="4" t="s">
        <v>1080</v>
      </c>
      <c r="B1039" s="13" t="s">
        <v>43</v>
      </c>
      <c r="E1039" s="3"/>
    </row>
    <row r="1040">
      <c r="A1040" s="4" t="s">
        <v>1081</v>
      </c>
      <c r="B1040" s="13" t="s">
        <v>43</v>
      </c>
      <c r="E1040" s="3"/>
    </row>
    <row r="1041">
      <c r="A1041" s="4" t="s">
        <v>1082</v>
      </c>
      <c r="B1041" s="13" t="s">
        <v>43</v>
      </c>
      <c r="E1041" s="3"/>
    </row>
    <row r="1042">
      <c r="A1042" s="4" t="s">
        <v>1083</v>
      </c>
      <c r="B1042" s="13" t="s">
        <v>43</v>
      </c>
      <c r="E1042" s="3"/>
    </row>
    <row r="1043">
      <c r="A1043" s="4" t="s">
        <v>1084</v>
      </c>
      <c r="B1043" s="13" t="s">
        <v>48</v>
      </c>
      <c r="C1043" s="4">
        <v>1.0</v>
      </c>
      <c r="E1043" s="3"/>
      <c r="F1043" s="4">
        <v>29.0</v>
      </c>
    </row>
    <row r="1044">
      <c r="A1044" s="4" t="s">
        <v>1085</v>
      </c>
      <c r="B1044" s="13" t="s">
        <v>48</v>
      </c>
      <c r="C1044" s="4">
        <v>1.0</v>
      </c>
      <c r="E1044" s="3"/>
      <c r="F1044" s="4">
        <v>29.0</v>
      </c>
    </row>
    <row r="1045">
      <c r="A1045" s="4" t="s">
        <v>1086</v>
      </c>
      <c r="B1045" s="13" t="s">
        <v>48</v>
      </c>
      <c r="C1045" s="4">
        <v>1.0</v>
      </c>
      <c r="E1045" s="3"/>
      <c r="F1045" s="4">
        <v>29.0</v>
      </c>
    </row>
    <row r="1046">
      <c r="A1046" s="4" t="s">
        <v>1087</v>
      </c>
      <c r="B1046" s="13" t="s">
        <v>48</v>
      </c>
      <c r="C1046" s="4">
        <v>1.0</v>
      </c>
      <c r="E1046" s="3"/>
      <c r="F1046" s="4">
        <v>29.0</v>
      </c>
    </row>
    <row r="1047">
      <c r="A1047" s="4" t="s">
        <v>1088</v>
      </c>
      <c r="B1047" s="13" t="s">
        <v>48</v>
      </c>
      <c r="C1047" s="4">
        <v>1.0</v>
      </c>
      <c r="E1047" s="3"/>
      <c r="F1047" s="4">
        <v>29.0</v>
      </c>
    </row>
    <row r="1048">
      <c r="A1048" s="4" t="s">
        <v>1089</v>
      </c>
      <c r="B1048" s="13" t="s">
        <v>48</v>
      </c>
      <c r="C1048" s="4">
        <v>1.0</v>
      </c>
      <c r="E1048" s="3"/>
      <c r="F1048" s="4">
        <v>29.0</v>
      </c>
    </row>
    <row r="1049">
      <c r="A1049" s="4" t="s">
        <v>1090</v>
      </c>
      <c r="B1049" s="13" t="s">
        <v>48</v>
      </c>
      <c r="C1049" s="4">
        <v>1.0</v>
      </c>
      <c r="E1049" s="3"/>
      <c r="F1049" s="4">
        <v>29.0</v>
      </c>
    </row>
    <row r="1050">
      <c r="A1050" s="4" t="s">
        <v>1091</v>
      </c>
      <c r="B1050" s="13" t="s">
        <v>48</v>
      </c>
      <c r="C1050" s="4">
        <v>1.0</v>
      </c>
      <c r="E1050" s="3"/>
      <c r="F1050" s="4">
        <v>29.0</v>
      </c>
    </row>
    <row r="1051">
      <c r="A1051" s="4" t="s">
        <v>1092</v>
      </c>
      <c r="B1051" s="13" t="s">
        <v>48</v>
      </c>
      <c r="C1051" s="4">
        <v>1.0</v>
      </c>
      <c r="E1051" s="3"/>
      <c r="F1051" s="4">
        <v>29.0</v>
      </c>
    </row>
    <row r="1052">
      <c r="A1052" s="4" t="s">
        <v>1093</v>
      </c>
      <c r="B1052" s="13" t="s">
        <v>48</v>
      </c>
      <c r="C1052" s="4">
        <v>1.0</v>
      </c>
      <c r="E1052" s="3"/>
      <c r="F1052" s="4">
        <v>29.0</v>
      </c>
    </row>
    <row r="1053">
      <c r="A1053" s="4" t="s">
        <v>1094</v>
      </c>
      <c r="B1053" s="13" t="s">
        <v>48</v>
      </c>
      <c r="C1053" s="4">
        <v>1.0</v>
      </c>
      <c r="E1053" s="3"/>
      <c r="F1053" s="4">
        <v>29.0</v>
      </c>
    </row>
    <row r="1054">
      <c r="A1054" s="4" t="s">
        <v>1095</v>
      </c>
      <c r="B1054" s="13" t="s">
        <v>48</v>
      </c>
      <c r="C1054" s="4">
        <v>1.0</v>
      </c>
      <c r="E1054" s="3"/>
      <c r="F1054" s="4">
        <v>29.0</v>
      </c>
    </row>
    <row r="1055">
      <c r="A1055" s="4" t="s">
        <v>1096</v>
      </c>
      <c r="B1055" s="13" t="s">
        <v>48</v>
      </c>
      <c r="C1055" s="4">
        <v>1.0</v>
      </c>
      <c r="E1055" s="3"/>
      <c r="F1055" s="4">
        <v>29.0</v>
      </c>
    </row>
    <row r="1056">
      <c r="A1056" s="4" t="s">
        <v>1097</v>
      </c>
      <c r="B1056" s="13" t="s">
        <v>48</v>
      </c>
      <c r="C1056" s="4">
        <v>1.0</v>
      </c>
      <c r="E1056" s="3"/>
      <c r="F1056" s="4">
        <v>29.0</v>
      </c>
    </row>
    <row r="1057">
      <c r="A1057" s="4" t="s">
        <v>1098</v>
      </c>
      <c r="B1057" s="13" t="s">
        <v>48</v>
      </c>
      <c r="C1057" s="4">
        <v>1.0</v>
      </c>
      <c r="E1057" s="3"/>
      <c r="F1057" s="4">
        <v>29.0</v>
      </c>
    </row>
    <row r="1058">
      <c r="A1058" s="4" t="s">
        <v>1099</v>
      </c>
      <c r="B1058" s="13" t="s">
        <v>48</v>
      </c>
      <c r="C1058" s="4">
        <v>1.0</v>
      </c>
      <c r="E1058" s="3"/>
      <c r="F1058" s="4">
        <v>29.0</v>
      </c>
    </row>
    <row r="1059">
      <c r="A1059" s="4" t="s">
        <v>1100</v>
      </c>
      <c r="B1059" s="13" t="s">
        <v>48</v>
      </c>
      <c r="C1059" s="4">
        <v>1.0</v>
      </c>
      <c r="E1059" s="3"/>
      <c r="F1059" s="4">
        <v>29.0</v>
      </c>
    </row>
    <row r="1060">
      <c r="A1060" s="4" t="s">
        <v>1101</v>
      </c>
      <c r="B1060" s="13" t="s">
        <v>48</v>
      </c>
      <c r="C1060" s="4">
        <v>1.0</v>
      </c>
      <c r="E1060" s="3"/>
      <c r="F1060" s="4">
        <v>29.0</v>
      </c>
    </row>
    <row r="1061">
      <c r="A1061" s="4" t="s">
        <v>1102</v>
      </c>
      <c r="B1061" s="13" t="s">
        <v>48</v>
      </c>
      <c r="C1061" s="4">
        <v>1.0</v>
      </c>
      <c r="E1061" s="3"/>
      <c r="F1061" s="4">
        <v>29.0</v>
      </c>
    </row>
    <row r="1062">
      <c r="A1062" s="4" t="s">
        <v>1103</v>
      </c>
      <c r="B1062" s="13" t="s">
        <v>48</v>
      </c>
      <c r="C1062" s="4">
        <v>1.0</v>
      </c>
      <c r="E1062" s="3"/>
      <c r="F1062" s="4">
        <v>29.0</v>
      </c>
    </row>
    <row r="1063">
      <c r="A1063" s="4" t="s">
        <v>1104</v>
      </c>
      <c r="B1063" s="13" t="s">
        <v>48</v>
      </c>
      <c r="C1063" s="4">
        <v>1.0</v>
      </c>
      <c r="E1063" s="3"/>
      <c r="F1063" s="4">
        <v>29.0</v>
      </c>
    </row>
    <row r="1064">
      <c r="A1064" s="4" t="s">
        <v>1105</v>
      </c>
      <c r="B1064" s="13" t="s">
        <v>48</v>
      </c>
      <c r="C1064" s="4">
        <v>1.0</v>
      </c>
      <c r="E1064" s="3"/>
      <c r="F1064" s="4">
        <v>29.0</v>
      </c>
    </row>
    <row r="1065">
      <c r="A1065" s="4" t="s">
        <v>1106</v>
      </c>
      <c r="B1065" s="13" t="s">
        <v>43</v>
      </c>
      <c r="E1065" s="3"/>
    </row>
    <row r="1066">
      <c r="A1066" s="4" t="s">
        <v>1107</v>
      </c>
      <c r="B1066" s="13" t="s">
        <v>43</v>
      </c>
      <c r="E1066" s="3"/>
    </row>
    <row r="1067">
      <c r="A1067" s="4" t="s">
        <v>1108</v>
      </c>
      <c r="B1067" s="13" t="s">
        <v>43</v>
      </c>
      <c r="E1067" s="3"/>
    </row>
    <row r="1068">
      <c r="A1068" s="4" t="s">
        <v>1109</v>
      </c>
      <c r="B1068" s="13" t="s">
        <v>48</v>
      </c>
      <c r="C1068" s="4">
        <v>1.0</v>
      </c>
      <c r="E1068" s="3"/>
      <c r="F1068" s="4">
        <v>29.0</v>
      </c>
    </row>
    <row r="1069">
      <c r="A1069" s="4" t="s">
        <v>1110</v>
      </c>
      <c r="B1069" s="13" t="s">
        <v>48</v>
      </c>
      <c r="C1069" s="4">
        <v>1.0</v>
      </c>
      <c r="E1069" s="3"/>
      <c r="F1069" s="4">
        <v>29.0</v>
      </c>
    </row>
    <row r="1070">
      <c r="A1070" s="4" t="s">
        <v>1111</v>
      </c>
      <c r="B1070" s="13" t="s">
        <v>48</v>
      </c>
      <c r="C1070" s="4">
        <v>1.0</v>
      </c>
      <c r="E1070" s="3"/>
      <c r="F1070" s="4">
        <v>29.0</v>
      </c>
    </row>
    <row r="1071">
      <c r="A1071" s="4" t="s">
        <v>1112</v>
      </c>
      <c r="B1071" s="13" t="s">
        <v>48</v>
      </c>
      <c r="C1071" s="4">
        <v>1.0</v>
      </c>
      <c r="E1071" s="3"/>
      <c r="F1071" s="4">
        <v>29.0</v>
      </c>
    </row>
    <row r="1072">
      <c r="A1072" s="4" t="s">
        <v>1113</v>
      </c>
      <c r="B1072" s="13" t="s">
        <v>48</v>
      </c>
      <c r="C1072" s="4">
        <v>1.0</v>
      </c>
      <c r="E1072" s="3"/>
      <c r="F1072" s="4">
        <v>29.0</v>
      </c>
    </row>
    <row r="1073">
      <c r="A1073" s="4" t="s">
        <v>1114</v>
      </c>
      <c r="B1073" s="13" t="s">
        <v>48</v>
      </c>
      <c r="C1073" s="4">
        <v>1.0</v>
      </c>
      <c r="E1073" s="3"/>
      <c r="F1073" s="4">
        <v>29.0</v>
      </c>
    </row>
    <row r="1074">
      <c r="A1074" s="4" t="s">
        <v>1115</v>
      </c>
      <c r="B1074" s="13" t="s">
        <v>48</v>
      </c>
      <c r="C1074" s="4">
        <v>1.0</v>
      </c>
      <c r="E1074" s="3"/>
      <c r="F1074" s="4">
        <v>29.0</v>
      </c>
    </row>
    <row r="1075">
      <c r="A1075" s="4" t="s">
        <v>1116</v>
      </c>
      <c r="B1075" s="13" t="s">
        <v>48</v>
      </c>
      <c r="C1075" s="4">
        <v>3.0</v>
      </c>
      <c r="D1075" s="4">
        <v>26.0</v>
      </c>
      <c r="E1075" s="3"/>
      <c r="F1075" s="4">
        <v>29.0</v>
      </c>
      <c r="G1075" s="4">
        <v>30.0</v>
      </c>
    </row>
    <row r="1076">
      <c r="A1076" s="4" t="s">
        <v>1117</v>
      </c>
      <c r="B1076" s="13" t="s">
        <v>48</v>
      </c>
      <c r="C1076" s="4">
        <v>1.0</v>
      </c>
      <c r="E1076" s="3"/>
      <c r="F1076" s="4">
        <v>29.0</v>
      </c>
    </row>
    <row r="1077">
      <c r="A1077" s="4" t="s">
        <v>1118</v>
      </c>
      <c r="B1077" s="13" t="s">
        <v>48</v>
      </c>
      <c r="C1077" s="4">
        <v>1.0</v>
      </c>
      <c r="E1077" s="3"/>
      <c r="F1077" s="4">
        <v>29.0</v>
      </c>
    </row>
    <row r="1078">
      <c r="A1078" s="4" t="s">
        <v>1119</v>
      </c>
      <c r="B1078" s="13" t="s">
        <v>48</v>
      </c>
      <c r="C1078" s="4">
        <v>1.0</v>
      </c>
      <c r="E1078" s="3"/>
      <c r="F1078" s="4">
        <v>29.0</v>
      </c>
    </row>
    <row r="1079">
      <c r="A1079" s="4" t="s">
        <v>1120</v>
      </c>
      <c r="B1079" s="13" t="s">
        <v>48</v>
      </c>
      <c r="C1079" s="4">
        <v>1.0</v>
      </c>
      <c r="E1079" s="3"/>
      <c r="F1079" s="4">
        <v>29.0</v>
      </c>
    </row>
    <row r="1080">
      <c r="A1080" s="4" t="s">
        <v>1121</v>
      </c>
      <c r="B1080" s="13" t="s">
        <v>48</v>
      </c>
      <c r="C1080" s="4">
        <v>1.0</v>
      </c>
      <c r="E1080" s="3"/>
      <c r="F1080" s="4">
        <v>29.0</v>
      </c>
    </row>
    <row r="1081">
      <c r="A1081" s="4" t="s">
        <v>1122</v>
      </c>
      <c r="B1081" s="13" t="s">
        <v>48</v>
      </c>
      <c r="C1081" s="4">
        <v>2.0</v>
      </c>
      <c r="E1081" s="3"/>
      <c r="F1081" s="4">
        <v>29.0</v>
      </c>
      <c r="G1081" s="4">
        <v>30.0</v>
      </c>
    </row>
    <row r="1082">
      <c r="A1082" s="4" t="s">
        <v>1123</v>
      </c>
      <c r="B1082" s="13" t="s">
        <v>48</v>
      </c>
      <c r="C1082" s="4">
        <v>2.0</v>
      </c>
      <c r="E1082" s="3"/>
      <c r="F1082" s="4">
        <v>29.0</v>
      </c>
      <c r="G1082" s="4">
        <v>30.0</v>
      </c>
    </row>
    <row r="1083">
      <c r="A1083" s="4" t="s">
        <v>1124</v>
      </c>
      <c r="B1083" s="13" t="s">
        <v>48</v>
      </c>
      <c r="C1083" s="4">
        <v>2.0</v>
      </c>
      <c r="E1083" s="3"/>
      <c r="F1083" s="4">
        <v>29.0</v>
      </c>
      <c r="G1083" s="4">
        <v>30.0</v>
      </c>
    </row>
    <row r="1084">
      <c r="A1084" s="4" t="s">
        <v>1125</v>
      </c>
      <c r="B1084" s="13" t="s">
        <v>48</v>
      </c>
      <c r="C1084" s="4">
        <v>1.0</v>
      </c>
      <c r="E1084" s="3"/>
      <c r="F1084" s="4">
        <v>29.0</v>
      </c>
    </row>
    <row r="1085">
      <c r="A1085" s="4" t="s">
        <v>1126</v>
      </c>
      <c r="B1085" s="13" t="s">
        <v>43</v>
      </c>
      <c r="E1085" s="3"/>
    </row>
    <row r="1086">
      <c r="A1086" s="4" t="s">
        <v>1127</v>
      </c>
      <c r="B1086" s="13" t="s">
        <v>43</v>
      </c>
      <c r="E1086" s="3"/>
    </row>
    <row r="1087">
      <c r="A1087" s="4" t="s">
        <v>1128</v>
      </c>
      <c r="B1087" s="13" t="s">
        <v>48</v>
      </c>
      <c r="C1087" s="4">
        <v>1.0</v>
      </c>
      <c r="E1087" s="3"/>
      <c r="G1087" s="4">
        <v>30.0</v>
      </c>
    </row>
    <row r="1088">
      <c r="A1088" s="4" t="s">
        <v>1129</v>
      </c>
      <c r="B1088" s="13" t="s">
        <v>48</v>
      </c>
      <c r="C1088" s="4">
        <v>1.0</v>
      </c>
      <c r="E1088" s="3"/>
      <c r="G1088" s="4">
        <v>30.0</v>
      </c>
    </row>
    <row r="1089">
      <c r="A1089" s="4" t="s">
        <v>1130</v>
      </c>
      <c r="B1089" s="13" t="s">
        <v>48</v>
      </c>
      <c r="C1089" s="4">
        <v>1.0</v>
      </c>
      <c r="E1089" s="3"/>
      <c r="G1089" s="4">
        <v>30.0</v>
      </c>
    </row>
    <row r="1090">
      <c r="A1090" s="4" t="s">
        <v>1131</v>
      </c>
      <c r="B1090" s="13" t="s">
        <v>48</v>
      </c>
      <c r="C1090" s="4">
        <v>1.0</v>
      </c>
      <c r="E1090" s="3"/>
      <c r="G1090" s="4">
        <v>30.0</v>
      </c>
    </row>
    <row r="1091">
      <c r="A1091" s="4" t="s">
        <v>1132</v>
      </c>
      <c r="B1091" s="13" t="s">
        <v>48</v>
      </c>
      <c r="C1091" s="4">
        <v>1.0</v>
      </c>
      <c r="E1091" s="3"/>
      <c r="G1091" s="4">
        <v>30.0</v>
      </c>
    </row>
    <row r="1092">
      <c r="A1092" s="4" t="s">
        <v>1133</v>
      </c>
      <c r="B1092" s="13" t="s">
        <v>48</v>
      </c>
      <c r="C1092" s="4">
        <v>1.0</v>
      </c>
      <c r="E1092" s="3"/>
      <c r="G1092" s="4">
        <v>30.0</v>
      </c>
    </row>
    <row r="1093">
      <c r="A1093" s="4" t="s">
        <v>1134</v>
      </c>
      <c r="B1093" s="13" t="s">
        <v>48</v>
      </c>
      <c r="C1093" s="4">
        <v>1.0</v>
      </c>
      <c r="E1093" s="3"/>
      <c r="G1093" s="4">
        <v>30.0</v>
      </c>
    </row>
    <row r="1094">
      <c r="A1094" s="4" t="s">
        <v>1135</v>
      </c>
      <c r="B1094" s="13" t="s">
        <v>48</v>
      </c>
      <c r="C1094" s="4">
        <v>1.0</v>
      </c>
      <c r="E1094" s="3"/>
      <c r="G1094" s="4">
        <v>30.0</v>
      </c>
    </row>
    <row r="1095">
      <c r="A1095" s="4" t="s">
        <v>1136</v>
      </c>
      <c r="B1095" s="13" t="s">
        <v>48</v>
      </c>
      <c r="C1095" s="4">
        <v>1.0</v>
      </c>
      <c r="E1095" s="3"/>
      <c r="G1095" s="4">
        <v>30.0</v>
      </c>
    </row>
    <row r="1096">
      <c r="A1096" s="4" t="s">
        <v>1137</v>
      </c>
      <c r="B1096" s="13" t="s">
        <v>48</v>
      </c>
      <c r="C1096" s="4">
        <v>1.0</v>
      </c>
      <c r="E1096" s="3"/>
      <c r="G1096" s="4">
        <v>30.0</v>
      </c>
    </row>
    <row r="1097">
      <c r="A1097" s="4" t="s">
        <v>1138</v>
      </c>
      <c r="B1097" s="13" t="s">
        <v>48</v>
      </c>
      <c r="C1097" s="4">
        <v>1.0</v>
      </c>
      <c r="E1097" s="3"/>
      <c r="G1097" s="4">
        <v>30.0</v>
      </c>
    </row>
    <row r="1098">
      <c r="A1098" s="4" t="s">
        <v>1139</v>
      </c>
      <c r="B1098" s="13" t="s">
        <v>48</v>
      </c>
      <c r="C1098" s="4">
        <v>1.0</v>
      </c>
      <c r="E1098" s="3"/>
      <c r="G1098" s="4">
        <v>30.0</v>
      </c>
    </row>
    <row r="1099">
      <c r="A1099" s="4" t="s">
        <v>1140</v>
      </c>
      <c r="B1099" s="13" t="s">
        <v>48</v>
      </c>
      <c r="C1099" s="4">
        <v>1.0</v>
      </c>
      <c r="E1099" s="3"/>
      <c r="G1099" s="4">
        <v>30.0</v>
      </c>
    </row>
    <row r="1100">
      <c r="A1100" s="4" t="s">
        <v>1141</v>
      </c>
      <c r="B1100" s="13" t="s">
        <v>48</v>
      </c>
      <c r="C1100" s="4">
        <v>1.0</v>
      </c>
      <c r="E1100" s="3"/>
      <c r="G1100" s="4">
        <v>30.0</v>
      </c>
    </row>
    <row r="1101">
      <c r="A1101" s="4" t="s">
        <v>1142</v>
      </c>
      <c r="B1101" s="13" t="s">
        <v>48</v>
      </c>
      <c r="C1101" s="4">
        <v>1.0</v>
      </c>
      <c r="E1101" s="3"/>
      <c r="G1101" s="4">
        <v>30.0</v>
      </c>
    </row>
    <row r="1102">
      <c r="A1102" s="4" t="s">
        <v>1143</v>
      </c>
      <c r="B1102" s="13" t="s">
        <v>48</v>
      </c>
      <c r="C1102" s="4">
        <v>1.0</v>
      </c>
      <c r="E1102" s="3"/>
      <c r="G1102" s="4">
        <v>30.0</v>
      </c>
    </row>
    <row r="1103">
      <c r="A1103" s="4" t="s">
        <v>1144</v>
      </c>
      <c r="B1103" s="13" t="s">
        <v>48</v>
      </c>
      <c r="C1103" s="4">
        <v>1.0</v>
      </c>
      <c r="E1103" s="3"/>
      <c r="G1103" s="4">
        <v>30.0</v>
      </c>
    </row>
    <row r="1104">
      <c r="A1104" s="4" t="s">
        <v>1145</v>
      </c>
      <c r="B1104" s="13" t="s">
        <v>48</v>
      </c>
      <c r="C1104" s="4">
        <v>1.0</v>
      </c>
      <c r="E1104" s="3"/>
      <c r="G1104" s="4">
        <v>30.0</v>
      </c>
    </row>
    <row r="1105">
      <c r="A1105" s="4" t="s">
        <v>1146</v>
      </c>
      <c r="B1105" s="13" t="s">
        <v>48</v>
      </c>
      <c r="C1105" s="4">
        <v>1.0</v>
      </c>
      <c r="E1105" s="3"/>
      <c r="G1105" s="4">
        <v>30.0</v>
      </c>
    </row>
    <row r="1106">
      <c r="A1106" s="4" t="s">
        <v>1147</v>
      </c>
      <c r="B1106" s="13" t="s">
        <v>48</v>
      </c>
      <c r="C1106" s="4">
        <v>1.0</v>
      </c>
      <c r="E1106" s="3"/>
      <c r="G1106" s="4">
        <v>30.0</v>
      </c>
    </row>
    <row r="1107">
      <c r="A1107" s="4" t="s">
        <v>1148</v>
      </c>
      <c r="B1107" s="13" t="s">
        <v>48</v>
      </c>
      <c r="C1107" s="4">
        <v>1.0</v>
      </c>
      <c r="E1107" s="3"/>
      <c r="G1107" s="4">
        <v>30.0</v>
      </c>
    </row>
    <row r="1108">
      <c r="A1108" s="4" t="s">
        <v>1149</v>
      </c>
      <c r="B1108" s="13" t="s">
        <v>48</v>
      </c>
      <c r="C1108" s="4">
        <v>1.0</v>
      </c>
      <c r="E1108" s="3"/>
      <c r="G1108" s="4">
        <v>30.0</v>
      </c>
    </row>
    <row r="1109">
      <c r="A1109" s="4" t="s">
        <v>1150</v>
      </c>
      <c r="B1109" s="13" t="s">
        <v>48</v>
      </c>
      <c r="C1109" s="4">
        <v>1.0</v>
      </c>
      <c r="E1109" s="3"/>
      <c r="G1109" s="4">
        <v>30.0</v>
      </c>
    </row>
    <row r="1110">
      <c r="A1110" s="4" t="s">
        <v>1151</v>
      </c>
      <c r="B1110" s="13" t="s">
        <v>48</v>
      </c>
      <c r="C1110" s="4">
        <v>1.0</v>
      </c>
      <c r="E1110" s="3"/>
      <c r="G1110" s="4">
        <v>30.0</v>
      </c>
    </row>
    <row r="1111">
      <c r="A1111" s="4" t="s">
        <v>1152</v>
      </c>
      <c r="B1111" s="13" t="s">
        <v>48</v>
      </c>
      <c r="C1111" s="4">
        <v>1.0</v>
      </c>
      <c r="E1111" s="3"/>
      <c r="G1111" s="4">
        <v>30.0</v>
      </c>
    </row>
    <row r="1112">
      <c r="A1112" s="4" t="s">
        <v>1153</v>
      </c>
      <c r="B1112" s="13" t="s">
        <v>48</v>
      </c>
      <c r="C1112" s="4">
        <v>1.0</v>
      </c>
      <c r="E1112" s="3"/>
      <c r="G1112" s="4">
        <v>30.0</v>
      </c>
    </row>
    <row r="1113">
      <c r="A1113" s="4" t="s">
        <v>1154</v>
      </c>
      <c r="B1113" s="13" t="s">
        <v>48</v>
      </c>
      <c r="C1113" s="4">
        <v>1.0</v>
      </c>
      <c r="E1113" s="3"/>
      <c r="G1113" s="4">
        <v>30.0</v>
      </c>
    </row>
    <row r="1114">
      <c r="A1114" s="4" t="s">
        <v>1155</v>
      </c>
      <c r="B1114" s="13" t="s">
        <v>48</v>
      </c>
      <c r="C1114" s="4">
        <v>1.0</v>
      </c>
      <c r="E1114" s="3"/>
      <c r="G1114" s="4">
        <v>30.0</v>
      </c>
    </row>
    <row r="1115">
      <c r="A1115" s="4" t="s">
        <v>1156</v>
      </c>
      <c r="B1115" s="13" t="s">
        <v>48</v>
      </c>
      <c r="C1115" s="4">
        <v>2.0</v>
      </c>
      <c r="D1115" s="4">
        <v>26.0</v>
      </c>
      <c r="E1115" s="3"/>
      <c r="G1115" s="4">
        <v>30.0</v>
      </c>
    </row>
    <row r="1116">
      <c r="A1116" s="4" t="s">
        <v>1157</v>
      </c>
      <c r="B1116" s="13" t="s">
        <v>48</v>
      </c>
      <c r="C1116" s="4">
        <v>2.0</v>
      </c>
      <c r="D1116" s="4">
        <v>26.0</v>
      </c>
      <c r="E1116" s="3"/>
      <c r="G1116" s="4">
        <v>30.0</v>
      </c>
    </row>
    <row r="1117">
      <c r="A1117" s="4" t="s">
        <v>1158</v>
      </c>
      <c r="B1117" s="13" t="s">
        <v>48</v>
      </c>
      <c r="C1117" s="4">
        <v>2.0</v>
      </c>
      <c r="D1117" s="4">
        <v>26.0</v>
      </c>
      <c r="E1117" s="3"/>
      <c r="G1117" s="4">
        <v>30.0</v>
      </c>
    </row>
    <row r="1118">
      <c r="A1118" s="4" t="s">
        <v>1159</v>
      </c>
      <c r="B1118" s="13" t="s">
        <v>48</v>
      </c>
      <c r="C1118" s="4">
        <v>3.0</v>
      </c>
      <c r="D1118" s="4">
        <v>26.0</v>
      </c>
      <c r="E1118" s="4">
        <v>28.0</v>
      </c>
      <c r="G1118" s="4">
        <v>30.0</v>
      </c>
    </row>
    <row r="1119">
      <c r="A1119" s="4" t="s">
        <v>1160</v>
      </c>
      <c r="B1119" s="13" t="s">
        <v>48</v>
      </c>
      <c r="C1119" s="4">
        <v>3.0</v>
      </c>
      <c r="D1119" s="4">
        <v>26.0</v>
      </c>
      <c r="E1119" s="4">
        <v>28.0</v>
      </c>
      <c r="G1119" s="4">
        <v>30.0</v>
      </c>
    </row>
    <row r="1120">
      <c r="A1120" s="4" t="s">
        <v>1161</v>
      </c>
      <c r="B1120" s="13" t="s">
        <v>48</v>
      </c>
      <c r="C1120" s="4">
        <v>3.0</v>
      </c>
      <c r="D1120" s="4">
        <v>26.0</v>
      </c>
      <c r="E1120" s="4">
        <v>28.0</v>
      </c>
      <c r="G1120" s="4">
        <v>30.0</v>
      </c>
    </row>
    <row r="1121">
      <c r="A1121" s="4" t="s">
        <v>1162</v>
      </c>
      <c r="B1121" s="13" t="s">
        <v>48</v>
      </c>
      <c r="C1121" s="4">
        <v>2.0</v>
      </c>
      <c r="E1121" s="4">
        <v>28.0</v>
      </c>
      <c r="G1121" s="4">
        <v>30.0</v>
      </c>
    </row>
    <row r="1122">
      <c r="A1122" s="4" t="s">
        <v>1163</v>
      </c>
      <c r="B1122" s="13" t="s">
        <v>48</v>
      </c>
      <c r="C1122" s="4">
        <v>3.0</v>
      </c>
      <c r="D1122" s="4">
        <v>26.0</v>
      </c>
      <c r="E1122" s="4">
        <v>28.0</v>
      </c>
      <c r="G1122" s="4">
        <v>30.0</v>
      </c>
    </row>
    <row r="1123">
      <c r="A1123" s="4" t="s">
        <v>1164</v>
      </c>
      <c r="B1123" s="13" t="s">
        <v>48</v>
      </c>
      <c r="C1123" s="4">
        <v>3.0</v>
      </c>
      <c r="D1123" s="4">
        <v>26.0</v>
      </c>
      <c r="E1123" s="4">
        <v>28.0</v>
      </c>
      <c r="G1123" s="4">
        <v>30.0</v>
      </c>
    </row>
    <row r="1124">
      <c r="A1124" s="4" t="s">
        <v>1165</v>
      </c>
      <c r="B1124" s="13" t="s">
        <v>48</v>
      </c>
      <c r="C1124" s="4">
        <v>3.0</v>
      </c>
      <c r="D1124" s="4">
        <v>26.0</v>
      </c>
      <c r="E1124" s="4">
        <v>28.0</v>
      </c>
      <c r="G1124" s="4">
        <v>30.0</v>
      </c>
    </row>
    <row r="1125">
      <c r="A1125" s="4" t="s">
        <v>1166</v>
      </c>
      <c r="B1125" s="13" t="s">
        <v>48</v>
      </c>
      <c r="C1125" s="4">
        <v>3.0</v>
      </c>
      <c r="D1125" s="4">
        <v>26.0</v>
      </c>
      <c r="E1125" s="4">
        <v>28.0</v>
      </c>
      <c r="G1125" s="4">
        <v>30.0</v>
      </c>
    </row>
    <row r="1126">
      <c r="A1126" s="4" t="s">
        <v>1167</v>
      </c>
      <c r="B1126" s="13" t="s">
        <v>48</v>
      </c>
      <c r="C1126" s="4">
        <v>3.0</v>
      </c>
      <c r="D1126" s="4">
        <v>26.0</v>
      </c>
      <c r="E1126" s="4">
        <v>28.0</v>
      </c>
      <c r="G1126" s="4">
        <v>30.0</v>
      </c>
    </row>
    <row r="1127">
      <c r="A1127" s="4" t="s">
        <v>1168</v>
      </c>
      <c r="B1127" s="13" t="s">
        <v>48</v>
      </c>
      <c r="C1127" s="4">
        <v>3.0</v>
      </c>
      <c r="D1127" s="4">
        <v>26.0</v>
      </c>
      <c r="E1127" s="4">
        <v>28.0</v>
      </c>
      <c r="G1127" s="4">
        <v>30.0</v>
      </c>
    </row>
    <row r="1128">
      <c r="A1128" s="4" t="s">
        <v>1169</v>
      </c>
      <c r="B1128" s="13" t="s">
        <v>48</v>
      </c>
      <c r="C1128" s="4">
        <v>3.0</v>
      </c>
      <c r="D1128" s="4">
        <v>26.0</v>
      </c>
      <c r="E1128" s="4">
        <v>28.0</v>
      </c>
      <c r="G1128" s="4">
        <v>30.0</v>
      </c>
    </row>
    <row r="1129">
      <c r="A1129" s="4" t="s">
        <v>1170</v>
      </c>
      <c r="B1129" s="13" t="s">
        <v>48</v>
      </c>
      <c r="C1129" s="4">
        <v>3.0</v>
      </c>
      <c r="D1129" s="4">
        <v>26.0</v>
      </c>
      <c r="E1129" s="4">
        <v>28.0</v>
      </c>
      <c r="G1129" s="4">
        <v>30.0</v>
      </c>
    </row>
    <row r="1130">
      <c r="A1130" s="4" t="s">
        <v>1171</v>
      </c>
      <c r="B1130" s="13" t="s">
        <v>48</v>
      </c>
      <c r="C1130" s="4">
        <v>3.0</v>
      </c>
      <c r="D1130" s="4">
        <v>26.0</v>
      </c>
      <c r="E1130" s="4">
        <v>28.0</v>
      </c>
      <c r="G1130" s="4">
        <v>30.0</v>
      </c>
    </row>
    <row r="1131">
      <c r="A1131" s="4" t="s">
        <v>1172</v>
      </c>
      <c r="B1131" s="13" t="s">
        <v>48</v>
      </c>
      <c r="C1131" s="4">
        <v>3.0</v>
      </c>
      <c r="D1131" s="4">
        <v>26.0</v>
      </c>
      <c r="E1131" s="4">
        <v>28.0</v>
      </c>
      <c r="G1131" s="4">
        <v>30.0</v>
      </c>
    </row>
    <row r="1132">
      <c r="A1132" s="4" t="s">
        <v>1173</v>
      </c>
      <c r="B1132" s="13" t="s">
        <v>48</v>
      </c>
      <c r="C1132" s="4">
        <v>3.0</v>
      </c>
      <c r="D1132" s="4">
        <v>26.0</v>
      </c>
      <c r="E1132" s="4">
        <v>28.0</v>
      </c>
      <c r="G1132" s="4">
        <v>30.0</v>
      </c>
    </row>
    <row r="1133">
      <c r="A1133" s="4" t="s">
        <v>1174</v>
      </c>
      <c r="B1133" s="13" t="s">
        <v>48</v>
      </c>
      <c r="C1133" s="4">
        <v>3.0</v>
      </c>
      <c r="D1133" s="4">
        <v>26.0</v>
      </c>
      <c r="E1133" s="4">
        <v>28.0</v>
      </c>
      <c r="G1133" s="4">
        <v>30.0</v>
      </c>
    </row>
    <row r="1134">
      <c r="A1134" s="4" t="s">
        <v>1175</v>
      </c>
      <c r="B1134" s="13" t="s">
        <v>48</v>
      </c>
      <c r="C1134" s="4">
        <v>3.0</v>
      </c>
      <c r="D1134" s="4">
        <v>26.0</v>
      </c>
      <c r="E1134" s="4">
        <v>28.0</v>
      </c>
      <c r="G1134" s="4">
        <v>30.0</v>
      </c>
    </row>
    <row r="1135">
      <c r="A1135" s="4" t="s">
        <v>1176</v>
      </c>
      <c r="B1135" s="13" t="s">
        <v>48</v>
      </c>
      <c r="C1135" s="4">
        <v>2.0</v>
      </c>
      <c r="D1135" s="4">
        <v>26.0</v>
      </c>
      <c r="E1135" s="4">
        <v>28.0</v>
      </c>
    </row>
    <row r="1136">
      <c r="A1136" s="4" t="s">
        <v>1177</v>
      </c>
      <c r="B1136" s="13" t="s">
        <v>48</v>
      </c>
      <c r="C1136" s="4">
        <v>1.0</v>
      </c>
      <c r="D1136" s="4">
        <v>26.0</v>
      </c>
      <c r="E1136" s="3"/>
    </row>
    <row r="1137">
      <c r="A1137" s="4" t="s">
        <v>1178</v>
      </c>
      <c r="B1137" s="13" t="s">
        <v>48</v>
      </c>
      <c r="C1137" s="4">
        <v>1.0</v>
      </c>
      <c r="D1137" s="4">
        <v>26.0</v>
      </c>
      <c r="E1137" s="3"/>
    </row>
    <row r="1138">
      <c r="A1138" s="4" t="s">
        <v>1179</v>
      </c>
      <c r="B1138" s="13" t="s">
        <v>43</v>
      </c>
      <c r="E1138" s="3"/>
    </row>
    <row r="1139">
      <c r="A1139" s="4" t="s">
        <v>1180</v>
      </c>
      <c r="B1139" s="13" t="s">
        <v>43</v>
      </c>
      <c r="E1139" s="3"/>
    </row>
    <row r="1140">
      <c r="A1140" s="4" t="s">
        <v>1181</v>
      </c>
      <c r="B1140" s="13" t="s">
        <v>43</v>
      </c>
      <c r="E1140" s="3"/>
    </row>
    <row r="1141">
      <c r="A1141" s="4" t="s">
        <v>1182</v>
      </c>
      <c r="B1141" s="13" t="s">
        <v>43</v>
      </c>
      <c r="E1141" s="3"/>
    </row>
    <row r="1142">
      <c r="A1142" s="4" t="s">
        <v>1183</v>
      </c>
      <c r="B1142" s="13" t="s">
        <v>43</v>
      </c>
      <c r="E1142" s="3"/>
    </row>
    <row r="1143">
      <c r="A1143" s="4" t="s">
        <v>1184</v>
      </c>
      <c r="B1143" s="13" t="s">
        <v>43</v>
      </c>
      <c r="E1143" s="3"/>
    </row>
    <row r="1144">
      <c r="A1144" s="4" t="s">
        <v>1185</v>
      </c>
      <c r="B1144" s="13" t="s">
        <v>43</v>
      </c>
      <c r="E1144" s="3"/>
    </row>
    <row r="1145">
      <c r="A1145" s="4" t="s">
        <v>1186</v>
      </c>
      <c r="B1145" s="13" t="s">
        <v>48</v>
      </c>
      <c r="C1145" s="4">
        <v>1.0</v>
      </c>
      <c r="E1145" s="3"/>
      <c r="H1145" s="4">
        <v>33.0</v>
      </c>
    </row>
    <row r="1146">
      <c r="A1146" s="4" t="s">
        <v>1187</v>
      </c>
      <c r="B1146" s="13" t="s">
        <v>48</v>
      </c>
      <c r="C1146" s="4">
        <v>1.0</v>
      </c>
      <c r="E1146" s="3"/>
      <c r="H1146" s="4">
        <v>33.0</v>
      </c>
    </row>
    <row r="1147">
      <c r="A1147" s="4" t="s">
        <v>1188</v>
      </c>
      <c r="B1147" s="13" t="s">
        <v>48</v>
      </c>
      <c r="C1147" s="4">
        <v>1.0</v>
      </c>
      <c r="E1147" s="3"/>
      <c r="H1147" s="4">
        <v>33.0</v>
      </c>
    </row>
    <row r="1148">
      <c r="A1148" s="4" t="s">
        <v>1189</v>
      </c>
      <c r="B1148" s="13" t="s">
        <v>48</v>
      </c>
      <c r="C1148" s="4">
        <v>1.0</v>
      </c>
      <c r="E1148" s="3"/>
      <c r="H1148" s="4">
        <v>33.0</v>
      </c>
    </row>
    <row r="1149">
      <c r="A1149" s="4" t="s">
        <v>1190</v>
      </c>
      <c r="B1149" s="13" t="s">
        <v>48</v>
      </c>
      <c r="C1149" s="4">
        <v>1.0</v>
      </c>
      <c r="E1149" s="3"/>
      <c r="H1149" s="4">
        <v>33.0</v>
      </c>
    </row>
    <row r="1150">
      <c r="A1150" s="4" t="s">
        <v>1191</v>
      </c>
      <c r="B1150" s="13" t="s">
        <v>48</v>
      </c>
      <c r="C1150" s="4">
        <v>1.0</v>
      </c>
      <c r="E1150" s="3"/>
      <c r="H1150" s="4">
        <v>33.0</v>
      </c>
    </row>
    <row r="1151">
      <c r="A1151" s="4" t="s">
        <v>1192</v>
      </c>
      <c r="B1151" s="13" t="s">
        <v>48</v>
      </c>
      <c r="C1151" s="4">
        <v>1.0</v>
      </c>
      <c r="E1151" s="3"/>
      <c r="H1151" s="4">
        <v>33.0</v>
      </c>
    </row>
    <row r="1152">
      <c r="A1152" s="4" t="s">
        <v>1193</v>
      </c>
      <c r="B1152" s="13" t="s">
        <v>48</v>
      </c>
      <c r="C1152" s="4">
        <v>1.0</v>
      </c>
      <c r="E1152" s="3"/>
      <c r="H1152" s="4">
        <v>33.0</v>
      </c>
    </row>
    <row r="1153">
      <c r="A1153" s="4" t="s">
        <v>1194</v>
      </c>
      <c r="B1153" s="13" t="s">
        <v>48</v>
      </c>
      <c r="C1153" s="4">
        <v>1.0</v>
      </c>
      <c r="E1153" s="3"/>
      <c r="H1153" s="4">
        <v>33.0</v>
      </c>
    </row>
    <row r="1154">
      <c r="A1154" s="4" t="s">
        <v>1195</v>
      </c>
      <c r="B1154" s="13" t="s">
        <v>48</v>
      </c>
      <c r="C1154" s="4">
        <v>1.0</v>
      </c>
      <c r="E1154" s="3"/>
      <c r="H1154" s="4">
        <v>33.0</v>
      </c>
    </row>
    <row r="1155">
      <c r="A1155" s="4" t="s">
        <v>1196</v>
      </c>
      <c r="B1155" s="13" t="s">
        <v>48</v>
      </c>
      <c r="C1155" s="4">
        <v>1.0</v>
      </c>
      <c r="E1155" s="3"/>
      <c r="H1155" s="4">
        <v>33.0</v>
      </c>
    </row>
    <row r="1156">
      <c r="A1156" s="4" t="s">
        <v>1197</v>
      </c>
      <c r="B1156" s="13" t="s">
        <v>48</v>
      </c>
      <c r="C1156" s="4">
        <v>1.0</v>
      </c>
      <c r="E1156" s="3"/>
      <c r="H1156" s="4">
        <v>33.0</v>
      </c>
    </row>
    <row r="1157">
      <c r="A1157" s="4" t="s">
        <v>1198</v>
      </c>
      <c r="B1157" s="13" t="s">
        <v>48</v>
      </c>
      <c r="C1157" s="4">
        <v>1.0</v>
      </c>
      <c r="E1157" s="3"/>
      <c r="H1157" s="4">
        <v>33.0</v>
      </c>
    </row>
    <row r="1158">
      <c r="A1158" s="4" t="s">
        <v>1199</v>
      </c>
      <c r="B1158" s="13" t="s">
        <v>43</v>
      </c>
      <c r="E1158" s="3"/>
    </row>
    <row r="1159">
      <c r="A1159" s="4" t="s">
        <v>1200</v>
      </c>
      <c r="B1159" s="13" t="s">
        <v>43</v>
      </c>
      <c r="E1159" s="3"/>
    </row>
    <row r="1160">
      <c r="A1160" s="4" t="s">
        <v>1201</v>
      </c>
      <c r="B1160" s="13" t="s">
        <v>43</v>
      </c>
      <c r="E1160" s="3"/>
    </row>
    <row r="1161">
      <c r="A1161" s="4" t="s">
        <v>1202</v>
      </c>
      <c r="B1161" s="13" t="s">
        <v>43</v>
      </c>
      <c r="E1161" s="3"/>
    </row>
    <row r="1162">
      <c r="A1162" s="4" t="s">
        <v>1203</v>
      </c>
      <c r="B1162" s="13" t="s">
        <v>43</v>
      </c>
      <c r="E1162" s="3"/>
    </row>
    <row r="1163">
      <c r="A1163" s="4" t="s">
        <v>1204</v>
      </c>
      <c r="B1163" s="13" t="s">
        <v>43</v>
      </c>
      <c r="E1163" s="3"/>
    </row>
    <row r="1164">
      <c r="A1164" s="4" t="s">
        <v>1205</v>
      </c>
      <c r="B1164" s="13" t="s">
        <v>43</v>
      </c>
      <c r="E1164" s="3"/>
    </row>
    <row r="1165">
      <c r="A1165" s="4" t="s">
        <v>1206</v>
      </c>
      <c r="B1165" s="13" t="s">
        <v>43</v>
      </c>
      <c r="E1165" s="3"/>
    </row>
    <row r="1166">
      <c r="A1166" s="4" t="s">
        <v>1207</v>
      </c>
      <c r="B1166" s="13" t="s">
        <v>48</v>
      </c>
      <c r="C1166" s="4">
        <v>1.0</v>
      </c>
      <c r="E1166" s="3"/>
      <c r="F1166" s="4">
        <v>29.0</v>
      </c>
    </row>
    <row r="1167">
      <c r="A1167" s="4" t="s">
        <v>1208</v>
      </c>
      <c r="B1167" s="13" t="s">
        <v>48</v>
      </c>
      <c r="C1167" s="4">
        <v>1.0</v>
      </c>
      <c r="E1167" s="3"/>
      <c r="F1167" s="4">
        <v>29.0</v>
      </c>
    </row>
    <row r="1168">
      <c r="A1168" s="4" t="s">
        <v>1209</v>
      </c>
      <c r="B1168" s="13" t="s">
        <v>48</v>
      </c>
      <c r="C1168" s="4">
        <v>1.0</v>
      </c>
      <c r="E1168" s="3"/>
      <c r="F1168" s="4">
        <v>29.0</v>
      </c>
    </row>
    <row r="1169">
      <c r="A1169" s="4" t="s">
        <v>1210</v>
      </c>
      <c r="B1169" s="13" t="s">
        <v>48</v>
      </c>
      <c r="C1169" s="4">
        <v>1.0</v>
      </c>
      <c r="E1169" s="3"/>
      <c r="F1169" s="4">
        <v>29.0</v>
      </c>
    </row>
    <row r="1170">
      <c r="A1170" s="4" t="s">
        <v>1211</v>
      </c>
      <c r="B1170" s="13" t="s">
        <v>48</v>
      </c>
      <c r="C1170" s="4">
        <v>1.0</v>
      </c>
      <c r="E1170" s="3"/>
      <c r="F1170" s="4">
        <v>29.0</v>
      </c>
    </row>
    <row r="1171">
      <c r="A1171" s="4" t="s">
        <v>1212</v>
      </c>
      <c r="B1171" s="13" t="s">
        <v>48</v>
      </c>
      <c r="C1171" s="4">
        <v>1.0</v>
      </c>
      <c r="E1171" s="3"/>
      <c r="F1171" s="4">
        <v>29.0</v>
      </c>
    </row>
    <row r="1172">
      <c r="A1172" s="4" t="s">
        <v>1213</v>
      </c>
      <c r="B1172" s="13" t="s">
        <v>48</v>
      </c>
      <c r="C1172" s="4">
        <v>1.0</v>
      </c>
      <c r="E1172" s="3"/>
      <c r="F1172" s="4">
        <v>29.0</v>
      </c>
    </row>
    <row r="1173">
      <c r="A1173" s="4" t="s">
        <v>1214</v>
      </c>
      <c r="B1173" s="13" t="s">
        <v>48</v>
      </c>
      <c r="C1173" s="4">
        <v>1.0</v>
      </c>
      <c r="E1173" s="3"/>
      <c r="F1173" s="4">
        <v>29.0</v>
      </c>
    </row>
    <row r="1174">
      <c r="A1174" s="4" t="s">
        <v>1215</v>
      </c>
      <c r="B1174" s="13" t="s">
        <v>48</v>
      </c>
      <c r="C1174" s="4">
        <v>1.0</v>
      </c>
      <c r="E1174" s="3"/>
      <c r="F1174" s="4">
        <v>29.0</v>
      </c>
    </row>
    <row r="1175">
      <c r="A1175" s="4" t="s">
        <v>1216</v>
      </c>
      <c r="B1175" s="13" t="s">
        <v>48</v>
      </c>
      <c r="C1175" s="4">
        <v>1.0</v>
      </c>
      <c r="E1175" s="3"/>
      <c r="F1175" s="4">
        <v>29.0</v>
      </c>
    </row>
    <row r="1176">
      <c r="A1176" s="4" t="s">
        <v>1217</v>
      </c>
      <c r="B1176" s="13" t="s">
        <v>48</v>
      </c>
      <c r="C1176" s="4">
        <v>1.0</v>
      </c>
      <c r="E1176" s="3"/>
      <c r="F1176" s="4">
        <v>29.0</v>
      </c>
    </row>
    <row r="1177">
      <c r="A1177" s="4" t="s">
        <v>1218</v>
      </c>
      <c r="B1177" s="13" t="s">
        <v>48</v>
      </c>
      <c r="C1177" s="4">
        <v>1.0</v>
      </c>
      <c r="E1177" s="3"/>
      <c r="F1177" s="4">
        <v>29.0</v>
      </c>
    </row>
    <row r="1178">
      <c r="A1178" s="4" t="s">
        <v>1219</v>
      </c>
      <c r="B1178" s="13" t="s">
        <v>48</v>
      </c>
      <c r="C1178" s="4">
        <v>1.0</v>
      </c>
      <c r="E1178" s="3"/>
      <c r="F1178" s="4">
        <v>29.0</v>
      </c>
    </row>
    <row r="1179">
      <c r="A1179" s="4" t="s">
        <v>1220</v>
      </c>
      <c r="B1179" s="13" t="s">
        <v>48</v>
      </c>
      <c r="C1179" s="4">
        <v>1.0</v>
      </c>
      <c r="E1179" s="3"/>
      <c r="F1179" s="4">
        <v>29.0</v>
      </c>
    </row>
    <row r="1180">
      <c r="A1180" s="4" t="s">
        <v>1221</v>
      </c>
      <c r="B1180" s="13" t="s">
        <v>48</v>
      </c>
      <c r="C1180" s="4">
        <v>1.0</v>
      </c>
      <c r="E1180" s="3"/>
      <c r="F1180" s="4">
        <v>29.0</v>
      </c>
    </row>
    <row r="1181">
      <c r="A1181" s="4" t="s">
        <v>1222</v>
      </c>
      <c r="B1181" s="13" t="s">
        <v>48</v>
      </c>
      <c r="C1181" s="4">
        <v>1.0</v>
      </c>
      <c r="E1181" s="3"/>
      <c r="F1181" s="4">
        <v>29.0</v>
      </c>
    </row>
    <row r="1182">
      <c r="A1182" s="4" t="s">
        <v>1223</v>
      </c>
      <c r="B1182" s="13" t="s">
        <v>48</v>
      </c>
      <c r="C1182" s="4">
        <v>1.0</v>
      </c>
      <c r="E1182" s="3"/>
      <c r="F1182" s="4">
        <v>29.0</v>
      </c>
    </row>
    <row r="1183">
      <c r="A1183" s="4" t="s">
        <v>1224</v>
      </c>
      <c r="B1183" s="13" t="s">
        <v>48</v>
      </c>
      <c r="C1183" s="4">
        <v>1.0</v>
      </c>
      <c r="E1183" s="3"/>
      <c r="F1183" s="4">
        <v>29.0</v>
      </c>
    </row>
    <row r="1184">
      <c r="A1184" s="4" t="s">
        <v>1225</v>
      </c>
      <c r="B1184" s="13" t="s">
        <v>43</v>
      </c>
      <c r="E1184" s="3"/>
    </row>
    <row r="1185">
      <c r="A1185" s="4" t="s">
        <v>1226</v>
      </c>
      <c r="B1185" s="13" t="s">
        <v>43</v>
      </c>
      <c r="E1185" s="3"/>
    </row>
    <row r="1186">
      <c r="A1186" s="4" t="s">
        <v>1227</v>
      </c>
      <c r="B1186" s="13" t="s">
        <v>43</v>
      </c>
      <c r="E1186" s="3"/>
    </row>
    <row r="1187">
      <c r="A1187" s="4" t="s">
        <v>1228</v>
      </c>
      <c r="B1187" s="13" t="s">
        <v>43</v>
      </c>
      <c r="E1187" s="3"/>
    </row>
    <row r="1188">
      <c r="A1188" s="4" t="s">
        <v>1229</v>
      </c>
      <c r="B1188" s="13" t="s">
        <v>43</v>
      </c>
      <c r="E1188" s="3"/>
    </row>
    <row r="1189">
      <c r="A1189" s="4" t="s">
        <v>1230</v>
      </c>
      <c r="B1189" s="13" t="s">
        <v>43</v>
      </c>
      <c r="E1189" s="3"/>
    </row>
    <row r="1190">
      <c r="A1190" s="4" t="s">
        <v>1231</v>
      </c>
      <c r="B1190" s="13" t="s">
        <v>43</v>
      </c>
      <c r="E1190" s="3"/>
    </row>
    <row r="1191">
      <c r="A1191" s="4" t="s">
        <v>1232</v>
      </c>
      <c r="B1191" s="13" t="s">
        <v>48</v>
      </c>
      <c r="C1191" s="4">
        <v>1.0</v>
      </c>
      <c r="E1191" s="3"/>
      <c r="G1191" s="4">
        <v>30.0</v>
      </c>
    </row>
    <row r="1192">
      <c r="A1192" s="4" t="s">
        <v>1233</v>
      </c>
      <c r="B1192" s="13" t="s">
        <v>48</v>
      </c>
      <c r="C1192" s="4">
        <v>1.0</v>
      </c>
      <c r="E1192" s="3"/>
      <c r="G1192" s="4">
        <v>30.0</v>
      </c>
    </row>
    <row r="1193">
      <c r="A1193" s="4" t="s">
        <v>1234</v>
      </c>
      <c r="B1193" s="13" t="s">
        <v>48</v>
      </c>
      <c r="C1193" s="4">
        <v>1.0</v>
      </c>
      <c r="E1193" s="3"/>
      <c r="G1193" s="4">
        <v>30.0</v>
      </c>
    </row>
    <row r="1194">
      <c r="A1194" s="4" t="s">
        <v>1235</v>
      </c>
      <c r="B1194" s="13" t="s">
        <v>48</v>
      </c>
      <c r="C1194" s="4">
        <v>1.0</v>
      </c>
      <c r="E1194" s="3"/>
      <c r="G1194" s="4">
        <v>30.0</v>
      </c>
    </row>
    <row r="1195">
      <c r="A1195" s="4" t="s">
        <v>1236</v>
      </c>
      <c r="B1195" s="13" t="s">
        <v>48</v>
      </c>
      <c r="C1195" s="4">
        <v>1.0</v>
      </c>
      <c r="E1195" s="3"/>
      <c r="G1195" s="4">
        <v>30.0</v>
      </c>
    </row>
    <row r="1196">
      <c r="A1196" s="4" t="s">
        <v>1237</v>
      </c>
      <c r="B1196" s="13" t="s">
        <v>48</v>
      </c>
      <c r="C1196" s="4">
        <v>1.0</v>
      </c>
      <c r="E1196" s="3"/>
      <c r="G1196" s="4">
        <v>30.0</v>
      </c>
    </row>
    <row r="1197">
      <c r="A1197" s="4" t="s">
        <v>1238</v>
      </c>
      <c r="B1197" s="13" t="s">
        <v>48</v>
      </c>
      <c r="C1197" s="4">
        <v>1.0</v>
      </c>
      <c r="E1197" s="3"/>
      <c r="G1197" s="4">
        <v>30.0</v>
      </c>
    </row>
    <row r="1198">
      <c r="A1198" s="4" t="s">
        <v>1239</v>
      </c>
      <c r="B1198" s="13" t="s">
        <v>48</v>
      </c>
      <c r="C1198" s="4">
        <v>1.0</v>
      </c>
      <c r="E1198" s="3"/>
      <c r="G1198" s="4">
        <v>30.0</v>
      </c>
    </row>
    <row r="1199">
      <c r="A1199" s="4" t="s">
        <v>1240</v>
      </c>
      <c r="B1199" s="13" t="s">
        <v>48</v>
      </c>
      <c r="C1199" s="4">
        <v>1.0</v>
      </c>
      <c r="E1199" s="3"/>
      <c r="G1199" s="4">
        <v>30.0</v>
      </c>
    </row>
    <row r="1200">
      <c r="A1200" s="4" t="s">
        <v>1241</v>
      </c>
      <c r="B1200" s="13" t="s">
        <v>48</v>
      </c>
      <c r="C1200" s="4">
        <v>1.0</v>
      </c>
      <c r="E1200" s="3"/>
      <c r="G1200" s="4">
        <v>30.0</v>
      </c>
    </row>
    <row r="1201">
      <c r="A1201" s="4" t="s">
        <v>1242</v>
      </c>
      <c r="B1201" s="13" t="s">
        <v>48</v>
      </c>
      <c r="C1201" s="4">
        <v>1.0</v>
      </c>
      <c r="E1201" s="3"/>
      <c r="G1201" s="4">
        <v>30.0</v>
      </c>
    </row>
    <row r="1202">
      <c r="A1202" s="4" t="s">
        <v>1243</v>
      </c>
      <c r="B1202" s="13" t="s">
        <v>48</v>
      </c>
      <c r="C1202" s="4">
        <v>1.0</v>
      </c>
      <c r="E1202" s="3"/>
      <c r="G1202" s="4">
        <v>30.0</v>
      </c>
    </row>
    <row r="1203">
      <c r="A1203" s="4" t="s">
        <v>1244</v>
      </c>
      <c r="B1203" s="13" t="s">
        <v>48</v>
      </c>
      <c r="C1203" s="4">
        <v>2.0</v>
      </c>
      <c r="D1203" s="4">
        <v>26.0</v>
      </c>
      <c r="E1203" s="3"/>
      <c r="G1203" s="4">
        <v>30.0</v>
      </c>
    </row>
    <row r="1204">
      <c r="A1204" s="4" t="s">
        <v>1245</v>
      </c>
      <c r="B1204" s="13" t="s">
        <v>48</v>
      </c>
      <c r="C1204" s="4">
        <v>1.0</v>
      </c>
      <c r="E1204" s="3"/>
      <c r="G1204" s="4">
        <v>30.0</v>
      </c>
    </row>
    <row r="1205">
      <c r="A1205" s="4" t="s">
        <v>1246</v>
      </c>
      <c r="B1205" s="13" t="s">
        <v>48</v>
      </c>
      <c r="C1205" s="4">
        <v>2.0</v>
      </c>
      <c r="D1205" s="4">
        <v>26.0</v>
      </c>
      <c r="E1205" s="3"/>
      <c r="G1205" s="4">
        <v>30.0</v>
      </c>
    </row>
    <row r="1206">
      <c r="A1206" s="4" t="s">
        <v>1247</v>
      </c>
      <c r="B1206" s="13" t="s">
        <v>48</v>
      </c>
      <c r="C1206" s="4">
        <v>2.0</v>
      </c>
      <c r="D1206" s="4">
        <v>26.0</v>
      </c>
      <c r="E1206" s="3"/>
      <c r="G1206" s="4">
        <v>30.0</v>
      </c>
    </row>
    <row r="1207">
      <c r="A1207" s="4" t="s">
        <v>1248</v>
      </c>
      <c r="B1207" s="13" t="s">
        <v>48</v>
      </c>
      <c r="C1207" s="4">
        <v>2.0</v>
      </c>
      <c r="D1207" s="4">
        <v>26.0</v>
      </c>
      <c r="E1207" s="3"/>
      <c r="G1207" s="4">
        <v>30.0</v>
      </c>
    </row>
    <row r="1208">
      <c r="A1208" s="4" t="s">
        <v>1249</v>
      </c>
      <c r="B1208" s="13" t="s">
        <v>48</v>
      </c>
      <c r="C1208" s="4">
        <v>2.0</v>
      </c>
      <c r="D1208" s="4">
        <v>26.0</v>
      </c>
      <c r="E1208" s="3"/>
      <c r="G1208" s="4">
        <v>30.0</v>
      </c>
    </row>
    <row r="1209">
      <c r="A1209" s="4" t="s">
        <v>1250</v>
      </c>
      <c r="B1209" s="13" t="s">
        <v>48</v>
      </c>
      <c r="C1209" s="4">
        <v>2.0</v>
      </c>
      <c r="D1209" s="4">
        <v>26.0</v>
      </c>
      <c r="E1209" s="3"/>
      <c r="G1209" s="4">
        <v>30.0</v>
      </c>
    </row>
    <row r="1210">
      <c r="A1210" s="4" t="s">
        <v>1251</v>
      </c>
      <c r="B1210" s="13" t="s">
        <v>48</v>
      </c>
      <c r="C1210" s="4">
        <v>2.0</v>
      </c>
      <c r="D1210" s="4">
        <v>26.0</v>
      </c>
      <c r="E1210" s="3"/>
      <c r="G1210" s="4">
        <v>30.0</v>
      </c>
    </row>
    <row r="1211">
      <c r="A1211" s="4" t="s">
        <v>1252</v>
      </c>
      <c r="B1211" s="13" t="s">
        <v>48</v>
      </c>
      <c r="C1211" s="4">
        <v>2.0</v>
      </c>
      <c r="D1211" s="4">
        <v>26.0</v>
      </c>
      <c r="E1211" s="3"/>
      <c r="G1211" s="4">
        <v>30.0</v>
      </c>
    </row>
    <row r="1212">
      <c r="A1212" s="4" t="s">
        <v>1253</v>
      </c>
      <c r="B1212" s="13" t="s">
        <v>48</v>
      </c>
      <c r="C1212" s="4">
        <v>2.0</v>
      </c>
      <c r="D1212" s="4">
        <v>26.0</v>
      </c>
      <c r="E1212" s="3"/>
      <c r="G1212" s="4">
        <v>30.0</v>
      </c>
    </row>
    <row r="1213">
      <c r="A1213" s="4" t="s">
        <v>1254</v>
      </c>
      <c r="B1213" s="13" t="s">
        <v>48</v>
      </c>
      <c r="C1213" s="4">
        <v>2.0</v>
      </c>
      <c r="D1213" s="4">
        <v>26.0</v>
      </c>
      <c r="E1213" s="3"/>
      <c r="G1213" s="4">
        <v>30.0</v>
      </c>
    </row>
    <row r="1214">
      <c r="A1214" s="4" t="s">
        <v>1255</v>
      </c>
      <c r="B1214" s="13" t="s">
        <v>48</v>
      </c>
      <c r="C1214" s="4">
        <v>3.0</v>
      </c>
      <c r="D1214" s="4">
        <v>26.0</v>
      </c>
      <c r="E1214" s="4">
        <v>28.0</v>
      </c>
      <c r="G1214" s="4">
        <v>30.0</v>
      </c>
    </row>
    <row r="1215">
      <c r="A1215" s="4" t="s">
        <v>1256</v>
      </c>
      <c r="B1215" s="13" t="s">
        <v>48</v>
      </c>
      <c r="C1215" s="4">
        <v>3.0</v>
      </c>
      <c r="D1215" s="4">
        <v>26.0</v>
      </c>
      <c r="E1215" s="4">
        <v>28.0</v>
      </c>
      <c r="G1215" s="4">
        <v>30.0</v>
      </c>
    </row>
    <row r="1216">
      <c r="A1216" s="4" t="s">
        <v>1257</v>
      </c>
      <c r="B1216" s="13" t="s">
        <v>48</v>
      </c>
      <c r="C1216" s="4">
        <v>3.0</v>
      </c>
      <c r="D1216" s="4">
        <v>26.0</v>
      </c>
      <c r="E1216" s="4">
        <v>28.0</v>
      </c>
      <c r="G1216" s="4">
        <v>30.0</v>
      </c>
    </row>
    <row r="1217">
      <c r="A1217" s="4" t="s">
        <v>1258</v>
      </c>
      <c r="B1217" s="13" t="s">
        <v>48</v>
      </c>
      <c r="C1217" s="4">
        <v>3.0</v>
      </c>
      <c r="D1217" s="4">
        <v>26.0</v>
      </c>
      <c r="E1217" s="4">
        <v>28.0</v>
      </c>
      <c r="G1217" s="4">
        <v>30.0</v>
      </c>
    </row>
    <row r="1218">
      <c r="A1218" s="4" t="s">
        <v>1259</v>
      </c>
      <c r="B1218" s="13" t="s">
        <v>48</v>
      </c>
      <c r="C1218" s="4">
        <v>3.0</v>
      </c>
      <c r="D1218" s="4">
        <v>26.0</v>
      </c>
      <c r="E1218" s="4">
        <v>28.0</v>
      </c>
      <c r="G1218" s="4">
        <v>30.0</v>
      </c>
    </row>
    <row r="1219">
      <c r="A1219" s="4" t="s">
        <v>1260</v>
      </c>
      <c r="B1219" s="13" t="s">
        <v>48</v>
      </c>
      <c r="C1219" s="4">
        <v>3.0</v>
      </c>
      <c r="D1219" s="4">
        <v>26.0</v>
      </c>
      <c r="E1219" s="4">
        <v>28.0</v>
      </c>
      <c r="G1219" s="4">
        <v>30.0</v>
      </c>
    </row>
    <row r="1220">
      <c r="A1220" s="4" t="s">
        <v>1261</v>
      </c>
      <c r="B1220" s="13" t="s">
        <v>48</v>
      </c>
      <c r="C1220" s="4">
        <v>3.0</v>
      </c>
      <c r="D1220" s="4">
        <v>26.0</v>
      </c>
      <c r="E1220" s="4">
        <v>28.0</v>
      </c>
      <c r="G1220" s="4">
        <v>30.0</v>
      </c>
    </row>
    <row r="1221">
      <c r="A1221" s="4" t="s">
        <v>1262</v>
      </c>
      <c r="B1221" s="13" t="s">
        <v>48</v>
      </c>
      <c r="C1221" s="4">
        <v>2.0</v>
      </c>
      <c r="D1221" s="4">
        <v>26.0</v>
      </c>
      <c r="E1221" s="4">
        <v>28.0</v>
      </c>
    </row>
    <row r="1222">
      <c r="A1222" s="4" t="s">
        <v>1263</v>
      </c>
      <c r="B1222" s="13" t="s">
        <v>48</v>
      </c>
      <c r="C1222" s="4">
        <v>2.0</v>
      </c>
      <c r="D1222" s="4">
        <v>26.0</v>
      </c>
      <c r="E1222" s="4">
        <v>28.0</v>
      </c>
    </row>
    <row r="1223">
      <c r="A1223" s="4" t="s">
        <v>1264</v>
      </c>
      <c r="B1223" s="13" t="s">
        <v>48</v>
      </c>
      <c r="C1223" s="4">
        <v>2.0</v>
      </c>
      <c r="D1223" s="4">
        <v>26.0</v>
      </c>
      <c r="E1223" s="4">
        <v>28.0</v>
      </c>
    </row>
    <row r="1224">
      <c r="A1224" s="4" t="s">
        <v>1265</v>
      </c>
      <c r="B1224" s="13" t="s">
        <v>48</v>
      </c>
      <c r="C1224" s="4">
        <v>2.0</v>
      </c>
      <c r="D1224" s="4">
        <v>26.0</v>
      </c>
      <c r="E1224" s="4">
        <v>28.0</v>
      </c>
    </row>
    <row r="1225">
      <c r="A1225" s="4" t="s">
        <v>1266</v>
      </c>
      <c r="B1225" s="13" t="s">
        <v>48</v>
      </c>
      <c r="C1225" s="4">
        <v>2.0</v>
      </c>
      <c r="D1225" s="4">
        <v>26.0</v>
      </c>
      <c r="E1225" s="4">
        <v>28.0</v>
      </c>
    </row>
    <row r="1226">
      <c r="A1226" s="4" t="s">
        <v>1267</v>
      </c>
      <c r="B1226" s="13" t="s">
        <v>48</v>
      </c>
      <c r="C1226" s="4">
        <v>2.0</v>
      </c>
      <c r="D1226" s="4">
        <v>26.0</v>
      </c>
      <c r="E1226" s="4">
        <v>28.0</v>
      </c>
    </row>
    <row r="1227">
      <c r="A1227" s="4" t="s">
        <v>1268</v>
      </c>
      <c r="B1227" s="13" t="s">
        <v>48</v>
      </c>
      <c r="C1227" s="4">
        <v>1.0</v>
      </c>
      <c r="D1227" s="4">
        <v>26.0</v>
      </c>
      <c r="E1227" s="3"/>
    </row>
    <row r="1228">
      <c r="A1228" s="4" t="s">
        <v>1269</v>
      </c>
      <c r="B1228" s="13" t="s">
        <v>48</v>
      </c>
      <c r="C1228" s="4">
        <v>1.0</v>
      </c>
      <c r="D1228" s="4">
        <v>26.0</v>
      </c>
      <c r="E1228" s="3"/>
    </row>
    <row r="1229">
      <c r="A1229" s="4" t="s">
        <v>1270</v>
      </c>
      <c r="B1229" s="13" t="s">
        <v>43</v>
      </c>
      <c r="E1229" s="3"/>
    </row>
    <row r="1230">
      <c r="A1230" s="4" t="s">
        <v>1271</v>
      </c>
      <c r="B1230" s="13" t="s">
        <v>43</v>
      </c>
      <c r="E1230" s="3"/>
    </row>
    <row r="1231">
      <c r="A1231" s="4" t="s">
        <v>1272</v>
      </c>
      <c r="B1231" s="13" t="s">
        <v>48</v>
      </c>
      <c r="C1231" s="4">
        <v>1.0</v>
      </c>
      <c r="E1231" s="3"/>
      <c r="H1231" s="4">
        <v>33.0</v>
      </c>
    </row>
    <row r="1232">
      <c r="A1232" s="4" t="s">
        <v>1273</v>
      </c>
      <c r="B1232" s="13" t="s">
        <v>48</v>
      </c>
      <c r="C1232" s="4">
        <v>1.0</v>
      </c>
      <c r="E1232" s="3"/>
      <c r="H1232" s="4">
        <v>33.0</v>
      </c>
    </row>
    <row r="1233">
      <c r="A1233" s="4" t="s">
        <v>1274</v>
      </c>
      <c r="B1233" s="13" t="s">
        <v>48</v>
      </c>
      <c r="C1233" s="4">
        <v>1.0</v>
      </c>
      <c r="E1233" s="3"/>
      <c r="H1233" s="4">
        <v>33.0</v>
      </c>
    </row>
    <row r="1234">
      <c r="A1234" s="4" t="s">
        <v>1275</v>
      </c>
      <c r="B1234" s="13" t="s">
        <v>48</v>
      </c>
      <c r="C1234" s="4">
        <v>1.0</v>
      </c>
      <c r="E1234" s="3"/>
      <c r="H1234" s="4">
        <v>33.0</v>
      </c>
    </row>
    <row r="1235">
      <c r="A1235" s="4" t="s">
        <v>1276</v>
      </c>
      <c r="B1235" s="13" t="s">
        <v>48</v>
      </c>
      <c r="C1235" s="4">
        <v>1.0</v>
      </c>
      <c r="E1235" s="3"/>
      <c r="H1235" s="4">
        <v>33.0</v>
      </c>
    </row>
    <row r="1236">
      <c r="A1236" s="4" t="s">
        <v>1277</v>
      </c>
      <c r="B1236" s="13" t="s">
        <v>48</v>
      </c>
      <c r="C1236" s="4">
        <v>1.0</v>
      </c>
      <c r="E1236" s="3"/>
      <c r="H1236" s="4">
        <v>33.0</v>
      </c>
    </row>
    <row r="1237">
      <c r="A1237" s="4" t="s">
        <v>1278</v>
      </c>
      <c r="B1237" s="13" t="s">
        <v>48</v>
      </c>
      <c r="C1237" s="4">
        <v>1.0</v>
      </c>
      <c r="E1237" s="3"/>
      <c r="H1237" s="4">
        <v>33.0</v>
      </c>
    </row>
    <row r="1238">
      <c r="A1238" s="4" t="s">
        <v>1279</v>
      </c>
      <c r="B1238" s="13" t="s">
        <v>48</v>
      </c>
      <c r="C1238" s="4">
        <v>1.0</v>
      </c>
      <c r="E1238" s="3"/>
      <c r="H1238" s="4">
        <v>33.0</v>
      </c>
    </row>
    <row r="1239">
      <c r="A1239" s="4" t="s">
        <v>1280</v>
      </c>
      <c r="B1239" s="13" t="s">
        <v>48</v>
      </c>
      <c r="C1239" s="4">
        <v>1.0</v>
      </c>
      <c r="E1239" s="3"/>
      <c r="H1239" s="4">
        <v>33.0</v>
      </c>
    </row>
    <row r="1240">
      <c r="A1240" s="4" t="s">
        <v>1281</v>
      </c>
      <c r="B1240" s="13" t="s">
        <v>48</v>
      </c>
      <c r="C1240" s="4">
        <v>1.0</v>
      </c>
      <c r="E1240" s="3"/>
      <c r="H1240" s="4">
        <v>33.0</v>
      </c>
    </row>
    <row r="1241">
      <c r="A1241" s="4" t="s">
        <v>1282</v>
      </c>
      <c r="B1241" s="13" t="s">
        <v>48</v>
      </c>
      <c r="C1241" s="4">
        <v>2.0</v>
      </c>
      <c r="D1241" s="4">
        <v>26.0</v>
      </c>
      <c r="E1241" s="3"/>
      <c r="H1241" s="4">
        <v>33.0</v>
      </c>
    </row>
    <row r="1242">
      <c r="A1242" s="4" t="s">
        <v>1283</v>
      </c>
      <c r="B1242" s="13" t="s">
        <v>48</v>
      </c>
      <c r="C1242" s="4">
        <v>1.0</v>
      </c>
      <c r="E1242" s="3"/>
      <c r="H1242" s="4">
        <v>33.0</v>
      </c>
    </row>
    <row r="1243">
      <c r="A1243" s="4" t="s">
        <v>1284</v>
      </c>
      <c r="B1243" s="13" t="s">
        <v>48</v>
      </c>
      <c r="C1243" s="4">
        <v>1.0</v>
      </c>
      <c r="E1243" s="3"/>
      <c r="H1243" s="4">
        <v>33.0</v>
      </c>
    </row>
    <row r="1244">
      <c r="A1244" s="4" t="s">
        <v>1285</v>
      </c>
      <c r="B1244" s="13" t="s">
        <v>48</v>
      </c>
      <c r="C1244" s="4">
        <v>2.0</v>
      </c>
      <c r="D1244" s="4">
        <v>26.0</v>
      </c>
      <c r="E1244" s="3"/>
      <c r="H1244" s="4">
        <v>33.0</v>
      </c>
    </row>
    <row r="1245">
      <c r="A1245" s="4" t="s">
        <v>1286</v>
      </c>
      <c r="B1245" s="13" t="s">
        <v>48</v>
      </c>
      <c r="C1245" s="4">
        <v>2.0</v>
      </c>
      <c r="D1245" s="4">
        <v>26.0</v>
      </c>
      <c r="E1245" s="3"/>
      <c r="H1245" s="4">
        <v>33.0</v>
      </c>
    </row>
    <row r="1246">
      <c r="A1246" s="4" t="s">
        <v>1287</v>
      </c>
      <c r="B1246" s="13" t="s">
        <v>48</v>
      </c>
      <c r="C1246" s="4">
        <v>3.0</v>
      </c>
      <c r="D1246" s="4">
        <v>26.0</v>
      </c>
      <c r="E1246" s="3"/>
      <c r="G1246" s="4">
        <v>30.0</v>
      </c>
      <c r="H1246" s="4">
        <v>33.0</v>
      </c>
    </row>
    <row r="1247">
      <c r="A1247" s="4" t="s">
        <v>1288</v>
      </c>
      <c r="B1247" s="13" t="s">
        <v>48</v>
      </c>
      <c r="C1247" s="4">
        <v>3.0</v>
      </c>
      <c r="D1247" s="4">
        <v>26.0</v>
      </c>
      <c r="E1247" s="3"/>
      <c r="G1247" s="4">
        <v>30.0</v>
      </c>
      <c r="H1247" s="4">
        <v>33.0</v>
      </c>
    </row>
    <row r="1248">
      <c r="A1248" s="4"/>
      <c r="B1248" s="20">
        <f>COUNTIF(B4:B1247, "YES")+COUNTIF(B4:B1247, "NO")</f>
        <v>1244</v>
      </c>
      <c r="C1248" s="21">
        <f t="shared" ref="C1248:H1248" si="1">COUNTA(C4:C1247)</f>
        <v>926</v>
      </c>
      <c r="D1248" s="21">
        <f t="shared" si="1"/>
        <v>316</v>
      </c>
      <c r="E1248" s="21">
        <f t="shared" si="1"/>
        <v>287</v>
      </c>
      <c r="F1248" s="21">
        <f t="shared" si="1"/>
        <v>198</v>
      </c>
      <c r="G1248" s="21">
        <f t="shared" si="1"/>
        <v>437</v>
      </c>
      <c r="H1248" s="21">
        <f t="shared" si="1"/>
        <v>185</v>
      </c>
    </row>
    <row r="1249">
      <c r="A1249" s="4"/>
      <c r="B1249" s="13">
        <f>COUNTIF(B4:B1247,"YES")</f>
        <v>926</v>
      </c>
      <c r="C1249" s="4">
        <f>E2+G2+I2+K2+M2</f>
        <v>926</v>
      </c>
      <c r="D1249" s="4">
        <f>J3</f>
        <v>316</v>
      </c>
      <c r="E1249" s="3">
        <f>L3</f>
        <v>287</v>
      </c>
      <c r="F1249" s="3">
        <f>N3</f>
        <v>198</v>
      </c>
      <c r="G1249" s="4">
        <f>P3</f>
        <v>437</v>
      </c>
      <c r="H1249" s="4">
        <f>R3</f>
        <v>185</v>
      </c>
    </row>
    <row r="1250">
      <c r="A1250" s="4"/>
      <c r="B1250" s="13"/>
      <c r="C1250" s="4">
        <f>C2</f>
        <v>926</v>
      </c>
      <c r="D1250" s="4"/>
      <c r="G1250" s="4"/>
      <c r="H1250" s="4"/>
    </row>
    <row r="1251">
      <c r="A1251" s="4"/>
      <c r="B1251" s="13"/>
      <c r="C1251" s="4"/>
      <c r="D1251" s="4"/>
      <c r="G1251" s="4"/>
      <c r="H1251" s="4"/>
    </row>
    <row r="1252">
      <c r="A1252" s="4"/>
      <c r="B1252" s="13"/>
      <c r="C1252" s="4"/>
      <c r="D1252" s="4"/>
      <c r="G1252" s="4"/>
      <c r="H1252" s="4"/>
    </row>
    <row r="1253">
      <c r="A1253" s="4"/>
      <c r="B1253" s="13"/>
      <c r="C1253" s="4"/>
      <c r="D1253" s="4"/>
      <c r="G1253" s="4"/>
      <c r="H1253" s="4"/>
    </row>
    <row r="1254">
      <c r="A1254" s="4"/>
      <c r="B1254" s="13"/>
      <c r="C1254" s="4"/>
      <c r="D1254" s="4"/>
      <c r="G1254" s="4"/>
      <c r="H1254" s="4"/>
    </row>
    <row r="1255">
      <c r="A1255" s="4"/>
      <c r="B1255" s="13"/>
      <c r="C1255" s="4"/>
      <c r="D1255" s="4"/>
      <c r="G1255" s="4"/>
      <c r="H1255" s="4"/>
    </row>
    <row r="1256">
      <c r="A1256" s="4"/>
      <c r="B1256" s="13"/>
      <c r="C1256" s="4"/>
      <c r="D1256" s="4"/>
      <c r="G1256" s="4"/>
      <c r="H1256" s="4"/>
    </row>
    <row r="1257">
      <c r="A1257" s="4"/>
      <c r="B1257" s="13"/>
      <c r="C1257" s="4"/>
      <c r="D1257" s="4"/>
      <c r="G1257" s="4"/>
      <c r="H1257" s="4"/>
    </row>
  </sheetData>
  <conditionalFormatting sqref="B4:B1257">
    <cfRule type="cellIs" dxfId="0" priority="1" operator="equal">
      <formula>"YES"</formula>
    </cfRule>
  </conditionalFormatting>
  <conditionalFormatting sqref="B4:B1257">
    <cfRule type="cellIs" dxfId="1" priority="2" operator="equal">
      <formula>"NO"</formula>
    </cfRule>
  </conditionalFormatting>
  <conditionalFormatting sqref="D4:D1247">
    <cfRule type="cellIs" dxfId="2" priority="3" operator="equal">
      <formula>26</formula>
    </cfRule>
  </conditionalFormatting>
  <conditionalFormatting sqref="E4:E1247">
    <cfRule type="cellIs" dxfId="2" priority="4" operator="equal">
      <formula>28</formula>
    </cfRule>
  </conditionalFormatting>
  <conditionalFormatting sqref="E4:E1247">
    <cfRule type="containsBlanks" dxfId="3" priority="5">
      <formula>LEN(TRIM(E4))=0</formula>
    </cfRule>
  </conditionalFormatting>
  <conditionalFormatting sqref="E4:E1247">
    <cfRule type="cellIs" dxfId="4" priority="6" operator="notEqual">
      <formula>28</formula>
    </cfRule>
  </conditionalFormatting>
  <conditionalFormatting sqref="F4:F1247">
    <cfRule type="cellIs" dxfId="2" priority="7" operator="equal">
      <formula>29</formula>
    </cfRule>
  </conditionalFormatting>
  <conditionalFormatting sqref="F4:F1247">
    <cfRule type="containsBlanks" dxfId="5" priority="8">
      <formula>LEN(TRIM(F4))=0</formula>
    </cfRule>
  </conditionalFormatting>
  <conditionalFormatting sqref="F4:F1247">
    <cfRule type="cellIs" dxfId="4" priority="9" operator="notEqual">
      <formula>29</formula>
    </cfRule>
  </conditionalFormatting>
  <conditionalFormatting sqref="G4:G1247">
    <cfRule type="cellIs" dxfId="2" priority="10" operator="equal">
      <formula>30</formula>
    </cfRule>
  </conditionalFormatting>
  <conditionalFormatting sqref="H4:H1247">
    <cfRule type="cellIs" dxfId="2" priority="11" operator="equal">
      <formula>33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0"/>
    <col customWidth="1" min="2" max="2" width="15.13"/>
    <col customWidth="1" min="3" max="3" width="13.75"/>
    <col customWidth="1" min="4" max="4" width="5.88"/>
    <col customWidth="1" min="5" max="5" width="14.0"/>
    <col customWidth="1" min="6" max="6" width="5.5"/>
    <col customWidth="1" min="7" max="7" width="16.25"/>
    <col customWidth="1" min="8" max="8" width="6.13"/>
    <col customWidth="1" min="9" max="9" width="9.38"/>
    <col customWidth="1" min="10" max="10" width="8.13"/>
    <col customWidth="1" min="11" max="11" width="19.5"/>
    <col customWidth="1" min="12" max="12" width="7.63"/>
    <col customWidth="1" min="13" max="13" width="9.75"/>
    <col customWidth="1" min="14" max="14" width="7.25"/>
    <col customWidth="1" min="15" max="15" width="6.63"/>
    <col customWidth="1" min="16" max="16" width="8.13"/>
    <col customWidth="1" min="17" max="17" width="3.75"/>
    <col customWidth="1" min="18" max="18" width="8.13"/>
    <col customWidth="1" min="19" max="19" width="3.75"/>
    <col customWidth="1" min="20" max="20" width="8.13"/>
    <col customWidth="1" min="21" max="21" width="4.25"/>
    <col customWidth="1" min="22" max="24" width="3.38"/>
    <col customWidth="1" min="25" max="27" width="4.25"/>
  </cols>
  <sheetData>
    <row r="1">
      <c r="A1" s="5" t="s">
        <v>1289</v>
      </c>
      <c r="B1" s="22" t="s">
        <v>9</v>
      </c>
      <c r="C1" s="23" t="s">
        <v>1290</v>
      </c>
      <c r="D1" s="6" t="s">
        <v>11</v>
      </c>
      <c r="E1" s="23" t="s">
        <v>1291</v>
      </c>
      <c r="F1" s="6" t="s">
        <v>13</v>
      </c>
      <c r="G1" s="23" t="s">
        <v>1292</v>
      </c>
      <c r="H1" s="6" t="s">
        <v>15</v>
      </c>
      <c r="I1" s="8">
        <v>45560.0</v>
      </c>
      <c r="J1" s="6" t="s">
        <v>16</v>
      </c>
      <c r="K1" s="9" t="s">
        <v>1293</v>
      </c>
      <c r="L1" s="6" t="s">
        <v>18</v>
      </c>
      <c r="M1" s="9" t="s">
        <v>19</v>
      </c>
      <c r="N1" s="6" t="s">
        <v>20</v>
      </c>
      <c r="O1" s="9">
        <f>COUNTA(A4:A3228)</f>
        <v>3225</v>
      </c>
    </row>
    <row r="2">
      <c r="A2" s="10" t="s">
        <v>21</v>
      </c>
      <c r="B2" s="10" t="s">
        <v>22</v>
      </c>
      <c r="C2" s="10">
        <f>COUNTIF(B4:B3485,"YES")</f>
        <v>1064</v>
      </c>
      <c r="D2" s="10" t="s">
        <v>23</v>
      </c>
      <c r="E2" s="10">
        <f>COUNTIF(C4:C3485,"1")</f>
        <v>773</v>
      </c>
      <c r="F2" s="10" t="s">
        <v>24</v>
      </c>
      <c r="G2" s="10">
        <f>COUNTIF(C4:C3485,"2")</f>
        <v>132</v>
      </c>
      <c r="H2" s="10" t="s">
        <v>25</v>
      </c>
      <c r="I2" s="11">
        <f>COUNTIF(C4:C3485,"3")</f>
        <v>91</v>
      </c>
      <c r="J2" s="10" t="s">
        <v>26</v>
      </c>
      <c r="K2" s="12">
        <f>COUNTIF(C4:C3485,"4")</f>
        <v>56</v>
      </c>
      <c r="L2" s="10" t="s">
        <v>27</v>
      </c>
      <c r="M2" s="12">
        <f>COUNTIF(C4:C3485,"5")</f>
        <v>12</v>
      </c>
      <c r="N2" s="11" t="s">
        <v>1294</v>
      </c>
      <c r="O2" s="12">
        <f>COUNTIF(C4:C3485,"6")</f>
        <v>0</v>
      </c>
      <c r="P2" s="10" t="s">
        <v>28</v>
      </c>
      <c r="Q2" s="12">
        <f>G2+I2+K2+M2+O2</f>
        <v>291</v>
      </c>
    </row>
    <row r="3">
      <c r="A3" s="1" t="s">
        <v>29</v>
      </c>
      <c r="B3" s="1" t="s">
        <v>30</v>
      </c>
      <c r="C3" s="1" t="s">
        <v>31</v>
      </c>
      <c r="D3" s="1" t="s">
        <v>1295</v>
      </c>
      <c r="E3" s="1" t="s">
        <v>1296</v>
      </c>
      <c r="F3" s="1" t="s">
        <v>1297</v>
      </c>
      <c r="G3" s="1" t="s">
        <v>1298</v>
      </c>
      <c r="H3" s="1" t="s">
        <v>1299</v>
      </c>
      <c r="I3" s="1" t="s">
        <v>1300</v>
      </c>
      <c r="J3" s="11" t="s">
        <v>1301</v>
      </c>
      <c r="K3" s="12">
        <f>COUNTIF(D4:J3485,"1")</f>
        <v>289</v>
      </c>
      <c r="L3" s="11" t="s">
        <v>1302</v>
      </c>
      <c r="M3" s="12">
        <f>COUNTIF(D4:J3485,"2")</f>
        <v>324</v>
      </c>
      <c r="N3" s="11" t="s">
        <v>1303</v>
      </c>
      <c r="O3" s="12">
        <f>COUNTIF(D4:J3485,"9")</f>
        <v>310</v>
      </c>
      <c r="P3" s="11" t="s">
        <v>1304</v>
      </c>
      <c r="Q3" s="12">
        <f>COUNTIF(D4:J3485,"10")</f>
        <v>105</v>
      </c>
      <c r="R3" s="11" t="s">
        <v>1305</v>
      </c>
      <c r="S3" s="12">
        <f>COUNTIF(D4:J3485,"13")</f>
        <v>381</v>
      </c>
      <c r="T3" s="11" t="s">
        <v>1306</v>
      </c>
      <c r="U3" s="12">
        <f>COUNTIF(D4:J3485,"15")</f>
        <v>185</v>
      </c>
    </row>
    <row r="4">
      <c r="A4" s="4" t="s">
        <v>1307</v>
      </c>
      <c r="B4" s="13" t="s">
        <v>43</v>
      </c>
      <c r="D4" s="3"/>
      <c r="E4" s="3"/>
      <c r="F4" s="3"/>
      <c r="G4" s="3"/>
      <c r="H4" s="3"/>
      <c r="I4" s="3"/>
      <c r="L4" s="4" t="s">
        <v>44</v>
      </c>
    </row>
    <row r="5">
      <c r="A5" s="4" t="s">
        <v>1308</v>
      </c>
      <c r="B5" s="13" t="s">
        <v>43</v>
      </c>
      <c r="D5" s="3"/>
      <c r="E5" s="3"/>
      <c r="F5" s="3"/>
      <c r="G5" s="3"/>
      <c r="H5" s="3"/>
      <c r="I5" s="3"/>
      <c r="L5" s="14" t="str">
        <f t="array" ref="L5:Q26">UNIQUE(D4:I3228)</f>
        <v/>
      </c>
      <c r="M5" s="3"/>
      <c r="N5" s="3"/>
      <c r="O5" s="3"/>
      <c r="P5" s="3"/>
      <c r="Q5" s="3"/>
    </row>
    <row r="6">
      <c r="A6" s="4" t="s">
        <v>1309</v>
      </c>
      <c r="B6" s="13" t="s">
        <v>43</v>
      </c>
      <c r="D6" s="3"/>
      <c r="E6" s="3"/>
      <c r="F6" s="3"/>
      <c r="G6" s="3"/>
      <c r="H6" s="3"/>
      <c r="I6" s="3"/>
      <c r="L6" s="3"/>
      <c r="M6" s="3"/>
      <c r="N6" s="3"/>
      <c r="O6" s="3">
        <v>10.0</v>
      </c>
      <c r="P6" s="3"/>
      <c r="Q6" s="3"/>
      <c r="R6" s="16">
        <f t="array" ref="R6">COUNTIF($D$4:$D$3228&amp;"|"&amp;$E$4:$E$3228&amp;"|"&amp;$F$4:$F$3228&amp;"|"&amp;$G$4:$G$3228&amp;"|"&amp;$H$4:$H$3228&amp;"|"&amp;$I$4:$I$3228,$L6&amp;"|"&amp;$M6&amp;"|"&amp;$N6&amp;"|"&amp;$O6&amp;"|"&amp;$P6&amp;"|"&amp;$Q6)</f>
        <v>105</v>
      </c>
      <c r="V6" s="4" t="s">
        <v>1295</v>
      </c>
      <c r="W6" s="4" t="s">
        <v>1296</v>
      </c>
      <c r="X6" s="4" t="s">
        <v>1297</v>
      </c>
      <c r="Y6" s="4" t="s">
        <v>1298</v>
      </c>
      <c r="Z6" s="4" t="s">
        <v>1299</v>
      </c>
      <c r="AA6" s="4" t="s">
        <v>1300</v>
      </c>
      <c r="AB6" s="4"/>
      <c r="AC6" s="4"/>
      <c r="AD6" s="4"/>
      <c r="AE6" s="4"/>
      <c r="AF6" s="4"/>
      <c r="AG6" s="4"/>
    </row>
    <row r="7">
      <c r="A7" s="4" t="s">
        <v>1310</v>
      </c>
      <c r="B7" s="13" t="s">
        <v>43</v>
      </c>
      <c r="D7" s="3"/>
      <c r="E7" s="3"/>
      <c r="F7" s="3"/>
      <c r="G7" s="3"/>
      <c r="H7" s="3"/>
      <c r="I7" s="3"/>
      <c r="L7" s="3"/>
      <c r="M7" s="3"/>
      <c r="N7" s="3">
        <v>9.0</v>
      </c>
      <c r="O7" s="3"/>
      <c r="P7" s="3"/>
      <c r="Q7" s="3"/>
      <c r="R7" s="16">
        <f t="array" ref="R7">COUNTIF($D$4:$D$3228&amp;"|"&amp;$E$4:$E$3228&amp;"|"&amp;$F$4:$F$3228&amp;"|"&amp;$G$4:$G$3228&amp;"|"&amp;$H$4:$H$3228&amp;"|"&amp;$I$4:$I$3228,$L7&amp;"|"&amp;$M7&amp;"|"&amp;$N7&amp;"|"&amp;$O7&amp;"|"&amp;$P7&amp;"|"&amp;$Q7)</f>
        <v>123</v>
      </c>
      <c r="U7" s="4" t="s">
        <v>1295</v>
      </c>
      <c r="V7" s="17"/>
      <c r="W7" s="3">
        <f t="array" ref="W7">SUM((MMULT(--(L6:Q26=1),TRANSPOSE(COLUMN(L6:Q6)^0))&gt;0)*(MMULT(--(L6:Q26=2),TRANSPOSE(COLUMN(L6:Q6)^0))&gt;0)*R6:R26)</f>
        <v>14</v>
      </c>
      <c r="X7" s="3">
        <f t="array" ref="X7">SUM((MMULT(--(L6:Q26=1),TRANSPOSE(COLUMN(L6:Q6)^0))&gt;0)*(MMULT(--(L6:Q26=9),TRANSPOSE(COLUMN(L6:Q6)^0))&gt;0)*R6:R26)</f>
        <v>38</v>
      </c>
      <c r="Y7" s="3">
        <f t="array" ref="Y7">SUM((MMULT(--(L6:Q26=1),TRANSPOSE(COLUMN(L6:Q6)^0))&gt;0)*(MMULT(--(L6:Q26=10),TRANSPOSE(COLUMN(L6:Q6)^0))&gt;0)*R6:R26)</f>
        <v>0</v>
      </c>
      <c r="Z7" s="3">
        <f t="array" ref="Z7">SUM((MMULT(--(L6:Q26=1),TRANSPOSE(COLUMN(L6:Q6)^0))&gt;0)*(MMULT(--(L6:Q26=13),TRANSPOSE(COLUMN(L6:Q6)^0))&gt;0)*R6:R26)</f>
        <v>83</v>
      </c>
      <c r="AA7" s="3">
        <f t="array" ref="AA7">SUM((MMULT(--(L6:Q26=1),TRANSPOSE(COLUMN(L6:Q6)^0))&gt;0)*(MMULT(--(L6:Q26=15),TRANSPOSE(COLUMN(L6:Q6)^0))&gt;0)*R6:R26)</f>
        <v>84</v>
      </c>
    </row>
    <row r="8">
      <c r="A8" s="4" t="s">
        <v>1311</v>
      </c>
      <c r="B8" s="13" t="s">
        <v>43</v>
      </c>
      <c r="D8" s="3"/>
      <c r="E8" s="3"/>
      <c r="F8" s="3"/>
      <c r="G8" s="3"/>
      <c r="H8" s="3"/>
      <c r="I8" s="3"/>
      <c r="L8" s="3"/>
      <c r="M8" s="3"/>
      <c r="N8" s="3">
        <v>9.0</v>
      </c>
      <c r="O8" s="3"/>
      <c r="P8" s="3">
        <v>13.0</v>
      </c>
      <c r="Q8" s="3"/>
      <c r="R8" s="16">
        <f t="array" ref="R8">COUNTIF($D$4:$D$3228&amp;"|"&amp;$E$4:$E$3228&amp;"|"&amp;$F$4:$F$3228&amp;"|"&amp;$G$4:$G$3228&amp;"|"&amp;$H$4:$H$3228&amp;"|"&amp;$I$4:$I$3228,$L8&amp;"|"&amp;$M8&amp;"|"&amp;$N8&amp;"|"&amp;$O8&amp;"|"&amp;$P8&amp;"|"&amp;$Q8)</f>
        <v>47</v>
      </c>
      <c r="U8" s="4" t="s">
        <v>1296</v>
      </c>
      <c r="V8" s="17"/>
      <c r="W8" s="17"/>
      <c r="X8" s="3">
        <f t="array" ref="X8">SUM((MMULT(--(L6:Q26=2),TRANSPOSE(COLUMN(L6:Q6)^0))&gt;0)*(MMULT(--(L6:Q26=9),TRANSPOSE(COLUMN(L6:Q6)^0))&gt;0)*R6:R26)</f>
        <v>98</v>
      </c>
      <c r="Y8" s="3">
        <f t="array" ref="Y8">SUM((MMULT(--(L6:Q26=2),TRANSPOSE(COLUMN(L6:Q6)^0))&gt;0)*(MMULT(--(L6:Q26=10),TRANSPOSE(COLUMN(L6:Q6)^0))&gt;0)*R6:R26)</f>
        <v>0</v>
      </c>
      <c r="Z8" s="3">
        <f t="array" ref="Z8">SUM((MMULT(--(L6:Q26=2),TRANSPOSE(COLUMN(L6:Q6)^0))&gt;0)*(MMULT(--(L6:Q26=13),TRANSPOSE(COLUMN(L6:Q6)^0))&gt;0)*R6:R26)</f>
        <v>125</v>
      </c>
      <c r="AA8" s="3">
        <f t="array" ref="AA8">SUM((MMULT(--(L6:Q26=2),TRANSPOSE(COLUMN(L6:Q6)^0))&gt;0)*(MMULT(--(L6:Q26=15),TRANSPOSE(COLUMN(L6:Q6)^0))&gt;0)*R6:R26)</f>
        <v>45</v>
      </c>
    </row>
    <row r="9">
      <c r="A9" s="4" t="s">
        <v>1312</v>
      </c>
      <c r="B9" s="13" t="s">
        <v>43</v>
      </c>
      <c r="D9" s="3"/>
      <c r="E9" s="3"/>
      <c r="F9" s="3"/>
      <c r="G9" s="3"/>
      <c r="H9" s="3"/>
      <c r="I9" s="3"/>
      <c r="L9" s="3"/>
      <c r="M9" s="3"/>
      <c r="N9" s="3">
        <v>9.0</v>
      </c>
      <c r="O9" s="3"/>
      <c r="P9" s="3">
        <v>13.0</v>
      </c>
      <c r="Q9" s="3">
        <v>15.0</v>
      </c>
      <c r="R9" s="16">
        <f t="array" ref="R9">COUNTIF($D$4:$D$3228&amp;"|"&amp;$E$4:$E$3228&amp;"|"&amp;$F$4:$F$3228&amp;"|"&amp;$G$4:$G$3228&amp;"|"&amp;$H$4:$H$3228&amp;"|"&amp;$I$4:$I$3228,$L9&amp;"|"&amp;$M9&amp;"|"&amp;$N9&amp;"|"&amp;$O9&amp;"|"&amp;$P9&amp;"|"&amp;$Q9)</f>
        <v>16</v>
      </c>
      <c r="U9" s="4" t="s">
        <v>1297</v>
      </c>
      <c r="V9" s="17"/>
      <c r="W9" s="17"/>
      <c r="X9" s="17"/>
      <c r="Y9" s="3">
        <f t="array" ref="Y9">SUM((MMULT(--(L6:Q26=9),TRANSPOSE(COLUMN(L6:Q6)^0))&gt;0)*(MMULT(--(L6:Q26=10),TRANSPOSE(COLUMN(L6:Q6)^0))&gt;0)*R6:R26)</f>
        <v>0</v>
      </c>
      <c r="Z9" s="3">
        <f t="array" ref="Z9">SUM((MMULT(--(L6:Q26=9),TRANSPOSE(COLUMN(L6:Q6)^0))&gt;0)*(MMULT(--(L6:Q26=13),TRANSPOSE(COLUMN(L6:Q6)^0))&gt;0)*R6:R26)</f>
        <v>182</v>
      </c>
      <c r="AA9" s="3">
        <f t="array" ref="AA9">SUM((MMULT(--(L6:Q26=9),TRANSPOSE(COLUMN(L6:Q6)^0))&gt;0)*(MMULT(--(L6:Q26=15),TRANSPOSE(COLUMN(L6:Q6)^0))&gt;0)*R6:R26)</f>
        <v>83</v>
      </c>
    </row>
    <row r="10">
      <c r="A10" s="4" t="s">
        <v>1313</v>
      </c>
      <c r="B10" s="13" t="s">
        <v>43</v>
      </c>
      <c r="D10" s="3"/>
      <c r="E10" s="3"/>
      <c r="F10" s="3"/>
      <c r="G10" s="3"/>
      <c r="H10" s="3"/>
      <c r="I10" s="3"/>
      <c r="L10" s="3">
        <v>1.0</v>
      </c>
      <c r="M10" s="3"/>
      <c r="N10" s="3">
        <v>9.0</v>
      </c>
      <c r="O10" s="3"/>
      <c r="P10" s="3">
        <v>13.0</v>
      </c>
      <c r="Q10" s="3">
        <v>15.0</v>
      </c>
      <c r="R10" s="16">
        <f t="array" ref="R10">COUNTIF($D$4:$D$3228&amp;"|"&amp;$E$4:$E$3228&amp;"|"&amp;$F$4:$F$3228&amp;"|"&amp;$G$4:$G$3228&amp;"|"&amp;$H$4:$H$3228&amp;"|"&amp;$I$4:$I$3228,$L10&amp;"|"&amp;$M10&amp;"|"&amp;$N10&amp;"|"&amp;$O10&amp;"|"&amp;$P10&amp;"|"&amp;$Q10)</f>
        <v>23</v>
      </c>
      <c r="U10" s="4" t="s">
        <v>1298</v>
      </c>
      <c r="V10" s="17"/>
      <c r="W10" s="17"/>
      <c r="X10" s="17"/>
      <c r="Y10" s="17"/>
      <c r="Z10" s="3">
        <f t="array" ref="Z10">SUM((MMULT(--(L6:Q26=10),TRANSPOSE(COLUMN(L6:Q6)^0))&gt;0)*(MMULT(--(L6:Q26=13),TRANSPOSE(COLUMN(L6:Q6)^0))&gt;0)*R6:R26)</f>
        <v>0</v>
      </c>
      <c r="AA10" s="3">
        <f t="array" ref="AA10">SUM((MMULT(--(L6:Q26=10),TRANSPOSE(COLUMN(L6:Q6)^0))&gt;0)*(MMULT(--(L6:Q26=15),TRANSPOSE(COLUMN(L6:Q6)^0))&gt;0)*R6:R26)</f>
        <v>0</v>
      </c>
    </row>
    <row r="11">
      <c r="A11" s="4" t="s">
        <v>1314</v>
      </c>
      <c r="B11" s="13" t="s">
        <v>43</v>
      </c>
      <c r="D11" s="3"/>
      <c r="E11" s="3"/>
      <c r="F11" s="3"/>
      <c r="G11" s="3"/>
      <c r="H11" s="3"/>
      <c r="I11" s="3"/>
      <c r="L11" s="3">
        <v>1.0</v>
      </c>
      <c r="M11" s="3"/>
      <c r="N11" s="3"/>
      <c r="O11" s="3"/>
      <c r="P11" s="3"/>
      <c r="Q11" s="3">
        <v>15.0</v>
      </c>
      <c r="R11" s="16">
        <f t="array" ref="R11">COUNTIF($D$4:$D$3228&amp;"|"&amp;$E$4:$E$3228&amp;"|"&amp;$F$4:$F$3228&amp;"|"&amp;$G$4:$G$3228&amp;"|"&amp;$H$4:$H$3228&amp;"|"&amp;$I$4:$I$3228,$L11&amp;"|"&amp;$M11&amp;"|"&amp;$N11&amp;"|"&amp;$O11&amp;"|"&amp;$P11&amp;"|"&amp;$Q11)</f>
        <v>26</v>
      </c>
      <c r="U11" s="4" t="s">
        <v>1299</v>
      </c>
      <c r="V11" s="17"/>
      <c r="W11" s="17"/>
      <c r="X11" s="17"/>
      <c r="Y11" s="17"/>
      <c r="Z11" s="17"/>
      <c r="AA11" s="3">
        <f t="array" ref="AA11">SUM((MMULT(--(L6:Q26=13),TRANSPOSE(COLUMN(L6:Q6)^0))&gt;0)*(MMULT(--(L6:Q26=15),TRANSPOSE(COLUMN(L6:Q6)^0))&gt;0)*R6:R26)</f>
        <v>109</v>
      </c>
    </row>
    <row r="12">
      <c r="A12" s="4" t="s">
        <v>1315</v>
      </c>
      <c r="B12" s="13" t="s">
        <v>43</v>
      </c>
      <c r="D12" s="3"/>
      <c r="E12" s="3"/>
      <c r="F12" s="3"/>
      <c r="G12" s="3"/>
      <c r="H12" s="3"/>
      <c r="I12" s="3"/>
      <c r="L12" s="3">
        <v>1.0</v>
      </c>
      <c r="M12" s="3"/>
      <c r="N12" s="3"/>
      <c r="O12" s="3"/>
      <c r="P12" s="3"/>
      <c r="Q12" s="3"/>
      <c r="R12" s="16">
        <f t="array" ref="R12">COUNTIF($D$4:$D$3228&amp;"|"&amp;$E$4:$E$3228&amp;"|"&amp;$F$4:$F$3228&amp;"|"&amp;$G$4:$G$3228&amp;"|"&amp;$H$4:$H$3228&amp;"|"&amp;$I$4:$I$3228,$L12&amp;"|"&amp;$M12&amp;"|"&amp;$N12&amp;"|"&amp;$O12&amp;"|"&amp;$P12&amp;"|"&amp;$Q12)</f>
        <v>180</v>
      </c>
      <c r="U12" s="4" t="s">
        <v>1300</v>
      </c>
      <c r="V12" s="17"/>
      <c r="W12" s="17"/>
      <c r="X12" s="17"/>
      <c r="Y12" s="17"/>
      <c r="Z12" s="17"/>
      <c r="AA12" s="17"/>
    </row>
    <row r="13">
      <c r="A13" s="4" t="s">
        <v>1316</v>
      </c>
      <c r="B13" s="13" t="s">
        <v>43</v>
      </c>
      <c r="D13" s="3"/>
      <c r="E13" s="3"/>
      <c r="F13" s="3"/>
      <c r="G13" s="3"/>
      <c r="H13" s="3"/>
      <c r="I13" s="3"/>
      <c r="L13" s="3"/>
      <c r="M13" s="3"/>
      <c r="N13" s="3"/>
      <c r="O13" s="3"/>
      <c r="P13" s="3"/>
      <c r="Q13" s="3">
        <v>15.0</v>
      </c>
      <c r="R13" s="16">
        <f t="array" ref="R13">COUNTIF($D$4:$D$3228&amp;"|"&amp;$E$4:$E$3228&amp;"|"&amp;$F$4:$F$3228&amp;"|"&amp;$G$4:$G$3228&amp;"|"&amp;$H$4:$H$3228&amp;"|"&amp;$I$4:$I$3228,$L13&amp;"|"&amp;$M13&amp;"|"&amp;$N13&amp;"|"&amp;$O13&amp;"|"&amp;$P13&amp;"|"&amp;$Q13)</f>
        <v>50</v>
      </c>
    </row>
    <row r="14">
      <c r="A14" s="4" t="s">
        <v>1317</v>
      </c>
      <c r="B14" s="13" t="s">
        <v>43</v>
      </c>
      <c r="D14" s="3"/>
      <c r="E14" s="3"/>
      <c r="F14" s="3"/>
      <c r="G14" s="3"/>
      <c r="H14" s="3"/>
      <c r="I14" s="3"/>
      <c r="L14" s="3">
        <v>1.0</v>
      </c>
      <c r="M14" s="3"/>
      <c r="N14" s="3"/>
      <c r="O14" s="3"/>
      <c r="P14" s="3">
        <v>13.0</v>
      </c>
      <c r="Q14" s="3">
        <v>15.0</v>
      </c>
      <c r="R14" s="16">
        <f t="array" ref="R14">COUNTIF($D$4:$D$3228&amp;"|"&amp;$E$4:$E$3228&amp;"|"&amp;$F$4:$F$3228&amp;"|"&amp;$G$4:$G$3228&amp;"|"&amp;$H$4:$H$3228&amp;"|"&amp;$I$4:$I$3228,$L14&amp;"|"&amp;$M14&amp;"|"&amp;$N14&amp;"|"&amp;$O14&amp;"|"&amp;$P14&amp;"|"&amp;$Q14)</f>
        <v>22</v>
      </c>
    </row>
    <row r="15">
      <c r="A15" s="4" t="s">
        <v>1318</v>
      </c>
      <c r="B15" s="13" t="s">
        <v>43</v>
      </c>
      <c r="D15" s="3"/>
      <c r="E15" s="3"/>
      <c r="F15" s="3"/>
      <c r="G15" s="3"/>
      <c r="H15" s="3"/>
      <c r="I15" s="3"/>
      <c r="L15" s="3">
        <v>1.0</v>
      </c>
      <c r="M15" s="3">
        <v>2.0</v>
      </c>
      <c r="N15" s="3"/>
      <c r="O15" s="3"/>
      <c r="P15" s="3">
        <v>13.0</v>
      </c>
      <c r="Q15" s="3">
        <v>15.0</v>
      </c>
      <c r="R15" s="16">
        <f t="array" ref="R15">COUNTIF($D$4:$D$3228&amp;"|"&amp;$E$4:$E$3228&amp;"|"&amp;$F$4:$F$3228&amp;"|"&amp;$G$4:$G$3228&amp;"|"&amp;$H$4:$H$3228&amp;"|"&amp;$I$4:$I$3228,$L15&amp;"|"&amp;$M15&amp;"|"&amp;$N15&amp;"|"&amp;$O15&amp;"|"&amp;$P15&amp;"|"&amp;$Q15)</f>
        <v>1</v>
      </c>
    </row>
    <row r="16">
      <c r="A16" s="4" t="s">
        <v>1319</v>
      </c>
      <c r="B16" s="13" t="s">
        <v>43</v>
      </c>
      <c r="D16" s="3"/>
      <c r="E16" s="3"/>
      <c r="F16" s="3"/>
      <c r="G16" s="3"/>
      <c r="H16" s="3"/>
      <c r="I16" s="3"/>
      <c r="L16" s="3">
        <v>1.0</v>
      </c>
      <c r="M16" s="3">
        <v>2.0</v>
      </c>
      <c r="N16" s="3">
        <v>9.0</v>
      </c>
      <c r="O16" s="3"/>
      <c r="P16" s="3">
        <v>13.0</v>
      </c>
      <c r="Q16" s="3">
        <v>15.0</v>
      </c>
      <c r="R16" s="16">
        <f t="array" ref="R16">COUNTIF($D$4:$D$3228&amp;"|"&amp;$E$4:$E$3228&amp;"|"&amp;$F$4:$F$3228&amp;"|"&amp;$G$4:$G$3228&amp;"|"&amp;$H$4:$H$3228&amp;"|"&amp;$I$4:$I$3228,$L16&amp;"|"&amp;$M16&amp;"|"&amp;$N16&amp;"|"&amp;$O16&amp;"|"&amp;$P16&amp;"|"&amp;$Q16)</f>
        <v>12</v>
      </c>
    </row>
    <row r="17">
      <c r="A17" s="4" t="s">
        <v>1320</v>
      </c>
      <c r="B17" s="13" t="s">
        <v>43</v>
      </c>
      <c r="D17" s="3"/>
      <c r="E17" s="3"/>
      <c r="F17" s="3"/>
      <c r="G17" s="3"/>
      <c r="H17" s="3"/>
      <c r="I17" s="3"/>
      <c r="L17" s="3"/>
      <c r="M17" s="3">
        <v>2.0</v>
      </c>
      <c r="N17" s="3">
        <v>9.0</v>
      </c>
      <c r="O17" s="3"/>
      <c r="P17" s="3">
        <v>13.0</v>
      </c>
      <c r="Q17" s="3">
        <v>15.0</v>
      </c>
      <c r="R17" s="16">
        <f t="array" ref="R17">COUNTIF($D$4:$D$3228&amp;"|"&amp;$E$4:$E$3228&amp;"|"&amp;$F$4:$F$3228&amp;"|"&amp;$G$4:$G$3228&amp;"|"&amp;$H$4:$H$3228&amp;"|"&amp;$I$4:$I$3228,$L17&amp;"|"&amp;$M17&amp;"|"&amp;$N17&amp;"|"&amp;$O17&amp;"|"&amp;$P17&amp;"|"&amp;$Q17)</f>
        <v>32</v>
      </c>
    </row>
    <row r="18">
      <c r="A18" s="4" t="s">
        <v>1321</v>
      </c>
      <c r="B18" s="13" t="s">
        <v>43</v>
      </c>
      <c r="D18" s="3"/>
      <c r="E18" s="3"/>
      <c r="F18" s="3"/>
      <c r="G18" s="3"/>
      <c r="H18" s="3"/>
      <c r="I18" s="3"/>
      <c r="L18" s="3"/>
      <c r="M18" s="3">
        <v>2.0</v>
      </c>
      <c r="N18" s="3">
        <v>9.0</v>
      </c>
      <c r="O18" s="3"/>
      <c r="P18" s="3">
        <v>13.0</v>
      </c>
      <c r="Q18" s="3"/>
      <c r="R18" s="16">
        <f t="array" ref="R18">COUNTIF($D$4:$D$3228&amp;"|"&amp;$E$4:$E$3228&amp;"|"&amp;$F$4:$F$3228&amp;"|"&amp;$G$4:$G$3228&amp;"|"&amp;$H$4:$H$3228&amp;"|"&amp;$I$4:$I$3228,$L18&amp;"|"&amp;$M18&amp;"|"&amp;$N18&amp;"|"&amp;$O18&amp;"|"&amp;$P18&amp;"|"&amp;$Q18)</f>
        <v>49</v>
      </c>
    </row>
    <row r="19">
      <c r="A19" s="4" t="s">
        <v>1322</v>
      </c>
      <c r="B19" s="13" t="s">
        <v>43</v>
      </c>
      <c r="D19" s="3"/>
      <c r="E19" s="3"/>
      <c r="F19" s="3"/>
      <c r="G19" s="3"/>
      <c r="H19" s="3"/>
      <c r="I19" s="3"/>
      <c r="L19" s="3"/>
      <c r="M19" s="3">
        <v>2.0</v>
      </c>
      <c r="N19" s="3">
        <v>9.0</v>
      </c>
      <c r="O19" s="3"/>
      <c r="P19" s="3"/>
      <c r="Q19" s="3"/>
      <c r="R19" s="16">
        <f t="array" ref="R19">COUNTIF($D$4:$D$3228&amp;"|"&amp;$E$4:$E$3228&amp;"|"&amp;$F$4:$F$3228&amp;"|"&amp;$G$4:$G$3228&amp;"|"&amp;$H$4:$H$3228&amp;"|"&amp;$I$4:$I$3228,$L19&amp;"|"&amp;$M19&amp;"|"&amp;$N19&amp;"|"&amp;$O19&amp;"|"&amp;$P19&amp;"|"&amp;$Q19)</f>
        <v>5</v>
      </c>
    </row>
    <row r="20">
      <c r="A20" s="4" t="s">
        <v>1323</v>
      </c>
      <c r="B20" s="13" t="s">
        <v>43</v>
      </c>
      <c r="D20" s="3"/>
      <c r="E20" s="3"/>
      <c r="F20" s="3"/>
      <c r="G20" s="3"/>
      <c r="H20" s="3"/>
      <c r="I20" s="3"/>
      <c r="L20" s="3">
        <v>1.0</v>
      </c>
      <c r="M20" s="3"/>
      <c r="N20" s="3"/>
      <c r="O20" s="3"/>
      <c r="P20" s="3">
        <v>13.0</v>
      </c>
      <c r="Q20" s="3"/>
      <c r="R20" s="16">
        <f t="array" ref="R20">COUNTIF($D$4:$D$3228&amp;"|"&amp;$E$4:$E$3228&amp;"|"&amp;$F$4:$F$3228&amp;"|"&amp;$G$4:$G$3228&amp;"|"&amp;$H$4:$H$3228&amp;"|"&amp;$I$4:$I$3228,$L20&amp;"|"&amp;$M20&amp;"|"&amp;$N20&amp;"|"&amp;$O20&amp;"|"&amp;$P20&amp;"|"&amp;$Q20)</f>
        <v>21</v>
      </c>
    </row>
    <row r="21">
      <c r="A21" s="4" t="s">
        <v>1324</v>
      </c>
      <c r="B21" s="13" t="s">
        <v>43</v>
      </c>
      <c r="D21" s="3"/>
      <c r="E21" s="3"/>
      <c r="F21" s="3"/>
      <c r="G21" s="3"/>
      <c r="H21" s="3"/>
      <c r="I21" s="3"/>
      <c r="L21" s="3"/>
      <c r="M21" s="3"/>
      <c r="N21" s="3"/>
      <c r="O21" s="3"/>
      <c r="P21" s="3">
        <v>13.0</v>
      </c>
      <c r="Q21" s="3"/>
      <c r="R21" s="16">
        <f t="array" ref="R21">COUNTIF($D$4:$D$3228&amp;"|"&amp;$E$4:$E$3228&amp;"|"&amp;$F$4:$F$3228&amp;"|"&amp;$G$4:$G$3228&amp;"|"&amp;$H$4:$H$3228&amp;"|"&amp;$I$4:$I$3228,$L21&amp;"|"&amp;$M21&amp;"|"&amp;$N21&amp;"|"&amp;$O21&amp;"|"&amp;$P21&amp;"|"&amp;$Q21)</f>
        <v>121</v>
      </c>
    </row>
    <row r="22">
      <c r="A22" s="4" t="s">
        <v>1325</v>
      </c>
      <c r="B22" s="13" t="s">
        <v>43</v>
      </c>
      <c r="D22" s="3"/>
      <c r="E22" s="3"/>
      <c r="F22" s="3"/>
      <c r="G22" s="3"/>
      <c r="H22" s="3"/>
      <c r="I22" s="3"/>
      <c r="L22" s="3"/>
      <c r="M22" s="3">
        <v>2.0</v>
      </c>
      <c r="N22" s="3"/>
      <c r="O22" s="3"/>
      <c r="P22" s="3">
        <v>13.0</v>
      </c>
      <c r="Q22" s="3"/>
      <c r="R22" s="16">
        <f t="array" ref="R22">COUNTIF($D$4:$D$3228&amp;"|"&amp;$E$4:$E$3228&amp;"|"&amp;$F$4:$F$3228&amp;"|"&amp;$G$4:$G$3228&amp;"|"&amp;$H$4:$H$3228&amp;"|"&amp;$I$4:$I$3228,$L22&amp;"|"&amp;$M22&amp;"|"&amp;$N22&amp;"|"&amp;$O22&amp;"|"&amp;$P22&amp;"|"&amp;$Q22)</f>
        <v>30</v>
      </c>
    </row>
    <row r="23">
      <c r="A23" s="4" t="s">
        <v>1326</v>
      </c>
      <c r="B23" s="13" t="s">
        <v>43</v>
      </c>
      <c r="D23" s="3"/>
      <c r="E23" s="3"/>
      <c r="F23" s="3"/>
      <c r="G23" s="3"/>
      <c r="H23" s="3"/>
      <c r="I23" s="3"/>
      <c r="L23" s="3">
        <v>1.0</v>
      </c>
      <c r="M23" s="3">
        <v>2.0</v>
      </c>
      <c r="N23" s="3"/>
      <c r="O23" s="3"/>
      <c r="P23" s="3">
        <v>13.0</v>
      </c>
      <c r="Q23" s="3"/>
      <c r="R23" s="16">
        <f t="array" ref="R23">COUNTIF($D$4:$D$3228&amp;"|"&amp;$E$4:$E$3228&amp;"|"&amp;$F$4:$F$3228&amp;"|"&amp;$G$4:$G$3228&amp;"|"&amp;$H$4:$H$3228&amp;"|"&amp;$I$4:$I$3228,$L23&amp;"|"&amp;$M23&amp;"|"&amp;$N23&amp;"|"&amp;$O23&amp;"|"&amp;$P23&amp;"|"&amp;$Q23)</f>
        <v>1</v>
      </c>
    </row>
    <row r="24">
      <c r="A24" s="4" t="s">
        <v>1327</v>
      </c>
      <c r="B24" s="13" t="s">
        <v>43</v>
      </c>
      <c r="D24" s="3"/>
      <c r="E24" s="3"/>
      <c r="F24" s="3"/>
      <c r="G24" s="3"/>
      <c r="H24" s="3"/>
      <c r="I24" s="3"/>
      <c r="L24" s="3"/>
      <c r="M24" s="3"/>
      <c r="N24" s="3"/>
      <c r="O24" s="3"/>
      <c r="P24" s="3">
        <v>13.0</v>
      </c>
      <c r="Q24" s="3">
        <v>15.0</v>
      </c>
      <c r="R24" s="16">
        <f t="array" ref="R24">COUNTIF($D$4:$D$3228&amp;"|"&amp;$E$4:$E$3228&amp;"|"&amp;$F$4:$F$3228&amp;"|"&amp;$G$4:$G$3228&amp;"|"&amp;$H$4:$H$3228&amp;"|"&amp;$I$4:$I$3228,$L24&amp;"|"&amp;$M24&amp;"|"&amp;$N24&amp;"|"&amp;$O24&amp;"|"&amp;$P24&amp;"|"&amp;$Q24)</f>
        <v>3</v>
      </c>
    </row>
    <row r="25">
      <c r="A25" s="4" t="s">
        <v>1328</v>
      </c>
      <c r="B25" s="13" t="s">
        <v>43</v>
      </c>
      <c r="D25" s="3"/>
      <c r="E25" s="3"/>
      <c r="F25" s="3"/>
      <c r="G25" s="3"/>
      <c r="H25" s="3"/>
      <c r="I25" s="3"/>
      <c r="L25" s="3"/>
      <c r="M25" s="3">
        <v>2.0</v>
      </c>
      <c r="N25" s="3"/>
      <c r="O25" s="3"/>
      <c r="P25" s="3"/>
      <c r="Q25" s="3"/>
      <c r="R25" s="16">
        <f t="array" ref="R25">COUNTIF($D$4:$D$3228&amp;"|"&amp;$E$4:$E$3228&amp;"|"&amp;$F$4:$F$3228&amp;"|"&amp;$G$4:$G$3228&amp;"|"&amp;$H$4:$H$3228&amp;"|"&amp;$I$4:$I$3228,$L25&amp;"|"&amp;$M25&amp;"|"&amp;$N25&amp;"|"&amp;$O25&amp;"|"&amp;$P25&amp;"|"&amp;$Q25)</f>
        <v>194</v>
      </c>
    </row>
    <row r="26">
      <c r="A26" s="4" t="s">
        <v>1329</v>
      </c>
      <c r="B26" s="13" t="s">
        <v>43</v>
      </c>
      <c r="D26" s="3"/>
      <c r="E26" s="3"/>
      <c r="F26" s="3"/>
      <c r="G26" s="3"/>
      <c r="H26" s="3"/>
      <c r="I26" s="3"/>
      <c r="L26" s="3">
        <v>1.0</v>
      </c>
      <c r="M26" s="3"/>
      <c r="N26" s="3">
        <v>9.0</v>
      </c>
      <c r="O26" s="3"/>
      <c r="P26" s="3">
        <v>13.0</v>
      </c>
      <c r="Q26" s="3"/>
      <c r="R26" s="16">
        <f t="array" ref="R26">COUNTIF($D$4:$D$3228&amp;"|"&amp;$E$4:$E$3228&amp;"|"&amp;$F$4:$F$3228&amp;"|"&amp;$G$4:$G$3228&amp;"|"&amp;$H$4:$H$3228&amp;"|"&amp;$I$4:$I$3228,$L26&amp;"|"&amp;$M26&amp;"|"&amp;$N26&amp;"|"&amp;$O26&amp;"|"&amp;$P26&amp;"|"&amp;$Q26)</f>
        <v>3</v>
      </c>
    </row>
    <row r="27">
      <c r="A27" s="4" t="s">
        <v>1330</v>
      </c>
      <c r="B27" s="13" t="s">
        <v>43</v>
      </c>
      <c r="D27" s="3"/>
      <c r="E27" s="3"/>
      <c r="F27" s="3"/>
      <c r="G27" s="3"/>
      <c r="H27" s="3"/>
      <c r="I27" s="3"/>
      <c r="R27" s="18">
        <f>SUm(R6:R26)</f>
        <v>1064</v>
      </c>
    </row>
    <row r="28">
      <c r="A28" s="4" t="s">
        <v>1331</v>
      </c>
      <c r="B28" s="13" t="s">
        <v>43</v>
      </c>
      <c r="D28" s="3"/>
      <c r="E28" s="3"/>
      <c r="F28" s="3"/>
      <c r="G28" s="3"/>
      <c r="H28" s="3"/>
      <c r="I28" s="3"/>
      <c r="R28" s="3">
        <f>C2</f>
        <v>1064</v>
      </c>
    </row>
    <row r="29">
      <c r="A29" s="4" t="s">
        <v>1332</v>
      </c>
      <c r="B29" s="13" t="s">
        <v>43</v>
      </c>
      <c r="D29" s="3"/>
      <c r="E29" s="3"/>
      <c r="F29" s="3"/>
      <c r="G29" s="3"/>
      <c r="H29" s="3"/>
      <c r="I29" s="3"/>
    </row>
    <row r="30">
      <c r="A30" s="4" t="s">
        <v>1333</v>
      </c>
      <c r="B30" s="13" t="s">
        <v>43</v>
      </c>
      <c r="D30" s="3"/>
      <c r="E30" s="3"/>
      <c r="F30" s="3"/>
      <c r="G30" s="3"/>
      <c r="H30" s="3"/>
      <c r="I30" s="3"/>
    </row>
    <row r="31">
      <c r="A31" s="4" t="s">
        <v>1334</v>
      </c>
      <c r="B31" s="13" t="s">
        <v>43</v>
      </c>
      <c r="D31" s="3"/>
      <c r="E31" s="3"/>
      <c r="F31" s="3"/>
      <c r="G31" s="3"/>
      <c r="H31" s="3"/>
      <c r="I31" s="3"/>
    </row>
    <row r="32">
      <c r="A32" s="4" t="s">
        <v>1335</v>
      </c>
      <c r="B32" s="13" t="s">
        <v>43</v>
      </c>
      <c r="D32" s="3"/>
      <c r="E32" s="3"/>
      <c r="F32" s="3"/>
      <c r="G32" s="3"/>
      <c r="H32" s="3"/>
      <c r="I32" s="3"/>
    </row>
    <row r="33">
      <c r="A33" s="4" t="s">
        <v>1336</v>
      </c>
      <c r="B33" s="13" t="s">
        <v>43</v>
      </c>
      <c r="D33" s="3"/>
      <c r="E33" s="3"/>
      <c r="F33" s="3"/>
      <c r="G33" s="3"/>
      <c r="H33" s="3"/>
      <c r="I33" s="3"/>
    </row>
    <row r="34">
      <c r="A34" s="4" t="s">
        <v>1337</v>
      </c>
      <c r="B34" s="13" t="s">
        <v>43</v>
      </c>
      <c r="D34" s="3"/>
      <c r="E34" s="3"/>
      <c r="F34" s="3"/>
      <c r="G34" s="3"/>
      <c r="H34" s="3"/>
      <c r="I34" s="3"/>
    </row>
    <row r="35">
      <c r="A35" s="4" t="s">
        <v>1338</v>
      </c>
      <c r="B35" s="13" t="s">
        <v>43</v>
      </c>
      <c r="D35" s="3"/>
      <c r="E35" s="3"/>
      <c r="F35" s="3"/>
      <c r="G35" s="3"/>
      <c r="H35" s="3"/>
      <c r="I35" s="3"/>
    </row>
    <row r="36">
      <c r="A36" s="4" t="s">
        <v>1339</v>
      </c>
      <c r="B36" s="13" t="s">
        <v>43</v>
      </c>
      <c r="D36" s="3"/>
      <c r="E36" s="3"/>
      <c r="F36" s="3"/>
      <c r="G36" s="3"/>
      <c r="H36" s="3"/>
      <c r="I36" s="3"/>
    </row>
    <row r="37">
      <c r="A37" s="4" t="s">
        <v>1340</v>
      </c>
      <c r="B37" s="13" t="s">
        <v>43</v>
      </c>
      <c r="D37" s="3"/>
      <c r="E37" s="3"/>
      <c r="F37" s="3"/>
      <c r="G37" s="3"/>
      <c r="H37" s="3"/>
      <c r="I37" s="3"/>
    </row>
    <row r="38">
      <c r="A38" s="4" t="s">
        <v>1341</v>
      </c>
      <c r="B38" s="13" t="s">
        <v>43</v>
      </c>
      <c r="D38" s="3"/>
      <c r="E38" s="3"/>
      <c r="F38" s="3"/>
      <c r="G38" s="3"/>
      <c r="H38" s="3"/>
      <c r="I38" s="3"/>
    </row>
    <row r="39">
      <c r="A39" s="4" t="s">
        <v>1342</v>
      </c>
      <c r="B39" s="13" t="s">
        <v>43</v>
      </c>
      <c r="D39" s="3"/>
      <c r="E39" s="3"/>
      <c r="F39" s="3"/>
      <c r="G39" s="3"/>
      <c r="H39" s="3"/>
      <c r="I39" s="3"/>
    </row>
    <row r="40">
      <c r="A40" s="4" t="s">
        <v>1343</v>
      </c>
      <c r="B40" s="13" t="s">
        <v>43</v>
      </c>
      <c r="D40" s="3"/>
      <c r="E40" s="3"/>
      <c r="F40" s="3"/>
      <c r="G40" s="3"/>
      <c r="H40" s="3"/>
      <c r="I40" s="3"/>
    </row>
    <row r="41">
      <c r="A41" s="4" t="s">
        <v>1344</v>
      </c>
      <c r="B41" s="13" t="s">
        <v>43</v>
      </c>
      <c r="D41" s="3"/>
      <c r="E41" s="3"/>
      <c r="F41" s="3"/>
      <c r="G41" s="3"/>
      <c r="H41" s="3"/>
      <c r="I41" s="3"/>
    </row>
    <row r="42">
      <c r="A42" s="4" t="s">
        <v>1345</v>
      </c>
      <c r="B42" s="13" t="s">
        <v>43</v>
      </c>
      <c r="D42" s="3"/>
      <c r="E42" s="3"/>
      <c r="F42" s="3"/>
      <c r="G42" s="3"/>
      <c r="H42" s="3"/>
      <c r="I42" s="3"/>
    </row>
    <row r="43">
      <c r="A43" s="4" t="s">
        <v>1346</v>
      </c>
      <c r="B43" s="13" t="s">
        <v>43</v>
      </c>
      <c r="D43" s="3"/>
      <c r="E43" s="3"/>
      <c r="F43" s="3"/>
      <c r="G43" s="3"/>
      <c r="H43" s="3"/>
      <c r="I43" s="3"/>
    </row>
    <row r="44">
      <c r="A44" s="4" t="s">
        <v>1347</v>
      </c>
      <c r="B44" s="13" t="s">
        <v>43</v>
      </c>
      <c r="D44" s="3"/>
      <c r="E44" s="3"/>
      <c r="F44" s="3"/>
      <c r="G44" s="3"/>
      <c r="H44" s="3"/>
      <c r="I44" s="3"/>
    </row>
    <row r="45">
      <c r="A45" s="4" t="s">
        <v>1348</v>
      </c>
      <c r="B45" s="13" t="s">
        <v>43</v>
      </c>
      <c r="D45" s="3"/>
      <c r="E45" s="3"/>
      <c r="F45" s="3"/>
      <c r="G45" s="3"/>
      <c r="H45" s="3"/>
      <c r="I45" s="3"/>
    </row>
    <row r="46">
      <c r="A46" s="4" t="s">
        <v>1349</v>
      </c>
      <c r="B46" s="13" t="s">
        <v>43</v>
      </c>
      <c r="D46" s="3"/>
      <c r="E46" s="3"/>
      <c r="F46" s="3"/>
      <c r="G46" s="3"/>
      <c r="H46" s="3"/>
      <c r="I46" s="3"/>
    </row>
    <row r="47">
      <c r="A47" s="4" t="s">
        <v>1350</v>
      </c>
      <c r="B47" s="13" t="s">
        <v>43</v>
      </c>
      <c r="D47" s="3"/>
      <c r="E47" s="3"/>
      <c r="F47" s="3"/>
      <c r="G47" s="3"/>
      <c r="H47" s="3"/>
      <c r="I47" s="3"/>
    </row>
    <row r="48">
      <c r="A48" s="4" t="s">
        <v>1351</v>
      </c>
      <c r="B48" s="13" t="s">
        <v>43</v>
      </c>
      <c r="D48" s="3"/>
      <c r="E48" s="3"/>
      <c r="F48" s="3"/>
      <c r="G48" s="3"/>
      <c r="H48" s="3"/>
      <c r="I48" s="3"/>
    </row>
    <row r="49">
      <c r="A49" s="4" t="s">
        <v>1352</v>
      </c>
      <c r="B49" s="13" t="s">
        <v>43</v>
      </c>
      <c r="D49" s="3"/>
      <c r="E49" s="3"/>
      <c r="F49" s="3"/>
      <c r="G49" s="3"/>
      <c r="H49" s="3"/>
      <c r="I49" s="3"/>
    </row>
    <row r="50">
      <c r="A50" s="4" t="s">
        <v>1353</v>
      </c>
      <c r="B50" s="13" t="s">
        <v>43</v>
      </c>
      <c r="D50" s="3"/>
      <c r="E50" s="3"/>
      <c r="F50" s="3"/>
      <c r="G50" s="3"/>
      <c r="H50" s="3"/>
      <c r="I50" s="3"/>
    </row>
    <row r="51">
      <c r="A51" s="4" t="s">
        <v>1354</v>
      </c>
      <c r="B51" s="13" t="s">
        <v>43</v>
      </c>
      <c r="D51" s="3"/>
      <c r="E51" s="3"/>
      <c r="F51" s="3"/>
      <c r="G51" s="3"/>
      <c r="H51" s="3"/>
      <c r="I51" s="3"/>
    </row>
    <row r="52">
      <c r="A52" s="4" t="s">
        <v>1355</v>
      </c>
      <c r="B52" s="13" t="s">
        <v>43</v>
      </c>
      <c r="D52" s="3"/>
      <c r="E52" s="3"/>
      <c r="F52" s="3"/>
      <c r="G52" s="3"/>
      <c r="H52" s="3"/>
      <c r="I52" s="3"/>
    </row>
    <row r="53">
      <c r="A53" s="4" t="s">
        <v>1356</v>
      </c>
      <c r="B53" s="13" t="s">
        <v>43</v>
      </c>
      <c r="D53" s="3"/>
      <c r="E53" s="3"/>
      <c r="F53" s="3"/>
      <c r="G53" s="3"/>
      <c r="H53" s="3"/>
      <c r="I53" s="3"/>
    </row>
    <row r="54">
      <c r="A54" s="4" t="s">
        <v>1357</v>
      </c>
      <c r="B54" s="13" t="s">
        <v>43</v>
      </c>
      <c r="D54" s="3"/>
      <c r="E54" s="3"/>
      <c r="F54" s="3"/>
      <c r="G54" s="3"/>
      <c r="H54" s="3"/>
      <c r="I54" s="3"/>
    </row>
    <row r="55">
      <c r="A55" s="4" t="s">
        <v>1358</v>
      </c>
      <c r="B55" s="13" t="s">
        <v>43</v>
      </c>
      <c r="D55" s="3"/>
      <c r="E55" s="3"/>
      <c r="F55" s="3"/>
      <c r="G55" s="3"/>
      <c r="H55" s="3"/>
      <c r="I55" s="3"/>
    </row>
    <row r="56">
      <c r="A56" s="4" t="s">
        <v>1359</v>
      </c>
      <c r="B56" s="13" t="s">
        <v>43</v>
      </c>
      <c r="D56" s="3"/>
      <c r="E56" s="3"/>
      <c r="F56" s="3"/>
      <c r="G56" s="3"/>
      <c r="H56" s="3"/>
      <c r="I56" s="3"/>
    </row>
    <row r="57">
      <c r="A57" s="4" t="s">
        <v>1360</v>
      </c>
      <c r="B57" s="13" t="s">
        <v>43</v>
      </c>
      <c r="D57" s="3"/>
      <c r="E57" s="3"/>
      <c r="F57" s="3"/>
      <c r="G57" s="3"/>
      <c r="H57" s="3"/>
      <c r="I57" s="3"/>
    </row>
    <row r="58">
      <c r="A58" s="4" t="s">
        <v>1361</v>
      </c>
      <c r="B58" s="13" t="s">
        <v>43</v>
      </c>
      <c r="D58" s="3"/>
      <c r="E58" s="3"/>
      <c r="F58" s="3"/>
      <c r="G58" s="3"/>
      <c r="H58" s="3"/>
      <c r="I58" s="3"/>
    </row>
    <row r="59">
      <c r="A59" s="4" t="s">
        <v>1362</v>
      </c>
      <c r="B59" s="13" t="s">
        <v>43</v>
      </c>
      <c r="D59" s="3"/>
      <c r="E59" s="3"/>
      <c r="F59" s="3"/>
      <c r="G59" s="3"/>
      <c r="H59" s="3"/>
      <c r="I59" s="3"/>
    </row>
    <row r="60">
      <c r="A60" s="4" t="s">
        <v>1363</v>
      </c>
      <c r="B60" s="13" t="s">
        <v>43</v>
      </c>
      <c r="D60" s="3"/>
      <c r="E60" s="3"/>
      <c r="F60" s="3"/>
      <c r="G60" s="3"/>
      <c r="H60" s="3"/>
      <c r="I60" s="3"/>
    </row>
    <row r="61">
      <c r="A61" s="4" t="s">
        <v>1364</v>
      </c>
      <c r="B61" s="13" t="s">
        <v>43</v>
      </c>
      <c r="D61" s="3"/>
      <c r="E61" s="3"/>
      <c r="F61" s="3"/>
      <c r="G61" s="3"/>
      <c r="H61" s="3"/>
      <c r="I61" s="3"/>
    </row>
    <row r="62">
      <c r="A62" s="4" t="s">
        <v>1365</v>
      </c>
      <c r="B62" s="13" t="s">
        <v>43</v>
      </c>
      <c r="D62" s="3"/>
      <c r="E62" s="3"/>
      <c r="F62" s="3"/>
      <c r="G62" s="3"/>
      <c r="H62" s="3"/>
      <c r="I62" s="3"/>
    </row>
    <row r="63">
      <c r="A63" s="4" t="s">
        <v>1366</v>
      </c>
      <c r="B63" s="13" t="s">
        <v>43</v>
      </c>
      <c r="D63" s="3"/>
      <c r="E63" s="3"/>
      <c r="F63" s="3"/>
      <c r="G63" s="3"/>
      <c r="H63" s="3"/>
      <c r="I63" s="3"/>
    </row>
    <row r="64">
      <c r="A64" s="4" t="s">
        <v>1367</v>
      </c>
      <c r="B64" s="13" t="s">
        <v>43</v>
      </c>
      <c r="D64" s="3"/>
      <c r="E64" s="3"/>
      <c r="F64" s="3"/>
      <c r="G64" s="3"/>
      <c r="H64" s="3"/>
      <c r="I64" s="3"/>
    </row>
    <row r="65">
      <c r="A65" s="4" t="s">
        <v>1368</v>
      </c>
      <c r="B65" s="13" t="s">
        <v>43</v>
      </c>
      <c r="D65" s="3"/>
      <c r="E65" s="3"/>
      <c r="F65" s="3"/>
      <c r="G65" s="3"/>
      <c r="H65" s="3"/>
      <c r="I65" s="3"/>
    </row>
    <row r="66">
      <c r="A66" s="4" t="s">
        <v>1369</v>
      </c>
      <c r="B66" s="13" t="s">
        <v>43</v>
      </c>
      <c r="D66" s="3"/>
      <c r="E66" s="3"/>
      <c r="F66" s="3"/>
      <c r="G66" s="3"/>
      <c r="H66" s="3"/>
      <c r="I66" s="3"/>
    </row>
    <row r="67">
      <c r="A67" s="4" t="s">
        <v>1370</v>
      </c>
      <c r="B67" s="13" t="s">
        <v>43</v>
      </c>
      <c r="D67" s="3"/>
      <c r="E67" s="3"/>
      <c r="F67" s="3"/>
      <c r="G67" s="3"/>
      <c r="H67" s="3"/>
      <c r="I67" s="3"/>
    </row>
    <row r="68">
      <c r="A68" s="4" t="s">
        <v>1371</v>
      </c>
      <c r="B68" s="13" t="s">
        <v>43</v>
      </c>
      <c r="D68" s="3"/>
      <c r="E68" s="3"/>
      <c r="F68" s="3"/>
      <c r="G68" s="3"/>
      <c r="H68" s="3"/>
      <c r="I68" s="3"/>
    </row>
    <row r="69">
      <c r="A69" s="4" t="s">
        <v>1372</v>
      </c>
      <c r="B69" s="13" t="s">
        <v>43</v>
      </c>
      <c r="D69" s="3"/>
      <c r="E69" s="3"/>
      <c r="F69" s="3"/>
      <c r="G69" s="3"/>
      <c r="H69" s="3"/>
      <c r="I69" s="3"/>
    </row>
    <row r="70">
      <c r="A70" s="4" t="s">
        <v>1373</v>
      </c>
      <c r="B70" s="13" t="s">
        <v>43</v>
      </c>
      <c r="D70" s="3"/>
      <c r="E70" s="3"/>
      <c r="F70" s="3"/>
      <c r="G70" s="3"/>
      <c r="H70" s="3"/>
      <c r="I70" s="3"/>
    </row>
    <row r="71">
      <c r="A71" s="4" t="s">
        <v>1374</v>
      </c>
      <c r="B71" s="13" t="s">
        <v>43</v>
      </c>
      <c r="D71" s="3"/>
      <c r="E71" s="3"/>
      <c r="F71" s="3"/>
      <c r="G71" s="3"/>
      <c r="H71" s="3"/>
      <c r="I71" s="3"/>
    </row>
    <row r="72">
      <c r="A72" s="4" t="s">
        <v>1375</v>
      </c>
      <c r="B72" s="13" t="s">
        <v>43</v>
      </c>
      <c r="D72" s="3"/>
      <c r="E72" s="3"/>
      <c r="F72" s="3"/>
      <c r="G72" s="3"/>
      <c r="H72" s="3"/>
      <c r="I72" s="3"/>
    </row>
    <row r="73">
      <c r="A73" s="4" t="s">
        <v>1376</v>
      </c>
      <c r="B73" s="13" t="s">
        <v>43</v>
      </c>
      <c r="D73" s="3"/>
      <c r="E73" s="3"/>
      <c r="F73" s="3"/>
      <c r="G73" s="3"/>
      <c r="H73" s="3"/>
      <c r="I73" s="3"/>
    </row>
    <row r="74">
      <c r="A74" s="4" t="s">
        <v>1377</v>
      </c>
      <c r="B74" s="13" t="s">
        <v>43</v>
      </c>
      <c r="D74" s="3"/>
      <c r="E74" s="3"/>
      <c r="F74" s="3"/>
      <c r="G74" s="3"/>
      <c r="H74" s="3"/>
      <c r="I74" s="3"/>
    </row>
    <row r="75">
      <c r="A75" s="4" t="s">
        <v>1378</v>
      </c>
      <c r="B75" s="13" t="s">
        <v>43</v>
      </c>
      <c r="D75" s="3"/>
      <c r="E75" s="3"/>
      <c r="F75" s="3"/>
      <c r="G75" s="3"/>
      <c r="H75" s="3"/>
      <c r="I75" s="3"/>
    </row>
    <row r="76">
      <c r="A76" s="4" t="s">
        <v>1379</v>
      </c>
      <c r="B76" s="13" t="s">
        <v>43</v>
      </c>
      <c r="D76" s="3"/>
      <c r="E76" s="3"/>
      <c r="F76" s="3"/>
      <c r="G76" s="3"/>
      <c r="H76" s="3"/>
      <c r="I76" s="3"/>
    </row>
    <row r="77">
      <c r="A77" s="4" t="s">
        <v>1380</v>
      </c>
      <c r="B77" s="13" t="s">
        <v>43</v>
      </c>
      <c r="D77" s="3"/>
      <c r="E77" s="3"/>
      <c r="F77" s="3"/>
      <c r="G77" s="3"/>
      <c r="H77" s="3"/>
      <c r="I77" s="3"/>
    </row>
    <row r="78">
      <c r="A78" s="4" t="s">
        <v>1381</v>
      </c>
      <c r="B78" s="13" t="s">
        <v>43</v>
      </c>
      <c r="D78" s="3"/>
      <c r="E78" s="3"/>
      <c r="F78" s="3"/>
      <c r="G78" s="3"/>
      <c r="H78" s="3"/>
      <c r="I78" s="3"/>
    </row>
    <row r="79">
      <c r="A79" s="4" t="s">
        <v>1382</v>
      </c>
      <c r="B79" s="13" t="s">
        <v>43</v>
      </c>
      <c r="D79" s="3"/>
      <c r="E79" s="3"/>
      <c r="F79" s="3"/>
      <c r="G79" s="3"/>
      <c r="H79" s="3"/>
      <c r="I79" s="3"/>
    </row>
    <row r="80">
      <c r="A80" s="4" t="s">
        <v>1383</v>
      </c>
      <c r="B80" s="13" t="s">
        <v>43</v>
      </c>
      <c r="D80" s="3"/>
      <c r="E80" s="3"/>
      <c r="F80" s="3"/>
      <c r="G80" s="3"/>
      <c r="H80" s="3"/>
      <c r="I80" s="3"/>
    </row>
    <row r="81">
      <c r="A81" s="4" t="s">
        <v>1384</v>
      </c>
      <c r="B81" s="13" t="s">
        <v>43</v>
      </c>
      <c r="D81" s="3"/>
      <c r="E81" s="3"/>
      <c r="F81" s="3"/>
      <c r="G81" s="3"/>
      <c r="H81" s="3"/>
      <c r="I81" s="3"/>
    </row>
    <row r="82">
      <c r="A82" s="4" t="s">
        <v>1385</v>
      </c>
      <c r="B82" s="13" t="s">
        <v>43</v>
      </c>
      <c r="D82" s="3"/>
      <c r="E82" s="3"/>
      <c r="F82" s="3"/>
      <c r="G82" s="3"/>
      <c r="H82" s="3"/>
      <c r="I82" s="3"/>
    </row>
    <row r="83">
      <c r="A83" s="4" t="s">
        <v>1386</v>
      </c>
      <c r="B83" s="13" t="s">
        <v>43</v>
      </c>
      <c r="D83" s="3"/>
      <c r="E83" s="3"/>
      <c r="F83" s="3"/>
      <c r="G83" s="3"/>
      <c r="H83" s="3"/>
      <c r="I83" s="3"/>
    </row>
    <row r="84">
      <c r="A84" s="4" t="s">
        <v>1387</v>
      </c>
      <c r="B84" s="13" t="s">
        <v>43</v>
      </c>
      <c r="D84" s="3"/>
      <c r="E84" s="3"/>
      <c r="F84" s="3"/>
      <c r="G84" s="3"/>
      <c r="H84" s="3"/>
      <c r="I84" s="3"/>
    </row>
    <row r="85">
      <c r="A85" s="4" t="s">
        <v>1388</v>
      </c>
      <c r="B85" s="13" t="s">
        <v>43</v>
      </c>
      <c r="D85" s="3"/>
      <c r="E85" s="3"/>
      <c r="F85" s="3"/>
      <c r="G85" s="3"/>
      <c r="H85" s="3"/>
      <c r="I85" s="3"/>
    </row>
    <row r="86">
      <c r="A86" s="4" t="s">
        <v>1389</v>
      </c>
      <c r="B86" s="13" t="s">
        <v>43</v>
      </c>
      <c r="D86" s="3"/>
      <c r="E86" s="3"/>
      <c r="F86" s="3"/>
      <c r="G86" s="3"/>
      <c r="H86" s="3"/>
      <c r="I86" s="3"/>
    </row>
    <row r="87">
      <c r="A87" s="4" t="s">
        <v>1390</v>
      </c>
      <c r="B87" s="13" t="s">
        <v>43</v>
      </c>
      <c r="D87" s="3"/>
      <c r="E87" s="3"/>
      <c r="F87" s="3"/>
      <c r="G87" s="3"/>
      <c r="H87" s="3"/>
      <c r="I87" s="3"/>
    </row>
    <row r="88">
      <c r="A88" s="4" t="s">
        <v>1391</v>
      </c>
      <c r="B88" s="13" t="s">
        <v>43</v>
      </c>
      <c r="D88" s="3"/>
      <c r="E88" s="3"/>
      <c r="F88" s="3"/>
      <c r="G88" s="3"/>
      <c r="H88" s="3"/>
      <c r="I88" s="3"/>
    </row>
    <row r="89">
      <c r="A89" s="4" t="s">
        <v>1392</v>
      </c>
      <c r="B89" s="13" t="s">
        <v>43</v>
      </c>
      <c r="D89" s="3"/>
      <c r="E89" s="3"/>
      <c r="F89" s="3"/>
      <c r="G89" s="3"/>
      <c r="H89" s="3"/>
      <c r="I89" s="3"/>
    </row>
    <row r="90">
      <c r="A90" s="4" t="s">
        <v>1393</v>
      </c>
      <c r="B90" s="13" t="s">
        <v>43</v>
      </c>
      <c r="D90" s="3"/>
      <c r="E90" s="3"/>
      <c r="F90" s="3"/>
      <c r="G90" s="3"/>
      <c r="H90" s="3"/>
      <c r="I90" s="3"/>
    </row>
    <row r="91">
      <c r="A91" s="4" t="s">
        <v>1394</v>
      </c>
      <c r="B91" s="13" t="s">
        <v>43</v>
      </c>
      <c r="D91" s="3"/>
      <c r="E91" s="3"/>
      <c r="F91" s="3"/>
      <c r="G91" s="3"/>
      <c r="H91" s="3"/>
      <c r="I91" s="3"/>
    </row>
    <row r="92">
      <c r="A92" s="4" t="s">
        <v>1395</v>
      </c>
      <c r="B92" s="13" t="s">
        <v>43</v>
      </c>
      <c r="D92" s="3"/>
      <c r="E92" s="3"/>
      <c r="F92" s="3"/>
      <c r="G92" s="3"/>
      <c r="H92" s="3"/>
      <c r="I92" s="3"/>
    </row>
    <row r="93">
      <c r="A93" s="4" t="s">
        <v>1396</v>
      </c>
      <c r="B93" s="13" t="s">
        <v>43</v>
      </c>
      <c r="D93" s="3"/>
      <c r="E93" s="3"/>
      <c r="F93" s="3"/>
      <c r="G93" s="3"/>
      <c r="H93" s="3"/>
      <c r="I93" s="3"/>
    </row>
    <row r="94">
      <c r="A94" s="4" t="s">
        <v>1397</v>
      </c>
      <c r="B94" s="13" t="s">
        <v>43</v>
      </c>
      <c r="D94" s="3"/>
      <c r="E94" s="3"/>
      <c r="F94" s="3"/>
      <c r="G94" s="3"/>
      <c r="H94" s="3"/>
      <c r="I94" s="3"/>
    </row>
    <row r="95">
      <c r="A95" s="4" t="s">
        <v>1398</v>
      </c>
      <c r="B95" s="13" t="s">
        <v>43</v>
      </c>
      <c r="D95" s="3"/>
      <c r="E95" s="3"/>
      <c r="F95" s="3"/>
      <c r="G95" s="3"/>
      <c r="H95" s="3"/>
      <c r="I95" s="3"/>
    </row>
    <row r="96">
      <c r="A96" s="4" t="s">
        <v>1399</v>
      </c>
      <c r="B96" s="13" t="s">
        <v>43</v>
      </c>
      <c r="D96" s="3"/>
      <c r="E96" s="3"/>
      <c r="F96" s="3"/>
      <c r="G96" s="3"/>
      <c r="H96" s="3"/>
      <c r="I96" s="3"/>
    </row>
    <row r="97">
      <c r="A97" s="4" t="s">
        <v>1400</v>
      </c>
      <c r="B97" s="13" t="s">
        <v>43</v>
      </c>
      <c r="D97" s="3"/>
      <c r="E97" s="3"/>
      <c r="F97" s="3"/>
      <c r="G97" s="3"/>
      <c r="H97" s="3"/>
      <c r="I97" s="3"/>
    </row>
    <row r="98">
      <c r="A98" s="4" t="s">
        <v>1401</v>
      </c>
      <c r="B98" s="13" t="s">
        <v>43</v>
      </c>
      <c r="D98" s="3"/>
      <c r="E98" s="3"/>
      <c r="F98" s="3"/>
      <c r="G98" s="3"/>
      <c r="H98" s="3"/>
      <c r="I98" s="3"/>
    </row>
    <row r="99">
      <c r="A99" s="4" t="s">
        <v>1402</v>
      </c>
      <c r="B99" s="13" t="s">
        <v>43</v>
      </c>
      <c r="D99" s="3"/>
      <c r="E99" s="3"/>
      <c r="F99" s="3"/>
      <c r="G99" s="3"/>
      <c r="H99" s="3"/>
      <c r="I99" s="3"/>
    </row>
    <row r="100">
      <c r="A100" s="4" t="s">
        <v>1403</v>
      </c>
      <c r="B100" s="13" t="s">
        <v>43</v>
      </c>
      <c r="D100" s="3"/>
      <c r="E100" s="3"/>
      <c r="F100" s="3"/>
      <c r="G100" s="3"/>
      <c r="H100" s="3"/>
      <c r="I100" s="3"/>
    </row>
    <row r="101">
      <c r="A101" s="4" t="s">
        <v>1404</v>
      </c>
      <c r="B101" s="13" t="s">
        <v>43</v>
      </c>
      <c r="D101" s="3"/>
      <c r="E101" s="3"/>
      <c r="F101" s="3"/>
      <c r="G101" s="3"/>
      <c r="H101" s="3"/>
      <c r="I101" s="3"/>
    </row>
    <row r="102">
      <c r="A102" s="4" t="s">
        <v>1405</v>
      </c>
      <c r="B102" s="13" t="s">
        <v>43</v>
      </c>
      <c r="D102" s="3"/>
      <c r="E102" s="3"/>
      <c r="F102" s="3"/>
      <c r="G102" s="3"/>
      <c r="H102" s="3"/>
      <c r="I102" s="3"/>
    </row>
    <row r="103">
      <c r="A103" s="4" t="s">
        <v>1406</v>
      </c>
      <c r="B103" s="13" t="s">
        <v>43</v>
      </c>
      <c r="D103" s="3"/>
      <c r="E103" s="3"/>
      <c r="F103" s="3"/>
      <c r="G103" s="3"/>
      <c r="H103" s="3"/>
      <c r="I103" s="3"/>
    </row>
    <row r="104">
      <c r="A104" s="4" t="s">
        <v>1407</v>
      </c>
      <c r="B104" s="13" t="s">
        <v>43</v>
      </c>
      <c r="D104" s="3"/>
      <c r="E104" s="3"/>
      <c r="F104" s="3"/>
      <c r="G104" s="3"/>
      <c r="H104" s="3"/>
      <c r="I104" s="3"/>
    </row>
    <row r="105">
      <c r="A105" s="4" t="s">
        <v>1408</v>
      </c>
      <c r="B105" s="13" t="s">
        <v>43</v>
      </c>
      <c r="D105" s="3"/>
      <c r="E105" s="3"/>
      <c r="F105" s="3"/>
      <c r="G105" s="3"/>
      <c r="H105" s="3"/>
      <c r="I105" s="3"/>
    </row>
    <row r="106">
      <c r="A106" s="4" t="s">
        <v>1409</v>
      </c>
      <c r="B106" s="13" t="s">
        <v>43</v>
      </c>
      <c r="D106" s="3"/>
      <c r="E106" s="3"/>
      <c r="F106" s="3"/>
      <c r="G106" s="3"/>
      <c r="H106" s="3"/>
      <c r="I106" s="3"/>
    </row>
    <row r="107">
      <c r="A107" s="4" t="s">
        <v>1410</v>
      </c>
      <c r="B107" s="13" t="s">
        <v>43</v>
      </c>
      <c r="D107" s="3"/>
      <c r="E107" s="3"/>
      <c r="F107" s="3"/>
      <c r="G107" s="3"/>
      <c r="H107" s="3"/>
      <c r="I107" s="3"/>
    </row>
    <row r="108">
      <c r="A108" s="4" t="s">
        <v>1411</v>
      </c>
      <c r="B108" s="13" t="s">
        <v>43</v>
      </c>
      <c r="D108" s="3"/>
      <c r="E108" s="3"/>
      <c r="F108" s="3"/>
      <c r="G108" s="3"/>
      <c r="H108" s="3"/>
      <c r="I108" s="3"/>
    </row>
    <row r="109">
      <c r="A109" s="4" t="s">
        <v>1412</v>
      </c>
      <c r="B109" s="13" t="s">
        <v>43</v>
      </c>
      <c r="D109" s="3"/>
      <c r="E109" s="3"/>
      <c r="F109" s="3"/>
      <c r="G109" s="3"/>
      <c r="H109" s="3"/>
      <c r="I109" s="3"/>
    </row>
    <row r="110">
      <c r="A110" s="4" t="s">
        <v>1413</v>
      </c>
      <c r="B110" s="13" t="s">
        <v>43</v>
      </c>
      <c r="D110" s="3"/>
      <c r="E110" s="3"/>
      <c r="F110" s="3"/>
      <c r="G110" s="3"/>
      <c r="H110" s="3"/>
      <c r="I110" s="3"/>
    </row>
    <row r="111">
      <c r="A111" s="4" t="s">
        <v>1414</v>
      </c>
      <c r="B111" s="13" t="s">
        <v>43</v>
      </c>
      <c r="D111" s="3"/>
      <c r="E111" s="3"/>
      <c r="F111" s="3"/>
      <c r="G111" s="3"/>
      <c r="H111" s="3"/>
      <c r="I111" s="3"/>
    </row>
    <row r="112">
      <c r="A112" s="4" t="s">
        <v>1415</v>
      </c>
      <c r="B112" s="13" t="s">
        <v>43</v>
      </c>
      <c r="D112" s="3"/>
      <c r="E112" s="3"/>
      <c r="F112" s="3"/>
      <c r="G112" s="3"/>
      <c r="H112" s="3"/>
      <c r="I112" s="3"/>
    </row>
    <row r="113">
      <c r="A113" s="4" t="s">
        <v>1416</v>
      </c>
      <c r="B113" s="13" t="s">
        <v>43</v>
      </c>
      <c r="D113" s="3"/>
      <c r="E113" s="3"/>
      <c r="F113" s="3"/>
      <c r="G113" s="3"/>
      <c r="H113" s="3"/>
      <c r="I113" s="3"/>
    </row>
    <row r="114">
      <c r="A114" s="4" t="s">
        <v>1417</v>
      </c>
      <c r="B114" s="13" t="s">
        <v>43</v>
      </c>
      <c r="D114" s="3"/>
      <c r="E114" s="3"/>
      <c r="F114" s="3"/>
      <c r="G114" s="3"/>
      <c r="H114" s="3"/>
      <c r="I114" s="3"/>
    </row>
    <row r="115">
      <c r="A115" s="4" t="s">
        <v>1418</v>
      </c>
      <c r="B115" s="13" t="s">
        <v>43</v>
      </c>
      <c r="D115" s="3"/>
      <c r="E115" s="3"/>
      <c r="F115" s="3"/>
      <c r="G115" s="3"/>
      <c r="H115" s="3"/>
      <c r="I115" s="3"/>
    </row>
    <row r="116">
      <c r="A116" s="4" t="s">
        <v>1419</v>
      </c>
      <c r="B116" s="13" t="s">
        <v>43</v>
      </c>
      <c r="D116" s="3"/>
      <c r="E116" s="3"/>
      <c r="F116" s="3"/>
      <c r="G116" s="3"/>
      <c r="H116" s="3"/>
      <c r="I116" s="3"/>
    </row>
    <row r="117">
      <c r="A117" s="4" t="s">
        <v>1420</v>
      </c>
      <c r="B117" s="13" t="s">
        <v>43</v>
      </c>
      <c r="D117" s="3"/>
      <c r="E117" s="3"/>
      <c r="F117" s="3"/>
      <c r="G117" s="3"/>
      <c r="H117" s="3"/>
      <c r="I117" s="3"/>
    </row>
    <row r="118">
      <c r="A118" s="4" t="s">
        <v>1421</v>
      </c>
      <c r="B118" s="13" t="s">
        <v>43</v>
      </c>
      <c r="D118" s="3"/>
      <c r="E118" s="3"/>
      <c r="F118" s="3"/>
      <c r="G118" s="3"/>
      <c r="H118" s="3"/>
      <c r="I118" s="3"/>
    </row>
    <row r="119">
      <c r="A119" s="4" t="s">
        <v>1422</v>
      </c>
      <c r="B119" s="13" t="s">
        <v>43</v>
      </c>
      <c r="D119" s="3"/>
      <c r="E119" s="3"/>
      <c r="F119" s="3"/>
      <c r="G119" s="3"/>
      <c r="H119" s="3"/>
      <c r="I119" s="3"/>
    </row>
    <row r="120">
      <c r="A120" s="4" t="s">
        <v>1423</v>
      </c>
      <c r="B120" s="13" t="s">
        <v>43</v>
      </c>
      <c r="D120" s="3"/>
      <c r="E120" s="3"/>
      <c r="F120" s="3"/>
      <c r="G120" s="3"/>
      <c r="H120" s="3"/>
      <c r="I120" s="3"/>
    </row>
    <row r="121">
      <c r="A121" s="4" t="s">
        <v>1424</v>
      </c>
      <c r="B121" s="13" t="s">
        <v>43</v>
      </c>
      <c r="D121" s="3"/>
      <c r="E121" s="3"/>
      <c r="F121" s="3"/>
      <c r="G121" s="3"/>
      <c r="H121" s="3"/>
      <c r="I121" s="3"/>
    </row>
    <row r="122">
      <c r="A122" s="4" t="s">
        <v>1425</v>
      </c>
      <c r="B122" s="13" t="s">
        <v>43</v>
      </c>
      <c r="D122" s="3"/>
      <c r="E122" s="3"/>
      <c r="F122" s="3"/>
      <c r="G122" s="3"/>
      <c r="H122" s="3"/>
      <c r="I122" s="3"/>
    </row>
    <row r="123">
      <c r="A123" s="4" t="s">
        <v>1426</v>
      </c>
      <c r="B123" s="13" t="s">
        <v>43</v>
      </c>
      <c r="D123" s="3"/>
      <c r="E123" s="3"/>
      <c r="F123" s="3"/>
      <c r="G123" s="3"/>
      <c r="H123" s="3"/>
      <c r="I123" s="3"/>
    </row>
    <row r="124">
      <c r="A124" s="4" t="s">
        <v>1427</v>
      </c>
      <c r="B124" s="13" t="s">
        <v>43</v>
      </c>
      <c r="D124" s="3"/>
      <c r="E124" s="3"/>
      <c r="F124" s="3"/>
      <c r="G124" s="3"/>
      <c r="H124" s="3"/>
      <c r="I124" s="3"/>
    </row>
    <row r="125">
      <c r="A125" s="4" t="s">
        <v>1428</v>
      </c>
      <c r="B125" s="13" t="s">
        <v>43</v>
      </c>
      <c r="D125" s="3"/>
      <c r="E125" s="3"/>
      <c r="F125" s="3"/>
      <c r="G125" s="3"/>
      <c r="H125" s="3"/>
      <c r="I125" s="3"/>
    </row>
    <row r="126">
      <c r="A126" s="4" t="s">
        <v>1429</v>
      </c>
      <c r="B126" s="13" t="s">
        <v>43</v>
      </c>
      <c r="D126" s="3"/>
      <c r="E126" s="3"/>
      <c r="F126" s="3"/>
      <c r="G126" s="3"/>
      <c r="H126" s="3"/>
      <c r="I126" s="3"/>
    </row>
    <row r="127">
      <c r="A127" s="4" t="s">
        <v>1430</v>
      </c>
      <c r="B127" s="13" t="s">
        <v>43</v>
      </c>
      <c r="D127" s="3"/>
      <c r="E127" s="3"/>
      <c r="F127" s="3"/>
      <c r="G127" s="3"/>
      <c r="H127" s="3"/>
      <c r="I127" s="3"/>
    </row>
    <row r="128">
      <c r="A128" s="4" t="s">
        <v>1431</v>
      </c>
      <c r="B128" s="13" t="s">
        <v>43</v>
      </c>
      <c r="D128" s="3"/>
      <c r="E128" s="3"/>
      <c r="F128" s="3"/>
      <c r="G128" s="3"/>
      <c r="H128" s="3"/>
      <c r="I128" s="3"/>
    </row>
    <row r="129">
      <c r="A129" s="4" t="s">
        <v>1432</v>
      </c>
      <c r="B129" s="13" t="s">
        <v>43</v>
      </c>
      <c r="D129" s="3"/>
      <c r="E129" s="3"/>
      <c r="F129" s="3"/>
      <c r="G129" s="3"/>
      <c r="H129" s="3"/>
      <c r="I129" s="3"/>
    </row>
    <row r="130">
      <c r="A130" s="4" t="s">
        <v>1433</v>
      </c>
      <c r="B130" s="13" t="s">
        <v>43</v>
      </c>
      <c r="D130" s="3"/>
      <c r="E130" s="3"/>
      <c r="F130" s="3"/>
      <c r="G130" s="3"/>
      <c r="H130" s="3"/>
      <c r="I130" s="3"/>
    </row>
    <row r="131">
      <c r="A131" s="4" t="s">
        <v>1434</v>
      </c>
      <c r="B131" s="13" t="s">
        <v>43</v>
      </c>
      <c r="D131" s="3"/>
      <c r="E131" s="3"/>
      <c r="F131" s="3"/>
      <c r="G131" s="3"/>
      <c r="H131" s="3"/>
      <c r="I131" s="3"/>
    </row>
    <row r="132">
      <c r="A132" s="4" t="s">
        <v>1435</v>
      </c>
      <c r="B132" s="13" t="s">
        <v>43</v>
      </c>
      <c r="D132" s="3"/>
      <c r="E132" s="3"/>
      <c r="F132" s="3"/>
      <c r="G132" s="3"/>
      <c r="H132" s="3"/>
      <c r="I132" s="3"/>
    </row>
    <row r="133">
      <c r="A133" s="4" t="s">
        <v>1436</v>
      </c>
      <c r="B133" s="13" t="s">
        <v>43</v>
      </c>
      <c r="D133" s="3"/>
      <c r="E133" s="3"/>
      <c r="F133" s="3"/>
      <c r="G133" s="3"/>
      <c r="H133" s="3"/>
      <c r="I133" s="3"/>
    </row>
    <row r="134">
      <c r="A134" s="4" t="s">
        <v>1437</v>
      </c>
      <c r="B134" s="13" t="s">
        <v>43</v>
      </c>
      <c r="D134" s="3"/>
      <c r="E134" s="3"/>
      <c r="F134" s="3"/>
      <c r="G134" s="3"/>
      <c r="H134" s="3"/>
      <c r="I134" s="3"/>
    </row>
    <row r="135">
      <c r="A135" s="4" t="s">
        <v>1438</v>
      </c>
      <c r="B135" s="13" t="s">
        <v>43</v>
      </c>
      <c r="D135" s="3"/>
      <c r="E135" s="3"/>
      <c r="F135" s="3"/>
      <c r="G135" s="3"/>
      <c r="H135" s="3"/>
      <c r="I135" s="3"/>
    </row>
    <row r="136">
      <c r="A136" s="4" t="s">
        <v>1439</v>
      </c>
      <c r="B136" s="13" t="s">
        <v>43</v>
      </c>
      <c r="D136" s="3"/>
      <c r="E136" s="3"/>
      <c r="F136" s="3"/>
      <c r="G136" s="3"/>
      <c r="H136" s="3"/>
      <c r="I136" s="3"/>
    </row>
    <row r="137">
      <c r="A137" s="4" t="s">
        <v>1440</v>
      </c>
      <c r="B137" s="13" t="s">
        <v>43</v>
      </c>
      <c r="D137" s="3"/>
      <c r="E137" s="3"/>
      <c r="F137" s="3"/>
      <c r="G137" s="3"/>
      <c r="H137" s="3"/>
      <c r="I137" s="3"/>
    </row>
    <row r="138">
      <c r="A138" s="4" t="s">
        <v>1441</v>
      </c>
      <c r="B138" s="13" t="s">
        <v>43</v>
      </c>
      <c r="D138" s="3"/>
      <c r="E138" s="3"/>
      <c r="F138" s="3"/>
      <c r="G138" s="3"/>
      <c r="H138" s="3"/>
      <c r="I138" s="3"/>
    </row>
    <row r="139">
      <c r="A139" s="4" t="s">
        <v>1442</v>
      </c>
      <c r="B139" s="13" t="s">
        <v>43</v>
      </c>
      <c r="D139" s="3"/>
      <c r="E139" s="3"/>
      <c r="F139" s="3"/>
      <c r="G139" s="3"/>
      <c r="H139" s="3"/>
      <c r="I139" s="3"/>
    </row>
    <row r="140">
      <c r="A140" s="4" t="s">
        <v>1443</v>
      </c>
      <c r="B140" s="13" t="s">
        <v>43</v>
      </c>
      <c r="D140" s="3"/>
      <c r="E140" s="3"/>
      <c r="F140" s="3"/>
      <c r="G140" s="3"/>
      <c r="H140" s="3"/>
      <c r="I140" s="3"/>
    </row>
    <row r="141">
      <c r="A141" s="4" t="s">
        <v>1444</v>
      </c>
      <c r="B141" s="13" t="s">
        <v>43</v>
      </c>
      <c r="D141" s="3"/>
      <c r="E141" s="3"/>
      <c r="F141" s="3"/>
      <c r="G141" s="3"/>
      <c r="H141" s="3"/>
      <c r="I141" s="3"/>
    </row>
    <row r="142">
      <c r="A142" s="4" t="s">
        <v>1445</v>
      </c>
      <c r="B142" s="13" t="s">
        <v>43</v>
      </c>
      <c r="D142" s="3"/>
      <c r="E142" s="3"/>
      <c r="F142" s="3"/>
      <c r="G142" s="3"/>
      <c r="H142" s="3"/>
      <c r="I142" s="3"/>
    </row>
    <row r="143">
      <c r="A143" s="4" t="s">
        <v>1446</v>
      </c>
      <c r="B143" s="13" t="s">
        <v>43</v>
      </c>
      <c r="D143" s="3"/>
      <c r="E143" s="3"/>
      <c r="F143" s="3"/>
      <c r="G143" s="3"/>
      <c r="H143" s="3"/>
      <c r="I143" s="3"/>
    </row>
    <row r="144">
      <c r="A144" s="4" t="s">
        <v>1447</v>
      </c>
      <c r="B144" s="13" t="s">
        <v>43</v>
      </c>
      <c r="D144" s="3"/>
      <c r="E144" s="3"/>
      <c r="F144" s="3"/>
      <c r="G144" s="3"/>
      <c r="H144" s="3"/>
      <c r="I144" s="3"/>
    </row>
    <row r="145">
      <c r="A145" s="4" t="s">
        <v>1448</v>
      </c>
      <c r="B145" s="13" t="s">
        <v>43</v>
      </c>
      <c r="D145" s="3"/>
      <c r="E145" s="3"/>
      <c r="F145" s="3"/>
      <c r="G145" s="3"/>
      <c r="H145" s="3"/>
      <c r="I145" s="3"/>
    </row>
    <row r="146">
      <c r="A146" s="4" t="s">
        <v>1449</v>
      </c>
      <c r="B146" s="13" t="s">
        <v>43</v>
      </c>
      <c r="D146" s="3"/>
      <c r="E146" s="3"/>
      <c r="F146" s="3"/>
      <c r="G146" s="3"/>
      <c r="H146" s="3"/>
      <c r="I146" s="3"/>
    </row>
    <row r="147">
      <c r="A147" s="4" t="s">
        <v>1450</v>
      </c>
      <c r="B147" s="13" t="s">
        <v>43</v>
      </c>
      <c r="D147" s="3"/>
      <c r="E147" s="3"/>
      <c r="F147" s="3"/>
      <c r="G147" s="3"/>
      <c r="H147" s="3"/>
      <c r="I147" s="3"/>
    </row>
    <row r="148">
      <c r="A148" s="4" t="s">
        <v>1451</v>
      </c>
      <c r="B148" s="13" t="s">
        <v>43</v>
      </c>
      <c r="D148" s="3"/>
      <c r="E148" s="3"/>
      <c r="F148" s="3"/>
      <c r="G148" s="3"/>
      <c r="H148" s="3"/>
      <c r="I148" s="3"/>
    </row>
    <row r="149">
      <c r="A149" s="4" t="s">
        <v>1452</v>
      </c>
      <c r="B149" s="13" t="s">
        <v>43</v>
      </c>
      <c r="D149" s="3"/>
      <c r="E149" s="3"/>
      <c r="F149" s="3"/>
      <c r="G149" s="3"/>
      <c r="H149" s="3"/>
      <c r="I149" s="3"/>
    </row>
    <row r="150">
      <c r="A150" s="4" t="s">
        <v>1453</v>
      </c>
      <c r="B150" s="13" t="s">
        <v>43</v>
      </c>
      <c r="D150" s="3"/>
      <c r="E150" s="3"/>
      <c r="F150" s="3"/>
      <c r="G150" s="3"/>
      <c r="H150" s="3"/>
      <c r="I150" s="3"/>
    </row>
    <row r="151">
      <c r="A151" s="4" t="s">
        <v>1454</v>
      </c>
      <c r="B151" s="13" t="s">
        <v>43</v>
      </c>
      <c r="D151" s="3"/>
      <c r="E151" s="3"/>
      <c r="F151" s="3"/>
      <c r="G151" s="3"/>
      <c r="H151" s="3"/>
      <c r="I151" s="3"/>
    </row>
    <row r="152">
      <c r="A152" s="4" t="s">
        <v>1455</v>
      </c>
      <c r="B152" s="13" t="s">
        <v>43</v>
      </c>
      <c r="D152" s="3"/>
      <c r="E152" s="3"/>
      <c r="F152" s="3"/>
      <c r="G152" s="3"/>
      <c r="H152" s="3"/>
      <c r="I152" s="3"/>
    </row>
    <row r="153">
      <c r="A153" s="4" t="s">
        <v>1456</v>
      </c>
      <c r="B153" s="13" t="s">
        <v>43</v>
      </c>
      <c r="D153" s="3"/>
      <c r="E153" s="3"/>
      <c r="F153" s="3"/>
      <c r="G153" s="3"/>
      <c r="H153" s="3"/>
      <c r="I153" s="3"/>
    </row>
    <row r="154">
      <c r="A154" s="4" t="s">
        <v>1457</v>
      </c>
      <c r="B154" s="13" t="s">
        <v>43</v>
      </c>
      <c r="D154" s="3"/>
      <c r="E154" s="3"/>
      <c r="F154" s="3"/>
      <c r="G154" s="3"/>
      <c r="H154" s="3"/>
      <c r="I154" s="3"/>
    </row>
    <row r="155">
      <c r="A155" s="4" t="s">
        <v>1458</v>
      </c>
      <c r="B155" s="13" t="s">
        <v>43</v>
      </c>
      <c r="D155" s="3"/>
      <c r="E155" s="3"/>
      <c r="F155" s="3"/>
      <c r="G155" s="3"/>
      <c r="H155" s="3"/>
      <c r="I155" s="3"/>
    </row>
    <row r="156">
      <c r="A156" s="4" t="s">
        <v>1459</v>
      </c>
      <c r="B156" s="13" t="s">
        <v>43</v>
      </c>
      <c r="D156" s="3"/>
      <c r="E156" s="3"/>
      <c r="F156" s="3"/>
      <c r="G156" s="3"/>
      <c r="H156" s="3"/>
      <c r="I156" s="3"/>
    </row>
    <row r="157">
      <c r="A157" s="4" t="s">
        <v>1460</v>
      </c>
      <c r="B157" s="13" t="s">
        <v>43</v>
      </c>
      <c r="D157" s="3"/>
      <c r="E157" s="3"/>
      <c r="F157" s="3"/>
      <c r="G157" s="3"/>
      <c r="H157" s="3"/>
      <c r="I157" s="3"/>
    </row>
    <row r="158">
      <c r="A158" s="4" t="s">
        <v>1461</v>
      </c>
      <c r="B158" s="13" t="s">
        <v>43</v>
      </c>
      <c r="D158" s="3"/>
      <c r="E158" s="3"/>
      <c r="F158" s="3"/>
      <c r="G158" s="3"/>
      <c r="H158" s="3"/>
      <c r="I158" s="3"/>
    </row>
    <row r="159">
      <c r="A159" s="4" t="s">
        <v>1462</v>
      </c>
      <c r="B159" s="13" t="s">
        <v>43</v>
      </c>
      <c r="D159" s="3"/>
      <c r="E159" s="3"/>
      <c r="F159" s="3"/>
      <c r="G159" s="3"/>
      <c r="H159" s="3"/>
      <c r="I159" s="3"/>
    </row>
    <row r="160">
      <c r="A160" s="4" t="s">
        <v>1463</v>
      </c>
      <c r="B160" s="13" t="s">
        <v>43</v>
      </c>
      <c r="D160" s="3"/>
      <c r="E160" s="3"/>
      <c r="F160" s="3"/>
      <c r="G160" s="3"/>
      <c r="H160" s="3"/>
      <c r="I160" s="3"/>
    </row>
    <row r="161">
      <c r="A161" s="4" t="s">
        <v>1464</v>
      </c>
      <c r="B161" s="13" t="s">
        <v>43</v>
      </c>
      <c r="D161" s="3"/>
      <c r="E161" s="3"/>
      <c r="F161" s="3"/>
      <c r="G161" s="3"/>
      <c r="H161" s="3"/>
      <c r="I161" s="3"/>
    </row>
    <row r="162">
      <c r="A162" s="4" t="s">
        <v>1465</v>
      </c>
      <c r="B162" s="13" t="s">
        <v>43</v>
      </c>
      <c r="D162" s="3"/>
      <c r="E162" s="3"/>
      <c r="F162" s="3"/>
      <c r="G162" s="3"/>
      <c r="H162" s="3"/>
      <c r="I162" s="3"/>
    </row>
    <row r="163">
      <c r="A163" s="4" t="s">
        <v>1466</v>
      </c>
      <c r="B163" s="13" t="s">
        <v>43</v>
      </c>
      <c r="D163" s="3"/>
      <c r="E163" s="3"/>
      <c r="F163" s="3"/>
      <c r="G163" s="3"/>
      <c r="H163" s="3"/>
      <c r="I163" s="3"/>
    </row>
    <row r="164">
      <c r="A164" s="4" t="s">
        <v>1467</v>
      </c>
      <c r="B164" s="13" t="s">
        <v>43</v>
      </c>
      <c r="D164" s="3"/>
      <c r="E164" s="3"/>
      <c r="F164" s="3"/>
      <c r="G164" s="3"/>
      <c r="H164" s="3"/>
      <c r="I164" s="3"/>
    </row>
    <row r="165">
      <c r="A165" s="4" t="s">
        <v>1468</v>
      </c>
      <c r="B165" s="13" t="s">
        <v>43</v>
      </c>
      <c r="D165" s="3"/>
      <c r="E165" s="3"/>
      <c r="F165" s="3"/>
      <c r="G165" s="3"/>
      <c r="H165" s="3"/>
      <c r="I165" s="3"/>
    </row>
    <row r="166">
      <c r="A166" s="4" t="s">
        <v>1469</v>
      </c>
      <c r="B166" s="13" t="s">
        <v>43</v>
      </c>
      <c r="D166" s="3"/>
      <c r="E166" s="3"/>
      <c r="F166" s="3"/>
      <c r="G166" s="3"/>
      <c r="H166" s="3"/>
      <c r="I166" s="3"/>
    </row>
    <row r="167">
      <c r="A167" s="4" t="s">
        <v>1470</v>
      </c>
      <c r="B167" s="13" t="s">
        <v>43</v>
      </c>
      <c r="D167" s="3"/>
      <c r="E167" s="3"/>
      <c r="F167" s="3"/>
      <c r="G167" s="3"/>
      <c r="H167" s="3"/>
      <c r="I167" s="3"/>
    </row>
    <row r="168">
      <c r="A168" s="4" t="s">
        <v>1471</v>
      </c>
      <c r="B168" s="13" t="s">
        <v>43</v>
      </c>
      <c r="D168" s="3"/>
      <c r="E168" s="3"/>
      <c r="F168" s="3"/>
      <c r="G168" s="3"/>
      <c r="H168" s="3"/>
      <c r="I168" s="3"/>
    </row>
    <row r="169">
      <c r="A169" s="4" t="s">
        <v>1472</v>
      </c>
      <c r="B169" s="13" t="s">
        <v>43</v>
      </c>
      <c r="D169" s="3"/>
      <c r="E169" s="3"/>
      <c r="F169" s="3"/>
      <c r="G169" s="3"/>
      <c r="H169" s="3"/>
      <c r="I169" s="3"/>
    </row>
    <row r="170">
      <c r="A170" s="4" t="s">
        <v>1473</v>
      </c>
      <c r="B170" s="13" t="s">
        <v>43</v>
      </c>
      <c r="D170" s="3"/>
      <c r="E170" s="3"/>
      <c r="F170" s="3"/>
      <c r="G170" s="3"/>
      <c r="H170" s="3"/>
      <c r="I170" s="3"/>
    </row>
    <row r="171">
      <c r="A171" s="4" t="s">
        <v>1474</v>
      </c>
      <c r="B171" s="13" t="s">
        <v>43</v>
      </c>
      <c r="D171" s="3"/>
      <c r="E171" s="3"/>
      <c r="F171" s="3"/>
      <c r="G171" s="3"/>
      <c r="H171" s="3"/>
      <c r="I171" s="3"/>
    </row>
    <row r="172">
      <c r="A172" s="4" t="s">
        <v>1475</v>
      </c>
      <c r="B172" s="13" t="s">
        <v>43</v>
      </c>
      <c r="D172" s="3"/>
      <c r="E172" s="3"/>
      <c r="F172" s="3"/>
      <c r="G172" s="3"/>
      <c r="H172" s="3"/>
      <c r="I172" s="3"/>
    </row>
    <row r="173">
      <c r="A173" s="4" t="s">
        <v>1476</v>
      </c>
      <c r="B173" s="13" t="s">
        <v>43</v>
      </c>
      <c r="D173" s="3"/>
      <c r="E173" s="3"/>
      <c r="F173" s="3"/>
      <c r="G173" s="3"/>
      <c r="H173" s="3"/>
      <c r="I173" s="3"/>
    </row>
    <row r="174">
      <c r="A174" s="4" t="s">
        <v>1477</v>
      </c>
      <c r="B174" s="13" t="s">
        <v>43</v>
      </c>
      <c r="D174" s="3"/>
      <c r="E174" s="3"/>
      <c r="F174" s="3"/>
      <c r="G174" s="3"/>
      <c r="H174" s="3"/>
      <c r="I174" s="3"/>
    </row>
    <row r="175">
      <c r="A175" s="4" t="s">
        <v>1478</v>
      </c>
      <c r="B175" s="13" t="s">
        <v>43</v>
      </c>
      <c r="D175" s="3"/>
      <c r="E175" s="3"/>
      <c r="F175" s="3"/>
      <c r="G175" s="3"/>
      <c r="H175" s="3"/>
      <c r="I175" s="3"/>
    </row>
    <row r="176">
      <c r="A176" s="4" t="s">
        <v>1479</v>
      </c>
      <c r="B176" s="13" t="s">
        <v>43</v>
      </c>
      <c r="D176" s="3"/>
      <c r="E176" s="3"/>
      <c r="F176" s="3"/>
      <c r="G176" s="3"/>
      <c r="H176" s="3"/>
      <c r="I176" s="3"/>
    </row>
    <row r="177">
      <c r="A177" s="4" t="s">
        <v>1480</v>
      </c>
      <c r="B177" s="13" t="s">
        <v>43</v>
      </c>
      <c r="D177" s="3"/>
      <c r="E177" s="3"/>
      <c r="F177" s="3"/>
      <c r="G177" s="3"/>
      <c r="H177" s="3"/>
      <c r="I177" s="3"/>
    </row>
    <row r="178">
      <c r="A178" s="4" t="s">
        <v>1481</v>
      </c>
      <c r="B178" s="13" t="s">
        <v>43</v>
      </c>
      <c r="D178" s="3"/>
      <c r="E178" s="3"/>
      <c r="F178" s="3"/>
      <c r="G178" s="3"/>
      <c r="H178" s="3"/>
      <c r="I178" s="3"/>
    </row>
    <row r="179">
      <c r="A179" s="4" t="s">
        <v>1482</v>
      </c>
      <c r="B179" s="13" t="s">
        <v>43</v>
      </c>
      <c r="D179" s="3"/>
      <c r="E179" s="3"/>
      <c r="F179" s="3"/>
      <c r="G179" s="3"/>
      <c r="H179" s="3"/>
      <c r="I179" s="3"/>
    </row>
    <row r="180">
      <c r="A180" s="4" t="s">
        <v>1483</v>
      </c>
      <c r="B180" s="13" t="s">
        <v>43</v>
      </c>
      <c r="D180" s="3"/>
      <c r="E180" s="3"/>
      <c r="F180" s="3"/>
      <c r="G180" s="3"/>
      <c r="H180" s="3"/>
      <c r="I180" s="3"/>
    </row>
    <row r="181">
      <c r="A181" s="4" t="s">
        <v>1484</v>
      </c>
      <c r="B181" s="13" t="s">
        <v>43</v>
      </c>
      <c r="D181" s="3"/>
      <c r="E181" s="3"/>
      <c r="F181" s="3"/>
      <c r="G181" s="3"/>
      <c r="H181" s="3"/>
      <c r="I181" s="3"/>
    </row>
    <row r="182">
      <c r="A182" s="4" t="s">
        <v>1485</v>
      </c>
      <c r="B182" s="13" t="s">
        <v>43</v>
      </c>
      <c r="D182" s="3"/>
      <c r="E182" s="3"/>
      <c r="F182" s="3"/>
      <c r="G182" s="3"/>
      <c r="H182" s="3"/>
      <c r="I182" s="3"/>
    </row>
    <row r="183">
      <c r="A183" s="4" t="s">
        <v>1486</v>
      </c>
      <c r="B183" s="13" t="s">
        <v>43</v>
      </c>
      <c r="D183" s="3"/>
      <c r="E183" s="3"/>
      <c r="F183" s="3"/>
      <c r="G183" s="3"/>
      <c r="H183" s="3"/>
      <c r="I183" s="3"/>
    </row>
    <row r="184">
      <c r="A184" s="4" t="s">
        <v>1487</v>
      </c>
      <c r="B184" s="13" t="s">
        <v>43</v>
      </c>
      <c r="D184" s="3"/>
      <c r="E184" s="3"/>
      <c r="F184" s="3"/>
      <c r="G184" s="3"/>
      <c r="H184" s="3"/>
      <c r="I184" s="3"/>
    </row>
    <row r="185">
      <c r="A185" s="4" t="s">
        <v>1488</v>
      </c>
      <c r="B185" s="13" t="s">
        <v>43</v>
      </c>
      <c r="D185" s="3"/>
      <c r="E185" s="3"/>
      <c r="F185" s="3"/>
      <c r="G185" s="3"/>
      <c r="H185" s="3"/>
      <c r="I185" s="3"/>
    </row>
    <row r="186">
      <c r="A186" s="4" t="s">
        <v>1489</v>
      </c>
      <c r="B186" s="13" t="s">
        <v>43</v>
      </c>
      <c r="D186" s="3"/>
      <c r="E186" s="3"/>
      <c r="F186" s="3"/>
      <c r="G186" s="3"/>
      <c r="H186" s="3"/>
      <c r="I186" s="3"/>
    </row>
    <row r="187">
      <c r="A187" s="4" t="s">
        <v>1490</v>
      </c>
      <c r="B187" s="13" t="s">
        <v>43</v>
      </c>
      <c r="D187" s="3"/>
      <c r="E187" s="3"/>
      <c r="F187" s="3"/>
      <c r="G187" s="3"/>
      <c r="H187" s="3"/>
      <c r="I187" s="3"/>
    </row>
    <row r="188">
      <c r="A188" s="4" t="s">
        <v>1491</v>
      </c>
      <c r="B188" s="13" t="s">
        <v>43</v>
      </c>
      <c r="D188" s="3"/>
      <c r="E188" s="3"/>
      <c r="F188" s="3"/>
      <c r="G188" s="3"/>
      <c r="H188" s="3"/>
      <c r="I188" s="3"/>
    </row>
    <row r="189">
      <c r="A189" s="4" t="s">
        <v>1492</v>
      </c>
      <c r="B189" s="13" t="s">
        <v>43</v>
      </c>
      <c r="D189" s="3"/>
      <c r="E189" s="3"/>
      <c r="F189" s="3"/>
      <c r="G189" s="3"/>
      <c r="H189" s="3"/>
      <c r="I189" s="3"/>
    </row>
    <row r="190">
      <c r="A190" s="4" t="s">
        <v>1493</v>
      </c>
      <c r="B190" s="13" t="s">
        <v>43</v>
      </c>
      <c r="D190" s="3"/>
      <c r="E190" s="3"/>
      <c r="F190" s="3"/>
      <c r="G190" s="3"/>
      <c r="H190" s="3"/>
      <c r="I190" s="3"/>
    </row>
    <row r="191">
      <c r="A191" s="4" t="s">
        <v>1494</v>
      </c>
      <c r="B191" s="13" t="s">
        <v>43</v>
      </c>
      <c r="D191" s="3"/>
      <c r="E191" s="3"/>
      <c r="F191" s="3"/>
      <c r="G191" s="3"/>
      <c r="H191" s="3"/>
      <c r="I191" s="3"/>
    </row>
    <row r="192">
      <c r="A192" s="4" t="s">
        <v>1495</v>
      </c>
      <c r="B192" s="13" t="s">
        <v>43</v>
      </c>
      <c r="D192" s="3"/>
      <c r="E192" s="3"/>
      <c r="F192" s="3"/>
      <c r="G192" s="3"/>
      <c r="H192" s="3"/>
      <c r="I192" s="3"/>
    </row>
    <row r="193">
      <c r="A193" s="4" t="s">
        <v>1496</v>
      </c>
      <c r="B193" s="13" t="s">
        <v>43</v>
      </c>
      <c r="D193" s="3"/>
      <c r="E193" s="3"/>
      <c r="F193" s="3"/>
      <c r="G193" s="3"/>
      <c r="H193" s="3"/>
      <c r="I193" s="3"/>
    </row>
    <row r="194">
      <c r="A194" s="4" t="s">
        <v>1497</v>
      </c>
      <c r="B194" s="13" t="s">
        <v>43</v>
      </c>
      <c r="D194" s="3"/>
      <c r="E194" s="3"/>
      <c r="F194" s="3"/>
      <c r="G194" s="3"/>
      <c r="H194" s="3"/>
      <c r="I194" s="3"/>
    </row>
    <row r="195">
      <c r="A195" s="4" t="s">
        <v>1498</v>
      </c>
      <c r="B195" s="13" t="s">
        <v>43</v>
      </c>
      <c r="D195" s="3"/>
      <c r="E195" s="3"/>
      <c r="F195" s="3"/>
      <c r="G195" s="3"/>
      <c r="H195" s="3"/>
      <c r="I195" s="3"/>
    </row>
    <row r="196">
      <c r="A196" s="4" t="s">
        <v>1499</v>
      </c>
      <c r="B196" s="13" t="s">
        <v>43</v>
      </c>
      <c r="D196" s="3"/>
      <c r="E196" s="3"/>
      <c r="F196" s="3"/>
      <c r="G196" s="3"/>
      <c r="H196" s="3"/>
      <c r="I196" s="3"/>
    </row>
    <row r="197">
      <c r="A197" s="4" t="s">
        <v>1500</v>
      </c>
      <c r="B197" s="13" t="s">
        <v>43</v>
      </c>
      <c r="D197" s="3"/>
      <c r="E197" s="3"/>
      <c r="F197" s="3"/>
      <c r="G197" s="3"/>
      <c r="H197" s="3"/>
      <c r="I197" s="3"/>
    </row>
    <row r="198">
      <c r="A198" s="4" t="s">
        <v>1501</v>
      </c>
      <c r="B198" s="13" t="s">
        <v>43</v>
      </c>
      <c r="D198" s="3"/>
      <c r="E198" s="3"/>
      <c r="F198" s="3"/>
      <c r="G198" s="3"/>
      <c r="H198" s="3"/>
      <c r="I198" s="3"/>
    </row>
    <row r="199">
      <c r="A199" s="4" t="s">
        <v>1502</v>
      </c>
      <c r="B199" s="13" t="s">
        <v>43</v>
      </c>
      <c r="D199" s="3"/>
      <c r="E199" s="3"/>
      <c r="F199" s="3"/>
      <c r="G199" s="3"/>
      <c r="H199" s="3"/>
      <c r="I199" s="3"/>
    </row>
    <row r="200">
      <c r="A200" s="4" t="s">
        <v>1503</v>
      </c>
      <c r="B200" s="13" t="s">
        <v>43</v>
      </c>
      <c r="D200" s="3"/>
      <c r="E200" s="3"/>
      <c r="F200" s="3"/>
      <c r="G200" s="3"/>
      <c r="H200" s="3"/>
      <c r="I200" s="3"/>
    </row>
    <row r="201">
      <c r="A201" s="4" t="s">
        <v>1504</v>
      </c>
      <c r="B201" s="13" t="s">
        <v>43</v>
      </c>
      <c r="D201" s="3"/>
      <c r="E201" s="3"/>
      <c r="F201" s="3"/>
      <c r="G201" s="3"/>
      <c r="H201" s="3"/>
      <c r="I201" s="3"/>
    </row>
    <row r="202">
      <c r="A202" s="4" t="s">
        <v>1505</v>
      </c>
      <c r="B202" s="13" t="s">
        <v>43</v>
      </c>
      <c r="D202" s="3"/>
      <c r="E202" s="3"/>
      <c r="F202" s="3"/>
      <c r="G202" s="3"/>
      <c r="H202" s="3"/>
      <c r="I202" s="3"/>
    </row>
    <row r="203">
      <c r="A203" s="4" t="s">
        <v>1506</v>
      </c>
      <c r="B203" s="13" t="s">
        <v>43</v>
      </c>
      <c r="D203" s="3"/>
      <c r="E203" s="3"/>
      <c r="F203" s="3"/>
      <c r="G203" s="3"/>
      <c r="H203" s="3"/>
      <c r="I203" s="3"/>
    </row>
    <row r="204">
      <c r="A204" s="4" t="s">
        <v>1507</v>
      </c>
      <c r="B204" s="13" t="s">
        <v>43</v>
      </c>
      <c r="D204" s="3"/>
      <c r="E204" s="3"/>
      <c r="F204" s="3"/>
      <c r="G204" s="3"/>
      <c r="H204" s="3"/>
      <c r="I204" s="3"/>
    </row>
    <row r="205">
      <c r="A205" s="4" t="s">
        <v>1508</v>
      </c>
      <c r="B205" s="13" t="s">
        <v>43</v>
      </c>
      <c r="D205" s="3"/>
      <c r="E205" s="3"/>
      <c r="F205" s="3"/>
      <c r="G205" s="3"/>
      <c r="H205" s="3"/>
      <c r="I205" s="3"/>
    </row>
    <row r="206">
      <c r="A206" s="4" t="s">
        <v>1509</v>
      </c>
      <c r="B206" s="13" t="s">
        <v>43</v>
      </c>
      <c r="D206" s="3"/>
      <c r="E206" s="3"/>
      <c r="F206" s="3"/>
      <c r="G206" s="3"/>
      <c r="H206" s="3"/>
      <c r="I206" s="3"/>
    </row>
    <row r="207">
      <c r="A207" s="4" t="s">
        <v>1510</v>
      </c>
      <c r="B207" s="13" t="s">
        <v>43</v>
      </c>
      <c r="D207" s="3"/>
      <c r="E207" s="3"/>
      <c r="F207" s="3"/>
      <c r="G207" s="3"/>
      <c r="H207" s="3"/>
      <c r="I207" s="3"/>
    </row>
    <row r="208">
      <c r="A208" s="4" t="s">
        <v>1511</v>
      </c>
      <c r="B208" s="13" t="s">
        <v>43</v>
      </c>
      <c r="D208" s="3"/>
      <c r="E208" s="3"/>
      <c r="F208" s="3"/>
      <c r="G208" s="3"/>
      <c r="H208" s="3"/>
      <c r="I208" s="3"/>
    </row>
    <row r="209">
      <c r="A209" s="4" t="s">
        <v>1512</v>
      </c>
      <c r="B209" s="13" t="s">
        <v>43</v>
      </c>
      <c r="D209" s="3"/>
      <c r="E209" s="3"/>
      <c r="F209" s="3"/>
      <c r="G209" s="3"/>
      <c r="H209" s="3"/>
      <c r="I209" s="3"/>
    </row>
    <row r="210">
      <c r="A210" s="4" t="s">
        <v>1513</v>
      </c>
      <c r="B210" s="13" t="s">
        <v>43</v>
      </c>
      <c r="D210" s="3"/>
      <c r="E210" s="3"/>
      <c r="F210" s="3"/>
      <c r="G210" s="3"/>
      <c r="H210" s="3"/>
      <c r="I210" s="3"/>
    </row>
    <row r="211">
      <c r="A211" s="4" t="s">
        <v>1514</v>
      </c>
      <c r="B211" s="13" t="s">
        <v>43</v>
      </c>
      <c r="D211" s="3"/>
      <c r="E211" s="3"/>
      <c r="F211" s="3"/>
      <c r="G211" s="3"/>
      <c r="H211" s="3"/>
      <c r="I211" s="3"/>
    </row>
    <row r="212">
      <c r="A212" s="4" t="s">
        <v>1515</v>
      </c>
      <c r="B212" s="13" t="s">
        <v>43</v>
      </c>
      <c r="D212" s="3"/>
      <c r="E212" s="3"/>
      <c r="F212" s="3"/>
      <c r="G212" s="3"/>
      <c r="H212" s="3"/>
      <c r="I212" s="3"/>
    </row>
    <row r="213">
      <c r="A213" s="4" t="s">
        <v>1516</v>
      </c>
      <c r="B213" s="13" t="s">
        <v>43</v>
      </c>
      <c r="D213" s="3"/>
      <c r="E213" s="3"/>
      <c r="F213" s="3"/>
      <c r="G213" s="3"/>
      <c r="H213" s="3"/>
      <c r="I213" s="3"/>
    </row>
    <row r="214">
      <c r="A214" s="4" t="s">
        <v>1517</v>
      </c>
      <c r="B214" s="13" t="s">
        <v>43</v>
      </c>
      <c r="D214" s="3"/>
      <c r="E214" s="3"/>
      <c r="F214" s="3"/>
      <c r="G214" s="3"/>
      <c r="H214" s="3"/>
      <c r="I214" s="3"/>
    </row>
    <row r="215">
      <c r="A215" s="4" t="s">
        <v>1518</v>
      </c>
      <c r="B215" s="13" t="s">
        <v>43</v>
      </c>
      <c r="D215" s="3"/>
      <c r="E215" s="3"/>
      <c r="F215" s="3"/>
      <c r="G215" s="3"/>
      <c r="H215" s="3"/>
      <c r="I215" s="3"/>
    </row>
    <row r="216">
      <c r="A216" s="4" t="s">
        <v>1519</v>
      </c>
      <c r="B216" s="13" t="s">
        <v>43</v>
      </c>
      <c r="D216" s="3"/>
      <c r="E216" s="3"/>
      <c r="F216" s="3"/>
      <c r="G216" s="3"/>
      <c r="H216" s="3"/>
      <c r="I216" s="3"/>
    </row>
    <row r="217">
      <c r="A217" s="4" t="s">
        <v>1520</v>
      </c>
      <c r="B217" s="13" t="s">
        <v>43</v>
      </c>
      <c r="D217" s="3"/>
      <c r="E217" s="3"/>
      <c r="F217" s="3"/>
      <c r="G217" s="3"/>
      <c r="H217" s="3"/>
      <c r="I217" s="3"/>
    </row>
    <row r="218">
      <c r="A218" s="4" t="s">
        <v>1521</v>
      </c>
      <c r="B218" s="13" t="s">
        <v>43</v>
      </c>
      <c r="D218" s="3"/>
      <c r="E218" s="3"/>
      <c r="F218" s="3"/>
      <c r="G218" s="3"/>
      <c r="H218" s="3"/>
      <c r="I218" s="3"/>
    </row>
    <row r="219">
      <c r="A219" s="4" t="s">
        <v>1522</v>
      </c>
      <c r="B219" s="13" t="s">
        <v>43</v>
      </c>
      <c r="D219" s="3"/>
      <c r="E219" s="3"/>
      <c r="F219" s="3"/>
      <c r="G219" s="3"/>
      <c r="H219" s="3"/>
      <c r="I219" s="3"/>
    </row>
    <row r="220">
      <c r="A220" s="4" t="s">
        <v>1523</v>
      </c>
      <c r="B220" s="13" t="s">
        <v>43</v>
      </c>
      <c r="D220" s="3"/>
      <c r="E220" s="3"/>
      <c r="F220" s="3"/>
      <c r="G220" s="3"/>
      <c r="H220" s="3"/>
      <c r="I220" s="3"/>
    </row>
    <row r="221">
      <c r="A221" s="4" t="s">
        <v>1524</v>
      </c>
      <c r="B221" s="13" t="s">
        <v>43</v>
      </c>
      <c r="D221" s="3"/>
      <c r="E221" s="3"/>
      <c r="F221" s="3"/>
      <c r="G221" s="3"/>
      <c r="H221" s="3"/>
      <c r="I221" s="3"/>
    </row>
    <row r="222">
      <c r="A222" s="4" t="s">
        <v>1525</v>
      </c>
      <c r="B222" s="13" t="s">
        <v>43</v>
      </c>
      <c r="D222" s="3"/>
      <c r="E222" s="3"/>
      <c r="F222" s="3"/>
      <c r="G222" s="3"/>
      <c r="H222" s="3"/>
      <c r="I222" s="3"/>
    </row>
    <row r="223">
      <c r="A223" s="4" t="s">
        <v>1526</v>
      </c>
      <c r="B223" s="13" t="s">
        <v>43</v>
      </c>
      <c r="D223" s="3"/>
      <c r="E223" s="3"/>
      <c r="F223" s="3"/>
      <c r="G223" s="3"/>
      <c r="H223" s="3"/>
      <c r="I223" s="3"/>
    </row>
    <row r="224">
      <c r="A224" s="4" t="s">
        <v>1527</v>
      </c>
      <c r="B224" s="13" t="s">
        <v>43</v>
      </c>
      <c r="D224" s="3"/>
      <c r="E224" s="3"/>
      <c r="F224" s="3"/>
      <c r="G224" s="3"/>
      <c r="H224" s="3"/>
      <c r="I224" s="3"/>
    </row>
    <row r="225">
      <c r="A225" s="4" t="s">
        <v>1528</v>
      </c>
      <c r="B225" s="13" t="s">
        <v>43</v>
      </c>
      <c r="D225" s="3"/>
      <c r="E225" s="3"/>
      <c r="F225" s="3"/>
      <c r="G225" s="3"/>
      <c r="H225" s="3"/>
      <c r="I225" s="3"/>
    </row>
    <row r="226">
      <c r="A226" s="4" t="s">
        <v>1529</v>
      </c>
      <c r="B226" s="13" t="s">
        <v>43</v>
      </c>
      <c r="D226" s="3"/>
      <c r="E226" s="3"/>
      <c r="F226" s="3"/>
      <c r="G226" s="3"/>
      <c r="H226" s="3"/>
      <c r="I226" s="3"/>
    </row>
    <row r="227">
      <c r="A227" s="4" t="s">
        <v>1530</v>
      </c>
      <c r="B227" s="13" t="s">
        <v>43</v>
      </c>
      <c r="D227" s="3"/>
      <c r="E227" s="3"/>
      <c r="F227" s="3"/>
      <c r="G227" s="3"/>
      <c r="H227" s="3"/>
      <c r="I227" s="3"/>
    </row>
    <row r="228">
      <c r="A228" s="4" t="s">
        <v>1531</v>
      </c>
      <c r="B228" s="13" t="s">
        <v>43</v>
      </c>
      <c r="D228" s="3"/>
      <c r="E228" s="3"/>
      <c r="F228" s="3"/>
      <c r="G228" s="3"/>
      <c r="H228" s="3"/>
      <c r="I228" s="3"/>
    </row>
    <row r="229">
      <c r="A229" s="4" t="s">
        <v>1532</v>
      </c>
      <c r="B229" s="13" t="s">
        <v>43</v>
      </c>
      <c r="D229" s="3"/>
      <c r="E229" s="3"/>
      <c r="F229" s="3"/>
      <c r="G229" s="3"/>
      <c r="H229" s="3"/>
      <c r="I229" s="3"/>
    </row>
    <row r="230">
      <c r="A230" s="4" t="s">
        <v>1533</v>
      </c>
      <c r="B230" s="13" t="s">
        <v>43</v>
      </c>
      <c r="D230" s="3"/>
      <c r="E230" s="3"/>
      <c r="F230" s="3"/>
      <c r="G230" s="3"/>
      <c r="H230" s="3"/>
      <c r="I230" s="3"/>
    </row>
    <row r="231">
      <c r="A231" s="4" t="s">
        <v>1534</v>
      </c>
      <c r="B231" s="13" t="s">
        <v>43</v>
      </c>
      <c r="D231" s="3"/>
      <c r="E231" s="3"/>
      <c r="F231" s="3"/>
      <c r="G231" s="3"/>
      <c r="H231" s="3"/>
      <c r="I231" s="3"/>
    </row>
    <row r="232">
      <c r="A232" s="4" t="s">
        <v>1535</v>
      </c>
      <c r="B232" s="13" t="s">
        <v>43</v>
      </c>
      <c r="D232" s="3"/>
      <c r="E232" s="3"/>
      <c r="F232" s="3"/>
      <c r="G232" s="3"/>
      <c r="H232" s="3"/>
      <c r="I232" s="3"/>
    </row>
    <row r="233">
      <c r="A233" s="4" t="s">
        <v>1536</v>
      </c>
      <c r="B233" s="13" t="s">
        <v>43</v>
      </c>
      <c r="D233" s="3"/>
      <c r="E233" s="3"/>
      <c r="F233" s="3"/>
      <c r="G233" s="3"/>
      <c r="H233" s="3"/>
      <c r="I233" s="3"/>
    </row>
    <row r="234">
      <c r="A234" s="4" t="s">
        <v>1537</v>
      </c>
      <c r="B234" s="13" t="s">
        <v>43</v>
      </c>
      <c r="D234" s="3"/>
      <c r="E234" s="3"/>
      <c r="F234" s="3"/>
      <c r="G234" s="3"/>
      <c r="H234" s="3"/>
      <c r="I234" s="3"/>
    </row>
    <row r="235">
      <c r="A235" s="4" t="s">
        <v>1538</v>
      </c>
      <c r="B235" s="13" t="s">
        <v>43</v>
      </c>
      <c r="D235" s="3"/>
      <c r="E235" s="3"/>
      <c r="F235" s="3"/>
      <c r="G235" s="3"/>
      <c r="H235" s="3"/>
      <c r="I235" s="3"/>
    </row>
    <row r="236">
      <c r="A236" s="4" t="s">
        <v>1539</v>
      </c>
      <c r="B236" s="13" t="s">
        <v>43</v>
      </c>
      <c r="D236" s="3"/>
      <c r="E236" s="3"/>
      <c r="F236" s="3"/>
      <c r="G236" s="3"/>
      <c r="H236" s="3"/>
      <c r="I236" s="3"/>
    </row>
    <row r="237">
      <c r="A237" s="4" t="s">
        <v>1540</v>
      </c>
      <c r="B237" s="13" t="s">
        <v>43</v>
      </c>
      <c r="D237" s="3"/>
      <c r="E237" s="3"/>
      <c r="F237" s="3"/>
      <c r="G237" s="3"/>
      <c r="H237" s="3"/>
      <c r="I237" s="3"/>
    </row>
    <row r="238">
      <c r="A238" s="4" t="s">
        <v>1541</v>
      </c>
      <c r="B238" s="13" t="s">
        <v>43</v>
      </c>
      <c r="D238" s="3"/>
      <c r="E238" s="3"/>
      <c r="F238" s="3"/>
      <c r="G238" s="3"/>
      <c r="H238" s="3"/>
      <c r="I238" s="3"/>
    </row>
    <row r="239">
      <c r="A239" s="4" t="s">
        <v>1542</v>
      </c>
      <c r="B239" s="13" t="s">
        <v>43</v>
      </c>
      <c r="D239" s="3"/>
      <c r="E239" s="3"/>
      <c r="F239" s="3"/>
      <c r="G239" s="3"/>
      <c r="H239" s="3"/>
      <c r="I239" s="3"/>
    </row>
    <row r="240">
      <c r="A240" s="4" t="s">
        <v>1543</v>
      </c>
      <c r="B240" s="13" t="s">
        <v>43</v>
      </c>
      <c r="D240" s="3"/>
      <c r="E240" s="3"/>
      <c r="F240" s="3"/>
      <c r="G240" s="3"/>
      <c r="H240" s="3"/>
      <c r="I240" s="3"/>
    </row>
    <row r="241">
      <c r="A241" s="4" t="s">
        <v>1544</v>
      </c>
      <c r="B241" s="13" t="s">
        <v>43</v>
      </c>
      <c r="D241" s="3"/>
      <c r="E241" s="3"/>
      <c r="F241" s="3"/>
      <c r="G241" s="3"/>
      <c r="H241" s="3"/>
      <c r="I241" s="3"/>
    </row>
    <row r="242">
      <c r="A242" s="4" t="s">
        <v>1545</v>
      </c>
      <c r="B242" s="13" t="s">
        <v>43</v>
      </c>
      <c r="D242" s="3"/>
      <c r="E242" s="3"/>
      <c r="F242" s="3"/>
      <c r="G242" s="3"/>
      <c r="H242" s="3"/>
      <c r="I242" s="3"/>
    </row>
    <row r="243">
      <c r="A243" s="4" t="s">
        <v>1546</v>
      </c>
      <c r="B243" s="13" t="s">
        <v>43</v>
      </c>
      <c r="D243" s="3"/>
      <c r="E243" s="3"/>
      <c r="F243" s="3"/>
      <c r="G243" s="3"/>
      <c r="H243" s="3"/>
      <c r="I243" s="3"/>
    </row>
    <row r="244">
      <c r="A244" s="4" t="s">
        <v>1547</v>
      </c>
      <c r="B244" s="13" t="s">
        <v>43</v>
      </c>
      <c r="D244" s="3"/>
      <c r="E244" s="3"/>
      <c r="F244" s="3"/>
      <c r="G244" s="3"/>
      <c r="H244" s="3"/>
      <c r="I244" s="3"/>
    </row>
    <row r="245">
      <c r="A245" s="4" t="s">
        <v>1548</v>
      </c>
      <c r="B245" s="13" t="s">
        <v>43</v>
      </c>
      <c r="D245" s="3"/>
      <c r="E245" s="3"/>
      <c r="F245" s="3"/>
      <c r="G245" s="3"/>
      <c r="H245" s="3"/>
      <c r="I245" s="3"/>
    </row>
    <row r="246">
      <c r="A246" s="4" t="s">
        <v>1549</v>
      </c>
      <c r="B246" s="13" t="s">
        <v>43</v>
      </c>
      <c r="D246" s="3"/>
      <c r="E246" s="3"/>
      <c r="F246" s="3"/>
      <c r="G246" s="3"/>
      <c r="H246" s="3"/>
      <c r="I246" s="3"/>
    </row>
    <row r="247">
      <c r="A247" s="4" t="s">
        <v>1550</v>
      </c>
      <c r="B247" s="13" t="s">
        <v>43</v>
      </c>
      <c r="D247" s="3"/>
      <c r="E247" s="3"/>
      <c r="F247" s="3"/>
      <c r="G247" s="3"/>
      <c r="H247" s="3"/>
      <c r="I247" s="3"/>
    </row>
    <row r="248">
      <c r="A248" s="4" t="s">
        <v>1551</v>
      </c>
      <c r="B248" s="13" t="s">
        <v>43</v>
      </c>
      <c r="D248" s="3"/>
      <c r="E248" s="3"/>
      <c r="F248" s="3"/>
      <c r="G248" s="3"/>
      <c r="H248" s="3"/>
      <c r="I248" s="3"/>
    </row>
    <row r="249">
      <c r="A249" s="4" t="s">
        <v>1552</v>
      </c>
      <c r="B249" s="13" t="s">
        <v>43</v>
      </c>
      <c r="D249" s="3"/>
      <c r="E249" s="3"/>
      <c r="F249" s="3"/>
      <c r="G249" s="3"/>
      <c r="H249" s="3"/>
      <c r="I249" s="3"/>
    </row>
    <row r="250">
      <c r="A250" s="4" t="s">
        <v>1553</v>
      </c>
      <c r="B250" s="13" t="s">
        <v>43</v>
      </c>
      <c r="D250" s="3"/>
      <c r="E250" s="3"/>
      <c r="F250" s="3"/>
      <c r="G250" s="3"/>
      <c r="H250" s="3"/>
      <c r="I250" s="3"/>
    </row>
    <row r="251">
      <c r="A251" s="4" t="s">
        <v>1554</v>
      </c>
      <c r="B251" s="13" t="s">
        <v>43</v>
      </c>
      <c r="D251" s="3"/>
      <c r="E251" s="3"/>
      <c r="F251" s="3"/>
      <c r="G251" s="3"/>
      <c r="H251" s="3"/>
      <c r="I251" s="3"/>
    </row>
    <row r="252">
      <c r="A252" s="4" t="s">
        <v>1555</v>
      </c>
      <c r="B252" s="13" t="s">
        <v>43</v>
      </c>
      <c r="D252" s="3"/>
      <c r="E252" s="3"/>
      <c r="F252" s="3"/>
      <c r="G252" s="3"/>
      <c r="H252" s="3"/>
      <c r="I252" s="3"/>
    </row>
    <row r="253">
      <c r="A253" s="4" t="s">
        <v>1556</v>
      </c>
      <c r="B253" s="13" t="s">
        <v>43</v>
      </c>
      <c r="D253" s="3"/>
      <c r="E253" s="3"/>
      <c r="F253" s="3"/>
      <c r="G253" s="3"/>
      <c r="H253" s="3"/>
      <c r="I253" s="3"/>
    </row>
    <row r="254">
      <c r="A254" s="4" t="s">
        <v>1557</v>
      </c>
      <c r="B254" s="13" t="s">
        <v>43</v>
      </c>
      <c r="D254" s="3"/>
      <c r="E254" s="3"/>
      <c r="F254" s="3"/>
      <c r="G254" s="3"/>
      <c r="H254" s="3"/>
      <c r="I254" s="3"/>
    </row>
    <row r="255">
      <c r="A255" s="4" t="s">
        <v>1558</v>
      </c>
      <c r="B255" s="13" t="s">
        <v>43</v>
      </c>
      <c r="D255" s="3"/>
      <c r="E255" s="3"/>
      <c r="F255" s="3"/>
      <c r="G255" s="3"/>
      <c r="H255" s="3"/>
      <c r="I255" s="3"/>
    </row>
    <row r="256">
      <c r="A256" s="4" t="s">
        <v>1559</v>
      </c>
      <c r="B256" s="13" t="s">
        <v>43</v>
      </c>
      <c r="D256" s="3"/>
      <c r="E256" s="3"/>
      <c r="F256" s="3"/>
      <c r="G256" s="3"/>
      <c r="H256" s="3"/>
      <c r="I256" s="3"/>
    </row>
    <row r="257">
      <c r="A257" s="4" t="s">
        <v>1560</v>
      </c>
      <c r="B257" s="13" t="s">
        <v>43</v>
      </c>
      <c r="D257" s="3"/>
      <c r="E257" s="3"/>
      <c r="F257" s="3"/>
      <c r="G257" s="3"/>
      <c r="H257" s="3"/>
      <c r="I257" s="3"/>
    </row>
    <row r="258">
      <c r="A258" s="4" t="s">
        <v>1561</v>
      </c>
      <c r="B258" s="13" t="s">
        <v>43</v>
      </c>
      <c r="D258" s="3"/>
      <c r="E258" s="3"/>
      <c r="F258" s="3"/>
      <c r="G258" s="3"/>
      <c r="H258" s="3"/>
      <c r="I258" s="3"/>
    </row>
    <row r="259">
      <c r="A259" s="4" t="s">
        <v>1562</v>
      </c>
      <c r="B259" s="13" t="s">
        <v>43</v>
      </c>
      <c r="D259" s="3"/>
      <c r="E259" s="3"/>
      <c r="F259" s="3"/>
      <c r="G259" s="3"/>
      <c r="H259" s="3"/>
      <c r="I259" s="3"/>
    </row>
    <row r="260">
      <c r="A260" s="4" t="s">
        <v>1563</v>
      </c>
      <c r="B260" s="13" t="s">
        <v>43</v>
      </c>
      <c r="D260" s="3"/>
      <c r="E260" s="3"/>
      <c r="F260" s="3"/>
      <c r="G260" s="3"/>
      <c r="H260" s="3"/>
      <c r="I260" s="3"/>
    </row>
    <row r="261">
      <c r="A261" s="4" t="s">
        <v>1564</v>
      </c>
      <c r="B261" s="13" t="s">
        <v>43</v>
      </c>
      <c r="D261" s="3"/>
      <c r="E261" s="3"/>
      <c r="F261" s="3"/>
      <c r="G261" s="3"/>
      <c r="H261" s="3"/>
      <c r="I261" s="3"/>
    </row>
    <row r="262">
      <c r="A262" s="4" t="s">
        <v>1565</v>
      </c>
      <c r="B262" s="13" t="s">
        <v>43</v>
      </c>
      <c r="D262" s="3"/>
      <c r="E262" s="3"/>
      <c r="F262" s="3"/>
      <c r="G262" s="3"/>
      <c r="H262" s="3"/>
      <c r="I262" s="3"/>
    </row>
    <row r="263">
      <c r="A263" s="4" t="s">
        <v>1566</v>
      </c>
      <c r="B263" s="13" t="s">
        <v>43</v>
      </c>
      <c r="D263" s="3"/>
      <c r="E263" s="3"/>
      <c r="F263" s="3"/>
      <c r="G263" s="3"/>
      <c r="H263" s="3"/>
      <c r="I263" s="3"/>
    </row>
    <row r="264">
      <c r="A264" s="4" t="s">
        <v>1567</v>
      </c>
      <c r="B264" s="13" t="s">
        <v>43</v>
      </c>
      <c r="D264" s="3"/>
      <c r="E264" s="3"/>
      <c r="F264" s="3"/>
      <c r="G264" s="3"/>
      <c r="H264" s="3"/>
      <c r="I264" s="3"/>
    </row>
    <row r="265">
      <c r="A265" s="4" t="s">
        <v>1568</v>
      </c>
      <c r="B265" s="13" t="s">
        <v>43</v>
      </c>
      <c r="D265" s="3"/>
      <c r="E265" s="3"/>
      <c r="F265" s="3"/>
      <c r="G265" s="3"/>
      <c r="H265" s="3"/>
      <c r="I265" s="3"/>
    </row>
    <row r="266">
      <c r="A266" s="4" t="s">
        <v>1569</v>
      </c>
      <c r="B266" s="13" t="s">
        <v>43</v>
      </c>
      <c r="D266" s="3"/>
      <c r="E266" s="3"/>
      <c r="F266" s="3"/>
      <c r="G266" s="3"/>
      <c r="H266" s="3"/>
      <c r="I266" s="3"/>
    </row>
    <row r="267">
      <c r="A267" s="4" t="s">
        <v>1570</v>
      </c>
      <c r="B267" s="13" t="s">
        <v>43</v>
      </c>
      <c r="D267" s="3"/>
      <c r="E267" s="3"/>
      <c r="F267" s="3"/>
      <c r="G267" s="3"/>
      <c r="H267" s="3"/>
      <c r="I267" s="3"/>
    </row>
    <row r="268">
      <c r="A268" s="4" t="s">
        <v>1571</v>
      </c>
      <c r="B268" s="13" t="s">
        <v>43</v>
      </c>
      <c r="D268" s="3"/>
      <c r="E268" s="3"/>
      <c r="F268" s="3"/>
      <c r="G268" s="3"/>
      <c r="H268" s="3"/>
      <c r="I268" s="3"/>
    </row>
    <row r="269">
      <c r="A269" s="4" t="s">
        <v>1572</v>
      </c>
      <c r="B269" s="13" t="s">
        <v>43</v>
      </c>
      <c r="D269" s="3"/>
      <c r="E269" s="3"/>
      <c r="F269" s="3"/>
      <c r="G269" s="3"/>
      <c r="H269" s="3"/>
      <c r="I269" s="3"/>
    </row>
    <row r="270">
      <c r="A270" s="4" t="s">
        <v>1573</v>
      </c>
      <c r="B270" s="13" t="s">
        <v>43</v>
      </c>
      <c r="D270" s="3"/>
      <c r="E270" s="3"/>
      <c r="F270" s="3"/>
      <c r="G270" s="3"/>
      <c r="H270" s="3"/>
      <c r="I270" s="3"/>
    </row>
    <row r="271">
      <c r="A271" s="4" t="s">
        <v>1574</v>
      </c>
      <c r="B271" s="13" t="s">
        <v>43</v>
      </c>
      <c r="D271" s="3"/>
      <c r="E271" s="3"/>
      <c r="F271" s="3"/>
      <c r="G271" s="3"/>
      <c r="H271" s="3"/>
      <c r="I271" s="3"/>
    </row>
    <row r="272">
      <c r="A272" s="4" t="s">
        <v>1575</v>
      </c>
      <c r="B272" s="13" t="s">
        <v>43</v>
      </c>
      <c r="D272" s="3"/>
      <c r="E272" s="3"/>
      <c r="F272" s="3"/>
      <c r="G272" s="3"/>
      <c r="H272" s="3"/>
      <c r="I272" s="3"/>
    </row>
    <row r="273">
      <c r="A273" s="4" t="s">
        <v>1576</v>
      </c>
      <c r="B273" s="13" t="s">
        <v>43</v>
      </c>
      <c r="D273" s="3"/>
      <c r="E273" s="3"/>
      <c r="F273" s="3"/>
      <c r="G273" s="3"/>
      <c r="H273" s="3"/>
      <c r="I273" s="3"/>
    </row>
    <row r="274">
      <c r="A274" s="4" t="s">
        <v>1577</v>
      </c>
      <c r="B274" s="13" t="s">
        <v>43</v>
      </c>
      <c r="D274" s="3"/>
      <c r="E274" s="3"/>
      <c r="F274" s="3"/>
      <c r="G274" s="3"/>
      <c r="H274" s="3"/>
      <c r="I274" s="3"/>
    </row>
    <row r="275">
      <c r="A275" s="4" t="s">
        <v>1578</v>
      </c>
      <c r="B275" s="13" t="s">
        <v>43</v>
      </c>
      <c r="D275" s="3"/>
      <c r="E275" s="3"/>
      <c r="F275" s="3"/>
      <c r="G275" s="3"/>
      <c r="H275" s="3"/>
      <c r="I275" s="3"/>
    </row>
    <row r="276">
      <c r="A276" s="4" t="s">
        <v>1579</v>
      </c>
      <c r="B276" s="13" t="s">
        <v>43</v>
      </c>
      <c r="D276" s="3"/>
      <c r="E276" s="3"/>
      <c r="F276" s="3"/>
      <c r="G276" s="3"/>
      <c r="H276" s="3"/>
      <c r="I276" s="3"/>
    </row>
    <row r="277">
      <c r="A277" s="4" t="s">
        <v>1580</v>
      </c>
      <c r="B277" s="13" t="s">
        <v>43</v>
      </c>
      <c r="D277" s="3"/>
      <c r="E277" s="3"/>
      <c r="F277" s="3"/>
      <c r="G277" s="3"/>
      <c r="H277" s="3"/>
      <c r="I277" s="3"/>
    </row>
    <row r="278">
      <c r="A278" s="4" t="s">
        <v>1581</v>
      </c>
      <c r="B278" s="13" t="s">
        <v>43</v>
      </c>
      <c r="D278" s="3"/>
      <c r="E278" s="3"/>
      <c r="F278" s="3"/>
      <c r="G278" s="3"/>
      <c r="H278" s="3"/>
      <c r="I278" s="3"/>
    </row>
    <row r="279">
      <c r="A279" s="4" t="s">
        <v>1582</v>
      </c>
      <c r="B279" s="13" t="s">
        <v>43</v>
      </c>
      <c r="D279" s="3"/>
      <c r="E279" s="3"/>
      <c r="F279" s="3"/>
      <c r="G279" s="3"/>
      <c r="H279" s="3"/>
      <c r="I279" s="3"/>
    </row>
    <row r="280">
      <c r="A280" s="4" t="s">
        <v>1583</v>
      </c>
      <c r="B280" s="13" t="s">
        <v>43</v>
      </c>
      <c r="D280" s="3"/>
      <c r="E280" s="3"/>
      <c r="F280" s="3"/>
      <c r="G280" s="3"/>
      <c r="H280" s="3"/>
      <c r="I280" s="3"/>
    </row>
    <row r="281">
      <c r="A281" s="4" t="s">
        <v>1584</v>
      </c>
      <c r="B281" s="13" t="s">
        <v>43</v>
      </c>
      <c r="D281" s="3"/>
      <c r="E281" s="3"/>
      <c r="F281" s="3"/>
      <c r="G281" s="3"/>
      <c r="H281" s="3"/>
      <c r="I281" s="3"/>
    </row>
    <row r="282">
      <c r="A282" s="4" t="s">
        <v>1585</v>
      </c>
      <c r="B282" s="13" t="s">
        <v>43</v>
      </c>
      <c r="D282" s="3"/>
      <c r="E282" s="3"/>
      <c r="F282" s="3"/>
      <c r="G282" s="3"/>
      <c r="H282" s="3"/>
      <c r="I282" s="3"/>
    </row>
    <row r="283">
      <c r="A283" s="4" t="s">
        <v>1586</v>
      </c>
      <c r="B283" s="13" t="s">
        <v>43</v>
      </c>
      <c r="D283" s="3"/>
      <c r="E283" s="3"/>
      <c r="F283" s="3"/>
      <c r="G283" s="3"/>
      <c r="H283" s="3"/>
      <c r="I283" s="3"/>
    </row>
    <row r="284">
      <c r="A284" s="4" t="s">
        <v>1587</v>
      </c>
      <c r="B284" s="13" t="s">
        <v>43</v>
      </c>
      <c r="D284" s="3"/>
      <c r="E284" s="3"/>
      <c r="F284" s="3"/>
      <c r="G284" s="3"/>
      <c r="H284" s="3"/>
      <c r="I284" s="3"/>
    </row>
    <row r="285">
      <c r="A285" s="4" t="s">
        <v>1588</v>
      </c>
      <c r="B285" s="13" t="s">
        <v>43</v>
      </c>
      <c r="D285" s="3"/>
      <c r="E285" s="3"/>
      <c r="F285" s="3"/>
      <c r="G285" s="3"/>
      <c r="H285" s="3"/>
      <c r="I285" s="3"/>
    </row>
    <row r="286">
      <c r="A286" s="4" t="s">
        <v>1589</v>
      </c>
      <c r="B286" s="13" t="s">
        <v>43</v>
      </c>
      <c r="D286" s="3"/>
      <c r="E286" s="3"/>
      <c r="F286" s="3"/>
      <c r="G286" s="3"/>
      <c r="H286" s="3"/>
      <c r="I286" s="3"/>
    </row>
    <row r="287">
      <c r="A287" s="4" t="s">
        <v>1590</v>
      </c>
      <c r="B287" s="13" t="s">
        <v>43</v>
      </c>
      <c r="D287" s="3"/>
      <c r="E287" s="3"/>
      <c r="F287" s="3"/>
      <c r="G287" s="3"/>
      <c r="H287" s="3"/>
      <c r="I287" s="3"/>
    </row>
    <row r="288">
      <c r="A288" s="4" t="s">
        <v>1591</v>
      </c>
      <c r="B288" s="13" t="s">
        <v>43</v>
      </c>
      <c r="D288" s="3"/>
      <c r="E288" s="3"/>
      <c r="F288" s="3"/>
      <c r="G288" s="3"/>
      <c r="H288" s="3"/>
      <c r="I288" s="3"/>
    </row>
    <row r="289">
      <c r="A289" s="4" t="s">
        <v>1592</v>
      </c>
      <c r="B289" s="13" t="s">
        <v>43</v>
      </c>
      <c r="D289" s="3"/>
      <c r="E289" s="3"/>
      <c r="F289" s="3"/>
      <c r="G289" s="3"/>
      <c r="H289" s="3"/>
      <c r="I289" s="3"/>
    </row>
    <row r="290">
      <c r="A290" s="4" t="s">
        <v>1593</v>
      </c>
      <c r="B290" s="13" t="s">
        <v>43</v>
      </c>
      <c r="D290" s="3"/>
      <c r="E290" s="3"/>
      <c r="F290" s="3"/>
      <c r="G290" s="3"/>
      <c r="H290" s="3"/>
      <c r="I290" s="3"/>
    </row>
    <row r="291">
      <c r="A291" s="4" t="s">
        <v>1594</v>
      </c>
      <c r="B291" s="13" t="s">
        <v>43</v>
      </c>
      <c r="D291" s="3"/>
      <c r="E291" s="3"/>
      <c r="F291" s="3"/>
      <c r="G291" s="3"/>
      <c r="H291" s="3"/>
      <c r="I291" s="3"/>
    </row>
    <row r="292">
      <c r="A292" s="4" t="s">
        <v>1595</v>
      </c>
      <c r="B292" s="13" t="s">
        <v>43</v>
      </c>
      <c r="D292" s="3"/>
      <c r="E292" s="3"/>
      <c r="F292" s="3"/>
      <c r="G292" s="3"/>
      <c r="H292" s="3"/>
      <c r="I292" s="3"/>
    </row>
    <row r="293">
      <c r="A293" s="4" t="s">
        <v>1596</v>
      </c>
      <c r="B293" s="13" t="s">
        <v>48</v>
      </c>
      <c r="C293" s="4">
        <v>1.0</v>
      </c>
      <c r="D293" s="3"/>
      <c r="E293" s="3"/>
      <c r="F293" s="3"/>
      <c r="G293" s="4">
        <v>10.0</v>
      </c>
      <c r="H293" s="3"/>
      <c r="I293" s="3"/>
    </row>
    <row r="294">
      <c r="A294" s="4" t="s">
        <v>1597</v>
      </c>
      <c r="B294" s="13" t="s">
        <v>48</v>
      </c>
      <c r="C294" s="4">
        <v>1.0</v>
      </c>
      <c r="D294" s="3"/>
      <c r="E294" s="3"/>
      <c r="F294" s="3"/>
      <c r="G294" s="4">
        <v>10.0</v>
      </c>
      <c r="H294" s="3"/>
      <c r="I294" s="3"/>
    </row>
    <row r="295">
      <c r="A295" s="4" t="s">
        <v>1598</v>
      </c>
      <c r="B295" s="13" t="s">
        <v>48</v>
      </c>
      <c r="C295" s="4">
        <v>1.0</v>
      </c>
      <c r="D295" s="3"/>
      <c r="E295" s="3"/>
      <c r="F295" s="3"/>
      <c r="G295" s="4">
        <v>10.0</v>
      </c>
      <c r="H295" s="3"/>
      <c r="I295" s="3"/>
    </row>
    <row r="296">
      <c r="A296" s="4" t="s">
        <v>1599</v>
      </c>
      <c r="B296" s="13" t="s">
        <v>48</v>
      </c>
      <c r="C296" s="4">
        <v>1.0</v>
      </c>
      <c r="D296" s="3"/>
      <c r="E296" s="3"/>
      <c r="F296" s="3"/>
      <c r="G296" s="4">
        <v>10.0</v>
      </c>
      <c r="H296" s="3"/>
      <c r="I296" s="3"/>
    </row>
    <row r="297">
      <c r="A297" s="4" t="s">
        <v>1600</v>
      </c>
      <c r="B297" s="13" t="s">
        <v>48</v>
      </c>
      <c r="C297" s="4">
        <v>1.0</v>
      </c>
      <c r="D297" s="3"/>
      <c r="E297" s="3"/>
      <c r="F297" s="3"/>
      <c r="G297" s="4">
        <v>10.0</v>
      </c>
      <c r="H297" s="3"/>
      <c r="I297" s="3"/>
    </row>
    <row r="298">
      <c r="A298" s="4" t="s">
        <v>1601</v>
      </c>
      <c r="B298" s="13" t="s">
        <v>48</v>
      </c>
      <c r="C298" s="4">
        <v>1.0</v>
      </c>
      <c r="D298" s="3"/>
      <c r="E298" s="3"/>
      <c r="F298" s="3"/>
      <c r="G298" s="4">
        <v>10.0</v>
      </c>
      <c r="H298" s="3"/>
      <c r="I298" s="3"/>
    </row>
    <row r="299">
      <c r="A299" s="4" t="s">
        <v>1602</v>
      </c>
      <c r="B299" s="13" t="s">
        <v>48</v>
      </c>
      <c r="C299" s="4">
        <v>1.0</v>
      </c>
      <c r="D299" s="3"/>
      <c r="E299" s="3"/>
      <c r="F299" s="3"/>
      <c r="G299" s="4">
        <v>10.0</v>
      </c>
      <c r="H299" s="3"/>
      <c r="I299" s="3"/>
    </row>
    <row r="300">
      <c r="A300" s="4" t="s">
        <v>1603</v>
      </c>
      <c r="B300" s="13" t="s">
        <v>48</v>
      </c>
      <c r="C300" s="4">
        <v>1.0</v>
      </c>
      <c r="D300" s="3"/>
      <c r="E300" s="3"/>
      <c r="F300" s="3"/>
      <c r="G300" s="4">
        <v>10.0</v>
      </c>
      <c r="H300" s="3"/>
      <c r="I300" s="3"/>
    </row>
    <row r="301">
      <c r="A301" s="4" t="s">
        <v>1604</v>
      </c>
      <c r="B301" s="13" t="s">
        <v>48</v>
      </c>
      <c r="C301" s="4">
        <v>1.0</v>
      </c>
      <c r="D301" s="3"/>
      <c r="E301" s="3"/>
      <c r="F301" s="3"/>
      <c r="G301" s="4">
        <v>10.0</v>
      </c>
      <c r="H301" s="3"/>
      <c r="I301" s="3"/>
    </row>
    <row r="302">
      <c r="A302" s="4" t="s">
        <v>1605</v>
      </c>
      <c r="B302" s="13" t="s">
        <v>48</v>
      </c>
      <c r="C302" s="4">
        <v>1.0</v>
      </c>
      <c r="D302" s="3"/>
      <c r="E302" s="3"/>
      <c r="F302" s="3"/>
      <c r="G302" s="4">
        <v>10.0</v>
      </c>
      <c r="H302" s="3"/>
      <c r="I302" s="3"/>
    </row>
    <row r="303">
      <c r="A303" s="4" t="s">
        <v>1606</v>
      </c>
      <c r="B303" s="13" t="s">
        <v>48</v>
      </c>
      <c r="C303" s="4">
        <v>1.0</v>
      </c>
      <c r="D303" s="3"/>
      <c r="E303" s="3"/>
      <c r="F303" s="3"/>
      <c r="G303" s="4">
        <v>10.0</v>
      </c>
      <c r="H303" s="3"/>
      <c r="I303" s="3"/>
    </row>
    <row r="304">
      <c r="A304" s="4" t="s">
        <v>1607</v>
      </c>
      <c r="B304" s="13" t="s">
        <v>48</v>
      </c>
      <c r="C304" s="4">
        <v>1.0</v>
      </c>
      <c r="D304" s="3"/>
      <c r="E304" s="3"/>
      <c r="F304" s="3"/>
      <c r="G304" s="4">
        <v>10.0</v>
      </c>
      <c r="H304" s="3"/>
      <c r="I304" s="3"/>
    </row>
    <row r="305">
      <c r="A305" s="4" t="s">
        <v>1608</v>
      </c>
      <c r="B305" s="13" t="s">
        <v>48</v>
      </c>
      <c r="C305" s="4">
        <v>1.0</v>
      </c>
      <c r="D305" s="3"/>
      <c r="E305" s="3"/>
      <c r="F305" s="3"/>
      <c r="G305" s="4">
        <v>10.0</v>
      </c>
      <c r="H305" s="3"/>
      <c r="I305" s="3"/>
    </row>
    <row r="306">
      <c r="A306" s="4" t="s">
        <v>1609</v>
      </c>
      <c r="B306" s="13" t="s">
        <v>48</v>
      </c>
      <c r="C306" s="4">
        <v>1.0</v>
      </c>
      <c r="D306" s="3"/>
      <c r="E306" s="3"/>
      <c r="F306" s="3"/>
      <c r="G306" s="4">
        <v>10.0</v>
      </c>
      <c r="H306" s="3"/>
      <c r="I306" s="3"/>
    </row>
    <row r="307">
      <c r="A307" s="4" t="s">
        <v>1610</v>
      </c>
      <c r="B307" s="13" t="s">
        <v>48</v>
      </c>
      <c r="C307" s="4">
        <v>1.0</v>
      </c>
      <c r="D307" s="3"/>
      <c r="E307" s="3"/>
      <c r="F307" s="3"/>
      <c r="G307" s="4">
        <v>10.0</v>
      </c>
      <c r="H307" s="3"/>
      <c r="I307" s="3"/>
    </row>
    <row r="308">
      <c r="A308" s="4" t="s">
        <v>1611</v>
      </c>
      <c r="B308" s="13" t="s">
        <v>48</v>
      </c>
      <c r="C308" s="4">
        <v>1.0</v>
      </c>
      <c r="D308" s="3"/>
      <c r="E308" s="3"/>
      <c r="F308" s="3"/>
      <c r="G308" s="4">
        <v>10.0</v>
      </c>
      <c r="H308" s="3"/>
      <c r="I308" s="3"/>
    </row>
    <row r="309">
      <c r="A309" s="4" t="s">
        <v>1612</v>
      </c>
      <c r="B309" s="13" t="s">
        <v>48</v>
      </c>
      <c r="C309" s="4">
        <v>1.0</v>
      </c>
      <c r="D309" s="3"/>
      <c r="E309" s="3"/>
      <c r="F309" s="3"/>
      <c r="G309" s="4">
        <v>10.0</v>
      </c>
      <c r="H309" s="3"/>
      <c r="I309" s="3"/>
    </row>
    <row r="310">
      <c r="A310" s="4" t="s">
        <v>1613</v>
      </c>
      <c r="B310" s="13" t="s">
        <v>48</v>
      </c>
      <c r="C310" s="4">
        <v>1.0</v>
      </c>
      <c r="D310" s="3"/>
      <c r="E310" s="3"/>
      <c r="F310" s="3"/>
      <c r="G310" s="4">
        <v>10.0</v>
      </c>
      <c r="H310" s="3"/>
      <c r="I310" s="3"/>
    </row>
    <row r="311">
      <c r="A311" s="4" t="s">
        <v>1614</v>
      </c>
      <c r="B311" s="13" t="s">
        <v>48</v>
      </c>
      <c r="C311" s="4">
        <v>1.0</v>
      </c>
      <c r="D311" s="3"/>
      <c r="E311" s="3"/>
      <c r="F311" s="3"/>
      <c r="G311" s="4">
        <v>10.0</v>
      </c>
      <c r="H311" s="3"/>
      <c r="I311" s="3"/>
    </row>
    <row r="312">
      <c r="A312" s="4" t="s">
        <v>1615</v>
      </c>
      <c r="B312" s="13" t="s">
        <v>48</v>
      </c>
      <c r="C312" s="4">
        <v>1.0</v>
      </c>
      <c r="D312" s="3"/>
      <c r="E312" s="3"/>
      <c r="F312" s="3"/>
      <c r="G312" s="4">
        <v>10.0</v>
      </c>
      <c r="H312" s="3"/>
      <c r="I312" s="3"/>
    </row>
    <row r="313">
      <c r="A313" s="4" t="s">
        <v>1616</v>
      </c>
      <c r="B313" s="13" t="s">
        <v>48</v>
      </c>
      <c r="C313" s="4">
        <v>1.0</v>
      </c>
      <c r="D313" s="3"/>
      <c r="E313" s="3"/>
      <c r="F313" s="3"/>
      <c r="G313" s="4">
        <v>10.0</v>
      </c>
      <c r="H313" s="3"/>
      <c r="I313" s="3"/>
    </row>
    <row r="314">
      <c r="A314" s="4" t="s">
        <v>1617</v>
      </c>
      <c r="B314" s="13" t="s">
        <v>48</v>
      </c>
      <c r="C314" s="4">
        <v>1.0</v>
      </c>
      <c r="D314" s="3"/>
      <c r="E314" s="3"/>
      <c r="F314" s="3"/>
      <c r="G314" s="4">
        <v>10.0</v>
      </c>
      <c r="H314" s="3"/>
      <c r="I314" s="3"/>
    </row>
    <row r="315">
      <c r="A315" s="4" t="s">
        <v>1618</v>
      </c>
      <c r="B315" s="13" t="s">
        <v>48</v>
      </c>
      <c r="C315" s="4">
        <v>1.0</v>
      </c>
      <c r="D315" s="3"/>
      <c r="E315" s="3"/>
      <c r="F315" s="3"/>
      <c r="G315" s="4">
        <v>10.0</v>
      </c>
      <c r="H315" s="3"/>
      <c r="I315" s="3"/>
    </row>
    <row r="316">
      <c r="A316" s="4" t="s">
        <v>1619</v>
      </c>
      <c r="B316" s="13" t="s">
        <v>48</v>
      </c>
      <c r="C316" s="4">
        <v>1.0</v>
      </c>
      <c r="D316" s="3"/>
      <c r="E316" s="3"/>
      <c r="F316" s="3"/>
      <c r="G316" s="4">
        <v>10.0</v>
      </c>
      <c r="H316" s="3"/>
      <c r="I316" s="3"/>
    </row>
    <row r="317">
      <c r="A317" s="4" t="s">
        <v>1620</v>
      </c>
      <c r="B317" s="13" t="s">
        <v>48</v>
      </c>
      <c r="C317" s="4">
        <v>1.0</v>
      </c>
      <c r="D317" s="3"/>
      <c r="E317" s="3"/>
      <c r="F317" s="3"/>
      <c r="G317" s="4">
        <v>10.0</v>
      </c>
      <c r="H317" s="3"/>
      <c r="I317" s="3"/>
    </row>
    <row r="318">
      <c r="A318" s="4" t="s">
        <v>1621</v>
      </c>
      <c r="B318" s="13" t="s">
        <v>48</v>
      </c>
      <c r="C318" s="4">
        <v>1.0</v>
      </c>
      <c r="D318" s="3"/>
      <c r="E318" s="3"/>
      <c r="F318" s="3"/>
      <c r="G318" s="4">
        <v>10.0</v>
      </c>
      <c r="H318" s="3"/>
      <c r="I318" s="3"/>
    </row>
    <row r="319">
      <c r="A319" s="4" t="s">
        <v>1622</v>
      </c>
      <c r="B319" s="13" t="s">
        <v>48</v>
      </c>
      <c r="C319" s="4">
        <v>1.0</v>
      </c>
      <c r="D319" s="3"/>
      <c r="E319" s="3"/>
      <c r="F319" s="3"/>
      <c r="G319" s="4">
        <v>10.0</v>
      </c>
      <c r="H319" s="3"/>
      <c r="I319" s="3"/>
    </row>
    <row r="320">
      <c r="A320" s="4" t="s">
        <v>1623</v>
      </c>
      <c r="B320" s="13" t="s">
        <v>48</v>
      </c>
      <c r="C320" s="4">
        <v>1.0</v>
      </c>
      <c r="D320" s="3"/>
      <c r="E320" s="3"/>
      <c r="F320" s="3"/>
      <c r="G320" s="4">
        <v>10.0</v>
      </c>
      <c r="H320" s="3"/>
      <c r="I320" s="3"/>
    </row>
    <row r="321">
      <c r="A321" s="4" t="s">
        <v>1624</v>
      </c>
      <c r="B321" s="13" t="s">
        <v>48</v>
      </c>
      <c r="C321" s="4">
        <v>1.0</v>
      </c>
      <c r="D321" s="3"/>
      <c r="E321" s="3"/>
      <c r="F321" s="3"/>
      <c r="G321" s="4">
        <v>10.0</v>
      </c>
      <c r="H321" s="3"/>
      <c r="I321" s="3"/>
    </row>
    <row r="322">
      <c r="A322" s="4" t="s">
        <v>1625</v>
      </c>
      <c r="B322" s="13" t="s">
        <v>48</v>
      </c>
      <c r="C322" s="4">
        <v>1.0</v>
      </c>
      <c r="D322" s="3"/>
      <c r="E322" s="3"/>
      <c r="F322" s="3"/>
      <c r="G322" s="4">
        <v>10.0</v>
      </c>
      <c r="H322" s="3"/>
      <c r="I322" s="3"/>
    </row>
    <row r="323">
      <c r="A323" s="4" t="s">
        <v>1626</v>
      </c>
      <c r="B323" s="13" t="s">
        <v>48</v>
      </c>
      <c r="C323" s="4">
        <v>1.0</v>
      </c>
      <c r="D323" s="3"/>
      <c r="E323" s="3"/>
      <c r="F323" s="3"/>
      <c r="G323" s="4">
        <v>10.0</v>
      </c>
      <c r="H323" s="3"/>
      <c r="I323" s="3"/>
    </row>
    <row r="324">
      <c r="A324" s="4" t="s">
        <v>1627</v>
      </c>
      <c r="B324" s="13" t="s">
        <v>48</v>
      </c>
      <c r="C324" s="4">
        <v>1.0</v>
      </c>
      <c r="D324" s="3"/>
      <c r="E324" s="3"/>
      <c r="F324" s="3"/>
      <c r="G324" s="4">
        <v>10.0</v>
      </c>
      <c r="H324" s="3"/>
      <c r="I324" s="3"/>
    </row>
    <row r="325">
      <c r="A325" s="4" t="s">
        <v>1628</v>
      </c>
      <c r="B325" s="13" t="s">
        <v>48</v>
      </c>
      <c r="C325" s="4">
        <v>1.0</v>
      </c>
      <c r="D325" s="3"/>
      <c r="E325" s="3"/>
      <c r="F325" s="3"/>
      <c r="G325" s="4">
        <v>10.0</v>
      </c>
      <c r="H325" s="3"/>
      <c r="I325" s="3"/>
    </row>
    <row r="326">
      <c r="A326" s="4" t="s">
        <v>1629</v>
      </c>
      <c r="B326" s="13" t="s">
        <v>48</v>
      </c>
      <c r="C326" s="4">
        <v>1.0</v>
      </c>
      <c r="D326" s="3"/>
      <c r="E326" s="3"/>
      <c r="F326" s="3"/>
      <c r="G326" s="4">
        <v>10.0</v>
      </c>
      <c r="H326" s="3"/>
      <c r="I326" s="3"/>
    </row>
    <row r="327">
      <c r="A327" s="4" t="s">
        <v>1630</v>
      </c>
      <c r="B327" s="13" t="s">
        <v>48</v>
      </c>
      <c r="C327" s="4">
        <v>1.0</v>
      </c>
      <c r="D327" s="3"/>
      <c r="E327" s="3"/>
      <c r="F327" s="3"/>
      <c r="G327" s="4">
        <v>10.0</v>
      </c>
      <c r="H327" s="3"/>
      <c r="I327" s="3"/>
    </row>
    <row r="328">
      <c r="A328" s="4" t="s">
        <v>1631</v>
      </c>
      <c r="B328" s="13" t="s">
        <v>43</v>
      </c>
      <c r="D328" s="3"/>
      <c r="E328" s="3"/>
      <c r="F328" s="3"/>
      <c r="G328" s="3"/>
      <c r="H328" s="3"/>
      <c r="I328" s="3"/>
    </row>
    <row r="329">
      <c r="A329" s="4" t="s">
        <v>1632</v>
      </c>
      <c r="B329" s="13" t="s">
        <v>43</v>
      </c>
      <c r="D329" s="3"/>
      <c r="E329" s="3"/>
      <c r="F329" s="3"/>
      <c r="G329" s="3"/>
      <c r="H329" s="3"/>
      <c r="I329" s="3"/>
    </row>
    <row r="330">
      <c r="A330" s="4" t="s">
        <v>1633</v>
      </c>
      <c r="B330" s="13" t="s">
        <v>43</v>
      </c>
      <c r="D330" s="3"/>
      <c r="E330" s="3"/>
      <c r="F330" s="3"/>
      <c r="G330" s="3"/>
      <c r="H330" s="3"/>
      <c r="I330" s="3"/>
    </row>
    <row r="331">
      <c r="A331" s="4" t="s">
        <v>1634</v>
      </c>
      <c r="B331" s="13" t="s">
        <v>43</v>
      </c>
      <c r="D331" s="3"/>
      <c r="E331" s="3"/>
      <c r="F331" s="3"/>
      <c r="G331" s="3"/>
      <c r="H331" s="3"/>
      <c r="I331" s="3"/>
    </row>
    <row r="332">
      <c r="A332" s="4" t="s">
        <v>1635</v>
      </c>
      <c r="B332" s="13" t="s">
        <v>43</v>
      </c>
      <c r="D332" s="3"/>
      <c r="E332" s="3"/>
      <c r="F332" s="3"/>
      <c r="G332" s="3"/>
      <c r="H332" s="3"/>
      <c r="I332" s="3"/>
    </row>
    <row r="333">
      <c r="A333" s="4" t="s">
        <v>1636</v>
      </c>
      <c r="B333" s="13" t="s">
        <v>43</v>
      </c>
      <c r="D333" s="3"/>
      <c r="E333" s="3"/>
      <c r="F333" s="3"/>
      <c r="G333" s="3"/>
      <c r="H333" s="3"/>
      <c r="I333" s="3"/>
    </row>
    <row r="334">
      <c r="A334" s="4" t="s">
        <v>1637</v>
      </c>
      <c r="B334" s="13" t="s">
        <v>43</v>
      </c>
      <c r="D334" s="3"/>
      <c r="E334" s="3"/>
      <c r="F334" s="3"/>
      <c r="G334" s="3"/>
      <c r="H334" s="3"/>
      <c r="I334" s="3"/>
    </row>
    <row r="335">
      <c r="A335" s="4" t="s">
        <v>1638</v>
      </c>
      <c r="B335" s="13" t="s">
        <v>43</v>
      </c>
      <c r="D335" s="3"/>
      <c r="E335" s="3"/>
      <c r="F335" s="3"/>
      <c r="G335" s="3"/>
      <c r="H335" s="3"/>
      <c r="I335" s="3"/>
    </row>
    <row r="336">
      <c r="A336" s="4" t="s">
        <v>1639</v>
      </c>
      <c r="B336" s="13" t="s">
        <v>43</v>
      </c>
      <c r="D336" s="3"/>
      <c r="E336" s="3"/>
      <c r="F336" s="3"/>
      <c r="G336" s="3"/>
      <c r="H336" s="3"/>
      <c r="I336" s="3"/>
    </row>
    <row r="337">
      <c r="A337" s="4" t="s">
        <v>1640</v>
      </c>
      <c r="B337" s="13" t="s">
        <v>43</v>
      </c>
      <c r="D337" s="3"/>
      <c r="E337" s="3"/>
      <c r="F337" s="3"/>
      <c r="G337" s="3"/>
      <c r="H337" s="3"/>
      <c r="I337" s="3"/>
    </row>
    <row r="338">
      <c r="A338" s="4" t="s">
        <v>1641</v>
      </c>
      <c r="B338" s="13" t="s">
        <v>43</v>
      </c>
      <c r="D338" s="3"/>
      <c r="E338" s="3"/>
      <c r="F338" s="3"/>
      <c r="G338" s="3"/>
      <c r="H338" s="3"/>
      <c r="I338" s="3"/>
    </row>
    <row r="339">
      <c r="A339" s="4" t="s">
        <v>1642</v>
      </c>
      <c r="B339" s="13" t="s">
        <v>43</v>
      </c>
      <c r="D339" s="3"/>
      <c r="E339" s="3"/>
      <c r="F339" s="3"/>
      <c r="G339" s="3"/>
      <c r="H339" s="3"/>
      <c r="I339" s="3"/>
    </row>
    <row r="340">
      <c r="A340" s="4" t="s">
        <v>1643</v>
      </c>
      <c r="B340" s="13" t="s">
        <v>43</v>
      </c>
      <c r="D340" s="3"/>
      <c r="E340" s="3"/>
      <c r="F340" s="3"/>
      <c r="G340" s="3"/>
      <c r="H340" s="3"/>
      <c r="I340" s="3"/>
    </row>
    <row r="341">
      <c r="A341" s="4" t="s">
        <v>1644</v>
      </c>
      <c r="B341" s="13" t="s">
        <v>43</v>
      </c>
      <c r="D341" s="3"/>
      <c r="E341" s="3"/>
      <c r="F341" s="3"/>
      <c r="G341" s="3"/>
      <c r="H341" s="3"/>
      <c r="I341" s="3"/>
    </row>
    <row r="342">
      <c r="A342" s="4" t="s">
        <v>1645</v>
      </c>
      <c r="B342" s="13" t="s">
        <v>43</v>
      </c>
      <c r="D342" s="3"/>
      <c r="E342" s="3"/>
      <c r="F342" s="3"/>
      <c r="G342" s="3"/>
      <c r="H342" s="3"/>
      <c r="I342" s="3"/>
    </row>
    <row r="343">
      <c r="A343" s="4" t="s">
        <v>1646</v>
      </c>
      <c r="B343" s="13" t="s">
        <v>43</v>
      </c>
      <c r="D343" s="3"/>
      <c r="E343" s="3"/>
      <c r="F343" s="3"/>
      <c r="G343" s="3"/>
      <c r="H343" s="3"/>
      <c r="I343" s="3"/>
    </row>
    <row r="344">
      <c r="A344" s="4" t="s">
        <v>1647</v>
      </c>
      <c r="B344" s="13" t="s">
        <v>43</v>
      </c>
      <c r="D344" s="3"/>
      <c r="E344" s="3"/>
      <c r="F344" s="3"/>
      <c r="G344" s="3"/>
      <c r="H344" s="3"/>
      <c r="I344" s="3"/>
    </row>
    <row r="345">
      <c r="A345" s="4" t="s">
        <v>1648</v>
      </c>
      <c r="B345" s="13" t="s">
        <v>43</v>
      </c>
      <c r="D345" s="3"/>
      <c r="E345" s="3"/>
      <c r="F345" s="3"/>
      <c r="G345" s="3"/>
      <c r="H345" s="3"/>
      <c r="I345" s="3"/>
    </row>
    <row r="346">
      <c r="A346" s="4" t="s">
        <v>1649</v>
      </c>
      <c r="B346" s="13" t="s">
        <v>43</v>
      </c>
      <c r="D346" s="3"/>
      <c r="E346" s="3"/>
      <c r="F346" s="3"/>
      <c r="G346" s="3"/>
      <c r="H346" s="3"/>
      <c r="I346" s="3"/>
    </row>
    <row r="347">
      <c r="A347" s="4" t="s">
        <v>1650</v>
      </c>
      <c r="B347" s="13" t="s">
        <v>43</v>
      </c>
      <c r="D347" s="3"/>
      <c r="E347" s="3"/>
      <c r="F347" s="3"/>
      <c r="G347" s="3"/>
      <c r="H347" s="3"/>
      <c r="I347" s="3"/>
    </row>
    <row r="348">
      <c r="A348" s="4" t="s">
        <v>1651</v>
      </c>
      <c r="B348" s="13" t="s">
        <v>43</v>
      </c>
      <c r="D348" s="3"/>
      <c r="E348" s="3"/>
      <c r="F348" s="3"/>
      <c r="G348" s="3"/>
      <c r="H348" s="3"/>
      <c r="I348" s="3"/>
    </row>
    <row r="349">
      <c r="A349" s="4" t="s">
        <v>1652</v>
      </c>
      <c r="B349" s="13" t="s">
        <v>43</v>
      </c>
      <c r="D349" s="3"/>
      <c r="E349" s="3"/>
      <c r="F349" s="3"/>
      <c r="G349" s="3"/>
      <c r="H349" s="3"/>
      <c r="I349" s="3"/>
    </row>
    <row r="350">
      <c r="A350" s="4" t="s">
        <v>1653</v>
      </c>
      <c r="B350" s="13" t="s">
        <v>43</v>
      </c>
      <c r="D350" s="3"/>
      <c r="E350" s="3"/>
      <c r="F350" s="3"/>
      <c r="G350" s="3"/>
      <c r="H350" s="3"/>
      <c r="I350" s="3"/>
    </row>
    <row r="351">
      <c r="A351" s="4" t="s">
        <v>1654</v>
      </c>
      <c r="B351" s="13" t="s">
        <v>43</v>
      </c>
      <c r="D351" s="3"/>
      <c r="E351" s="3"/>
      <c r="F351" s="3"/>
      <c r="G351" s="3"/>
      <c r="H351" s="3"/>
      <c r="I351" s="3"/>
    </row>
    <row r="352">
      <c r="A352" s="4" t="s">
        <v>1655</v>
      </c>
      <c r="B352" s="13" t="s">
        <v>43</v>
      </c>
      <c r="D352" s="3"/>
      <c r="E352" s="3"/>
      <c r="F352" s="3"/>
      <c r="G352" s="3"/>
      <c r="H352" s="3"/>
      <c r="I352" s="3"/>
    </row>
    <row r="353">
      <c r="A353" s="4" t="s">
        <v>1656</v>
      </c>
      <c r="B353" s="13" t="s">
        <v>43</v>
      </c>
      <c r="D353" s="3"/>
      <c r="E353" s="3"/>
      <c r="F353" s="3"/>
      <c r="G353" s="3"/>
      <c r="H353" s="3"/>
      <c r="I353" s="3"/>
    </row>
    <row r="354">
      <c r="A354" s="4" t="s">
        <v>1657</v>
      </c>
      <c r="B354" s="13" t="s">
        <v>43</v>
      </c>
      <c r="D354" s="3"/>
      <c r="E354" s="3"/>
      <c r="F354" s="3"/>
      <c r="G354" s="3"/>
      <c r="H354" s="3"/>
      <c r="I354" s="3"/>
    </row>
    <row r="355">
      <c r="A355" s="4" t="s">
        <v>1658</v>
      </c>
      <c r="B355" s="13" t="s">
        <v>43</v>
      </c>
      <c r="D355" s="3"/>
      <c r="E355" s="3"/>
      <c r="F355" s="3"/>
      <c r="G355" s="3"/>
      <c r="H355" s="3"/>
      <c r="I355" s="3"/>
    </row>
    <row r="356">
      <c r="A356" s="4" t="s">
        <v>1659</v>
      </c>
      <c r="B356" s="13" t="s">
        <v>43</v>
      </c>
      <c r="D356" s="3"/>
      <c r="E356" s="3"/>
      <c r="F356" s="3"/>
      <c r="G356" s="3"/>
      <c r="H356" s="3"/>
      <c r="I356" s="3"/>
    </row>
    <row r="357">
      <c r="A357" s="4" t="s">
        <v>1660</v>
      </c>
      <c r="B357" s="13" t="s">
        <v>43</v>
      </c>
      <c r="D357" s="3"/>
      <c r="E357" s="3"/>
      <c r="F357" s="3"/>
      <c r="G357" s="3"/>
      <c r="H357" s="3"/>
      <c r="I357" s="3"/>
    </row>
    <row r="358">
      <c r="A358" s="4" t="s">
        <v>1661</v>
      </c>
      <c r="B358" s="13" t="s">
        <v>43</v>
      </c>
      <c r="D358" s="3"/>
      <c r="E358" s="3"/>
      <c r="F358" s="3"/>
      <c r="G358" s="3"/>
      <c r="H358" s="3"/>
      <c r="I358" s="3"/>
    </row>
    <row r="359">
      <c r="A359" s="4" t="s">
        <v>1662</v>
      </c>
      <c r="B359" s="13" t="s">
        <v>43</v>
      </c>
      <c r="D359" s="3"/>
      <c r="E359" s="3"/>
      <c r="F359" s="3"/>
      <c r="G359" s="3"/>
      <c r="H359" s="3"/>
      <c r="I359" s="3"/>
    </row>
    <row r="360">
      <c r="A360" s="4" t="s">
        <v>1663</v>
      </c>
      <c r="B360" s="13" t="s">
        <v>43</v>
      </c>
      <c r="D360" s="3"/>
      <c r="E360" s="3"/>
      <c r="F360" s="3"/>
      <c r="G360" s="3"/>
      <c r="H360" s="3"/>
      <c r="I360" s="3"/>
    </row>
    <row r="361">
      <c r="A361" s="4" t="s">
        <v>1664</v>
      </c>
      <c r="B361" s="13" t="s">
        <v>43</v>
      </c>
      <c r="D361" s="3"/>
      <c r="E361" s="3"/>
      <c r="F361" s="3"/>
      <c r="G361" s="3"/>
      <c r="H361" s="3"/>
      <c r="I361" s="3"/>
    </row>
    <row r="362">
      <c r="A362" s="4" t="s">
        <v>1665</v>
      </c>
      <c r="B362" s="13" t="s">
        <v>43</v>
      </c>
      <c r="D362" s="3"/>
      <c r="E362" s="3"/>
      <c r="F362" s="3"/>
      <c r="G362" s="3"/>
      <c r="H362" s="3"/>
      <c r="I362" s="3"/>
    </row>
    <row r="363">
      <c r="A363" s="4" t="s">
        <v>1666</v>
      </c>
      <c r="B363" s="13" t="s">
        <v>43</v>
      </c>
      <c r="D363" s="3"/>
      <c r="E363" s="3"/>
      <c r="F363" s="3"/>
      <c r="G363" s="3"/>
      <c r="H363" s="3"/>
      <c r="I363" s="3"/>
    </row>
    <row r="364">
      <c r="A364" s="4" t="s">
        <v>1667</v>
      </c>
      <c r="B364" s="13" t="s">
        <v>43</v>
      </c>
      <c r="D364" s="3"/>
      <c r="E364" s="3"/>
      <c r="F364" s="3"/>
      <c r="G364" s="3"/>
      <c r="H364" s="3"/>
      <c r="I364" s="3"/>
    </row>
    <row r="365">
      <c r="A365" s="4" t="s">
        <v>1668</v>
      </c>
      <c r="B365" s="13" t="s">
        <v>43</v>
      </c>
      <c r="D365" s="3"/>
      <c r="E365" s="3"/>
      <c r="F365" s="3"/>
      <c r="G365" s="3"/>
      <c r="H365" s="3"/>
      <c r="I365" s="3"/>
    </row>
    <row r="366">
      <c r="A366" s="4" t="s">
        <v>1669</v>
      </c>
      <c r="B366" s="13" t="s">
        <v>43</v>
      </c>
      <c r="D366" s="3"/>
      <c r="E366" s="3"/>
      <c r="F366" s="3"/>
      <c r="G366" s="3"/>
      <c r="H366" s="3"/>
      <c r="I366" s="3"/>
    </row>
    <row r="367">
      <c r="A367" s="4" t="s">
        <v>1670</v>
      </c>
      <c r="B367" s="13" t="s">
        <v>43</v>
      </c>
      <c r="D367" s="3"/>
      <c r="E367" s="3"/>
      <c r="F367" s="3"/>
      <c r="G367" s="3"/>
      <c r="H367" s="3"/>
      <c r="I367" s="3"/>
    </row>
    <row r="368">
      <c r="A368" s="4" t="s">
        <v>1671</v>
      </c>
      <c r="B368" s="13" t="s">
        <v>43</v>
      </c>
      <c r="D368" s="3"/>
      <c r="E368" s="3"/>
      <c r="F368" s="3"/>
      <c r="G368" s="3"/>
      <c r="H368" s="3"/>
      <c r="I368" s="3"/>
    </row>
    <row r="369">
      <c r="A369" s="4" t="s">
        <v>1672</v>
      </c>
      <c r="B369" s="13" t="s">
        <v>43</v>
      </c>
      <c r="D369" s="3"/>
      <c r="E369" s="3"/>
      <c r="F369" s="3"/>
      <c r="G369" s="3"/>
      <c r="H369" s="3"/>
      <c r="I369" s="3"/>
    </row>
    <row r="370">
      <c r="A370" s="4" t="s">
        <v>1673</v>
      </c>
      <c r="B370" s="13" t="s">
        <v>43</v>
      </c>
      <c r="D370" s="3"/>
      <c r="E370" s="3"/>
      <c r="F370" s="3"/>
      <c r="G370" s="3"/>
      <c r="H370" s="3"/>
      <c r="I370" s="3"/>
    </row>
    <row r="371">
      <c r="A371" s="4" t="s">
        <v>1674</v>
      </c>
      <c r="B371" s="13" t="s">
        <v>43</v>
      </c>
      <c r="D371" s="3"/>
      <c r="E371" s="3"/>
      <c r="F371" s="3"/>
      <c r="G371" s="3"/>
      <c r="H371" s="3"/>
      <c r="I371" s="3"/>
    </row>
    <row r="372">
      <c r="A372" s="4" t="s">
        <v>1675</v>
      </c>
      <c r="B372" s="13" t="s">
        <v>43</v>
      </c>
      <c r="D372" s="3"/>
      <c r="E372" s="3"/>
      <c r="F372" s="3"/>
      <c r="G372" s="3"/>
      <c r="H372" s="3"/>
      <c r="I372" s="3"/>
    </row>
    <row r="373">
      <c r="A373" s="4" t="s">
        <v>1676</v>
      </c>
      <c r="B373" s="13" t="s">
        <v>43</v>
      </c>
      <c r="D373" s="3"/>
      <c r="E373" s="3"/>
      <c r="F373" s="3"/>
      <c r="G373" s="3"/>
      <c r="H373" s="3"/>
      <c r="I373" s="3"/>
    </row>
    <row r="374">
      <c r="A374" s="4" t="s">
        <v>1677</v>
      </c>
      <c r="B374" s="13" t="s">
        <v>43</v>
      </c>
      <c r="D374" s="3"/>
      <c r="E374" s="3"/>
      <c r="F374" s="3"/>
      <c r="G374" s="3"/>
      <c r="H374" s="3"/>
      <c r="I374" s="3"/>
    </row>
    <row r="375">
      <c r="A375" s="4" t="s">
        <v>1678</v>
      </c>
      <c r="B375" s="13" t="s">
        <v>43</v>
      </c>
      <c r="D375" s="3"/>
      <c r="E375" s="3"/>
      <c r="F375" s="3"/>
      <c r="G375" s="3"/>
      <c r="H375" s="3"/>
      <c r="I375" s="3"/>
    </row>
    <row r="376">
      <c r="A376" s="4" t="s">
        <v>1679</v>
      </c>
      <c r="B376" s="13" t="s">
        <v>43</v>
      </c>
      <c r="D376" s="3"/>
      <c r="E376" s="3"/>
      <c r="F376" s="3"/>
      <c r="G376" s="3"/>
      <c r="H376" s="3"/>
      <c r="I376" s="3"/>
    </row>
    <row r="377">
      <c r="A377" s="4" t="s">
        <v>1680</v>
      </c>
      <c r="B377" s="13" t="s">
        <v>43</v>
      </c>
      <c r="D377" s="3"/>
      <c r="E377" s="3"/>
      <c r="F377" s="3"/>
      <c r="G377" s="3"/>
      <c r="H377" s="3"/>
      <c r="I377" s="3"/>
    </row>
    <row r="378">
      <c r="A378" s="4" t="s">
        <v>1681</v>
      </c>
      <c r="B378" s="13" t="s">
        <v>43</v>
      </c>
      <c r="D378" s="3"/>
      <c r="E378" s="3"/>
      <c r="F378" s="3"/>
      <c r="G378" s="3"/>
      <c r="H378" s="3"/>
      <c r="I378" s="3"/>
    </row>
    <row r="379">
      <c r="A379" s="4" t="s">
        <v>1682</v>
      </c>
      <c r="B379" s="13" t="s">
        <v>43</v>
      </c>
      <c r="D379" s="3"/>
      <c r="E379" s="3"/>
      <c r="F379" s="3"/>
      <c r="G379" s="3"/>
      <c r="H379" s="3"/>
      <c r="I379" s="3"/>
    </row>
    <row r="380">
      <c r="A380" s="4" t="s">
        <v>1683</v>
      </c>
      <c r="B380" s="13" t="s">
        <v>43</v>
      </c>
      <c r="D380" s="3"/>
      <c r="E380" s="3"/>
      <c r="F380" s="3"/>
      <c r="G380" s="3"/>
      <c r="H380" s="3"/>
      <c r="I380" s="3"/>
    </row>
    <row r="381">
      <c r="A381" s="4" t="s">
        <v>1684</v>
      </c>
      <c r="B381" s="13" t="s">
        <v>43</v>
      </c>
      <c r="D381" s="3"/>
      <c r="E381" s="3"/>
      <c r="F381" s="3"/>
      <c r="G381" s="3"/>
      <c r="H381" s="3"/>
      <c r="I381" s="3"/>
    </row>
    <row r="382">
      <c r="A382" s="4" t="s">
        <v>1685</v>
      </c>
      <c r="B382" s="13" t="s">
        <v>43</v>
      </c>
      <c r="D382" s="3"/>
      <c r="E382" s="3"/>
      <c r="F382" s="3"/>
      <c r="G382" s="3"/>
      <c r="H382" s="3"/>
      <c r="I382" s="3"/>
    </row>
    <row r="383">
      <c r="A383" s="4" t="s">
        <v>1686</v>
      </c>
      <c r="B383" s="13" t="s">
        <v>43</v>
      </c>
      <c r="D383" s="3"/>
      <c r="E383" s="3"/>
      <c r="F383" s="3"/>
      <c r="G383" s="3"/>
      <c r="H383" s="3"/>
      <c r="I383" s="3"/>
    </row>
    <row r="384">
      <c r="A384" s="4" t="s">
        <v>1687</v>
      </c>
      <c r="B384" s="13" t="s">
        <v>43</v>
      </c>
      <c r="D384" s="3"/>
      <c r="E384" s="3"/>
      <c r="F384" s="3"/>
      <c r="G384" s="3"/>
      <c r="H384" s="3"/>
      <c r="I384" s="3"/>
    </row>
    <row r="385">
      <c r="A385" s="4" t="s">
        <v>1688</v>
      </c>
      <c r="B385" s="13" t="s">
        <v>43</v>
      </c>
      <c r="D385" s="3"/>
      <c r="E385" s="3"/>
      <c r="F385" s="3"/>
      <c r="G385" s="3"/>
      <c r="H385" s="3"/>
      <c r="I385" s="3"/>
    </row>
    <row r="386">
      <c r="A386" s="4" t="s">
        <v>1689</v>
      </c>
      <c r="B386" s="13" t="s">
        <v>43</v>
      </c>
      <c r="D386" s="3"/>
      <c r="E386" s="3"/>
      <c r="F386" s="3"/>
      <c r="G386" s="3"/>
      <c r="H386" s="3"/>
      <c r="I386" s="3"/>
    </row>
    <row r="387">
      <c r="A387" s="4" t="s">
        <v>1690</v>
      </c>
      <c r="B387" s="13" t="s">
        <v>43</v>
      </c>
      <c r="D387" s="3"/>
      <c r="E387" s="3"/>
      <c r="F387" s="3"/>
      <c r="G387" s="3"/>
      <c r="H387" s="3"/>
      <c r="I387" s="3"/>
    </row>
    <row r="388">
      <c r="A388" s="4" t="s">
        <v>1691</v>
      </c>
      <c r="B388" s="13" t="s">
        <v>48</v>
      </c>
      <c r="C388" s="4">
        <v>1.0</v>
      </c>
      <c r="D388" s="3"/>
      <c r="E388" s="3"/>
      <c r="F388" s="3"/>
      <c r="G388" s="4">
        <v>10.0</v>
      </c>
      <c r="H388" s="3"/>
      <c r="I388" s="3"/>
    </row>
    <row r="389">
      <c r="A389" s="4" t="s">
        <v>1692</v>
      </c>
      <c r="B389" s="13" t="s">
        <v>48</v>
      </c>
      <c r="C389" s="4">
        <v>1.0</v>
      </c>
      <c r="D389" s="3"/>
      <c r="E389" s="3"/>
      <c r="F389" s="3"/>
      <c r="G389" s="4">
        <v>10.0</v>
      </c>
      <c r="H389" s="3"/>
      <c r="I389" s="3"/>
    </row>
    <row r="390">
      <c r="A390" s="4" t="s">
        <v>1693</v>
      </c>
      <c r="B390" s="13" t="s">
        <v>48</v>
      </c>
      <c r="C390" s="4">
        <v>1.0</v>
      </c>
      <c r="D390" s="3"/>
      <c r="E390" s="3"/>
      <c r="F390" s="3"/>
      <c r="G390" s="4">
        <v>10.0</v>
      </c>
      <c r="H390" s="3"/>
      <c r="I390" s="3"/>
    </row>
    <row r="391">
      <c r="A391" s="4" t="s">
        <v>1694</v>
      </c>
      <c r="B391" s="13" t="s">
        <v>48</v>
      </c>
      <c r="C391" s="4">
        <v>1.0</v>
      </c>
      <c r="D391" s="3"/>
      <c r="E391" s="3"/>
      <c r="F391" s="3"/>
      <c r="G391" s="4">
        <v>10.0</v>
      </c>
      <c r="H391" s="3"/>
      <c r="I391" s="3"/>
    </row>
    <row r="392">
      <c r="A392" s="4" t="s">
        <v>1695</v>
      </c>
      <c r="B392" s="13" t="s">
        <v>48</v>
      </c>
      <c r="C392" s="4">
        <v>1.0</v>
      </c>
      <c r="D392" s="3"/>
      <c r="E392" s="3"/>
      <c r="F392" s="3"/>
      <c r="G392" s="4">
        <v>10.0</v>
      </c>
      <c r="H392" s="3"/>
      <c r="I392" s="3"/>
    </row>
    <row r="393">
      <c r="A393" s="4" t="s">
        <v>1696</v>
      </c>
      <c r="B393" s="13" t="s">
        <v>48</v>
      </c>
      <c r="C393" s="4">
        <v>1.0</v>
      </c>
      <c r="D393" s="3"/>
      <c r="E393" s="3"/>
      <c r="F393" s="3"/>
      <c r="G393" s="4">
        <v>10.0</v>
      </c>
      <c r="H393" s="3"/>
      <c r="I393" s="3"/>
    </row>
    <row r="394">
      <c r="A394" s="4" t="s">
        <v>1697</v>
      </c>
      <c r="B394" s="13" t="s">
        <v>48</v>
      </c>
      <c r="C394" s="4">
        <v>1.0</v>
      </c>
      <c r="D394" s="3"/>
      <c r="E394" s="3"/>
      <c r="F394" s="3"/>
      <c r="G394" s="4">
        <v>10.0</v>
      </c>
      <c r="H394" s="3"/>
      <c r="I394" s="3"/>
    </row>
    <row r="395">
      <c r="A395" s="4" t="s">
        <v>1698</v>
      </c>
      <c r="B395" s="13" t="s">
        <v>48</v>
      </c>
      <c r="C395" s="4">
        <v>1.0</v>
      </c>
      <c r="D395" s="3"/>
      <c r="E395" s="3"/>
      <c r="F395" s="3"/>
      <c r="G395" s="4">
        <v>10.0</v>
      </c>
      <c r="H395" s="3"/>
      <c r="I395" s="3"/>
    </row>
    <row r="396">
      <c r="A396" s="4" t="s">
        <v>1699</v>
      </c>
      <c r="B396" s="13" t="s">
        <v>48</v>
      </c>
      <c r="C396" s="4">
        <v>1.0</v>
      </c>
      <c r="D396" s="3"/>
      <c r="E396" s="3"/>
      <c r="F396" s="3"/>
      <c r="G396" s="4">
        <v>10.0</v>
      </c>
      <c r="H396" s="3"/>
      <c r="I396" s="3"/>
    </row>
    <row r="397">
      <c r="A397" s="4" t="s">
        <v>1700</v>
      </c>
      <c r="B397" s="13" t="s">
        <v>48</v>
      </c>
      <c r="C397" s="4">
        <v>1.0</v>
      </c>
      <c r="D397" s="3"/>
      <c r="E397" s="3"/>
      <c r="F397" s="3"/>
      <c r="G397" s="4">
        <v>10.0</v>
      </c>
      <c r="H397" s="3"/>
      <c r="I397" s="3"/>
    </row>
    <row r="398">
      <c r="A398" s="4" t="s">
        <v>1701</v>
      </c>
      <c r="B398" s="13" t="s">
        <v>48</v>
      </c>
      <c r="C398" s="4">
        <v>1.0</v>
      </c>
      <c r="D398" s="3"/>
      <c r="E398" s="3"/>
      <c r="F398" s="3"/>
      <c r="G398" s="4">
        <v>10.0</v>
      </c>
      <c r="H398" s="3"/>
      <c r="I398" s="3"/>
    </row>
    <row r="399">
      <c r="A399" s="4" t="s">
        <v>1702</v>
      </c>
      <c r="B399" s="13" t="s">
        <v>48</v>
      </c>
      <c r="C399" s="4">
        <v>1.0</v>
      </c>
      <c r="D399" s="3"/>
      <c r="E399" s="3"/>
      <c r="F399" s="3"/>
      <c r="G399" s="4">
        <v>10.0</v>
      </c>
      <c r="H399" s="3"/>
      <c r="I399" s="3"/>
    </row>
    <row r="400">
      <c r="A400" s="4" t="s">
        <v>1703</v>
      </c>
      <c r="B400" s="13" t="s">
        <v>48</v>
      </c>
      <c r="C400" s="4">
        <v>1.0</v>
      </c>
      <c r="D400" s="3"/>
      <c r="E400" s="3"/>
      <c r="F400" s="3"/>
      <c r="G400" s="4">
        <v>10.0</v>
      </c>
      <c r="H400" s="3"/>
      <c r="I400" s="3"/>
    </row>
    <row r="401">
      <c r="A401" s="4" t="s">
        <v>1704</v>
      </c>
      <c r="B401" s="13" t="s">
        <v>48</v>
      </c>
      <c r="C401" s="4">
        <v>1.0</v>
      </c>
      <c r="D401" s="3"/>
      <c r="E401" s="3"/>
      <c r="F401" s="3"/>
      <c r="G401" s="4">
        <v>10.0</v>
      </c>
      <c r="H401" s="3"/>
      <c r="I401" s="3"/>
    </row>
    <row r="402">
      <c r="A402" s="4" t="s">
        <v>1705</v>
      </c>
      <c r="B402" s="13" t="s">
        <v>48</v>
      </c>
      <c r="C402" s="4">
        <v>1.0</v>
      </c>
      <c r="D402" s="3"/>
      <c r="E402" s="3"/>
      <c r="F402" s="3"/>
      <c r="G402" s="4">
        <v>10.0</v>
      </c>
      <c r="H402" s="3"/>
      <c r="I402" s="3"/>
    </row>
    <row r="403">
      <c r="A403" s="4" t="s">
        <v>1706</v>
      </c>
      <c r="B403" s="13" t="s">
        <v>48</v>
      </c>
      <c r="C403" s="4">
        <v>1.0</v>
      </c>
      <c r="D403" s="3"/>
      <c r="E403" s="3"/>
      <c r="F403" s="3"/>
      <c r="G403" s="4">
        <v>10.0</v>
      </c>
      <c r="H403" s="3"/>
      <c r="I403" s="3"/>
    </row>
    <row r="404">
      <c r="A404" s="4" t="s">
        <v>1707</v>
      </c>
      <c r="B404" s="13" t="s">
        <v>48</v>
      </c>
      <c r="C404" s="4">
        <v>1.0</v>
      </c>
      <c r="D404" s="3"/>
      <c r="E404" s="3"/>
      <c r="F404" s="3"/>
      <c r="G404" s="4">
        <v>10.0</v>
      </c>
      <c r="H404" s="3"/>
      <c r="I404" s="3"/>
    </row>
    <row r="405">
      <c r="A405" s="4" t="s">
        <v>1708</v>
      </c>
      <c r="B405" s="13" t="s">
        <v>48</v>
      </c>
      <c r="C405" s="4">
        <v>1.0</v>
      </c>
      <c r="D405" s="3"/>
      <c r="E405" s="3"/>
      <c r="F405" s="3"/>
      <c r="G405" s="4">
        <v>10.0</v>
      </c>
      <c r="H405" s="3"/>
      <c r="I405" s="3"/>
    </row>
    <row r="406">
      <c r="A406" s="4" t="s">
        <v>1709</v>
      </c>
      <c r="B406" s="13" t="s">
        <v>43</v>
      </c>
      <c r="D406" s="3"/>
      <c r="E406" s="3"/>
      <c r="F406" s="3"/>
      <c r="G406" s="3"/>
      <c r="H406" s="3"/>
      <c r="I406" s="3"/>
    </row>
    <row r="407">
      <c r="A407" s="4" t="s">
        <v>1710</v>
      </c>
      <c r="B407" s="13" t="s">
        <v>43</v>
      </c>
      <c r="D407" s="3"/>
      <c r="E407" s="3"/>
      <c r="F407" s="3"/>
      <c r="G407" s="3"/>
      <c r="H407" s="3"/>
      <c r="I407" s="3"/>
    </row>
    <row r="408">
      <c r="A408" s="4" t="s">
        <v>1711</v>
      </c>
      <c r="B408" s="13" t="s">
        <v>43</v>
      </c>
      <c r="D408" s="3"/>
      <c r="E408" s="3"/>
      <c r="F408" s="3"/>
      <c r="G408" s="3"/>
      <c r="H408" s="3"/>
      <c r="I408" s="3"/>
    </row>
    <row r="409">
      <c r="A409" s="4" t="s">
        <v>1712</v>
      </c>
      <c r="B409" s="13" t="s">
        <v>43</v>
      </c>
      <c r="D409" s="3"/>
      <c r="E409" s="3"/>
      <c r="F409" s="3"/>
      <c r="G409" s="3"/>
      <c r="H409" s="3"/>
      <c r="I409" s="3"/>
    </row>
    <row r="410">
      <c r="A410" s="4" t="s">
        <v>1713</v>
      </c>
      <c r="B410" s="13" t="s">
        <v>43</v>
      </c>
      <c r="D410" s="3"/>
      <c r="E410" s="3"/>
      <c r="F410" s="3"/>
      <c r="G410" s="3"/>
      <c r="H410" s="3"/>
      <c r="I410" s="3"/>
    </row>
    <row r="411">
      <c r="A411" s="4" t="s">
        <v>1714</v>
      </c>
      <c r="B411" s="13" t="s">
        <v>43</v>
      </c>
      <c r="D411" s="3"/>
      <c r="E411" s="3"/>
      <c r="F411" s="3"/>
      <c r="G411" s="3"/>
      <c r="H411" s="3"/>
      <c r="I411" s="3"/>
    </row>
    <row r="412">
      <c r="A412" s="4" t="s">
        <v>1715</v>
      </c>
      <c r="B412" s="13" t="s">
        <v>43</v>
      </c>
      <c r="D412" s="3"/>
      <c r="E412" s="3"/>
      <c r="F412" s="3"/>
      <c r="G412" s="3"/>
      <c r="H412" s="3"/>
      <c r="I412" s="3"/>
    </row>
    <row r="413">
      <c r="A413" s="4" t="s">
        <v>1716</v>
      </c>
      <c r="B413" s="13" t="s">
        <v>43</v>
      </c>
      <c r="D413" s="3"/>
      <c r="E413" s="3"/>
      <c r="F413" s="3"/>
      <c r="G413" s="3"/>
      <c r="H413" s="3"/>
      <c r="I413" s="3"/>
    </row>
    <row r="414">
      <c r="A414" s="4" t="s">
        <v>1717</v>
      </c>
      <c r="B414" s="13" t="s">
        <v>43</v>
      </c>
      <c r="D414" s="3"/>
      <c r="E414" s="3"/>
      <c r="F414" s="3"/>
      <c r="G414" s="3"/>
      <c r="H414" s="3"/>
      <c r="I414" s="3"/>
    </row>
    <row r="415">
      <c r="A415" s="4" t="s">
        <v>1718</v>
      </c>
      <c r="B415" s="13" t="s">
        <v>43</v>
      </c>
      <c r="D415" s="3"/>
      <c r="E415" s="3"/>
      <c r="F415" s="3"/>
      <c r="G415" s="3"/>
      <c r="H415" s="3"/>
      <c r="I415" s="3"/>
    </row>
    <row r="416">
      <c r="A416" s="4" t="s">
        <v>1719</v>
      </c>
      <c r="B416" s="13" t="s">
        <v>43</v>
      </c>
      <c r="D416" s="3"/>
      <c r="E416" s="3"/>
      <c r="F416" s="3"/>
      <c r="G416" s="3"/>
      <c r="H416" s="3"/>
      <c r="I416" s="3"/>
    </row>
    <row r="417">
      <c r="A417" s="4" t="s">
        <v>1720</v>
      </c>
      <c r="B417" s="13" t="s">
        <v>43</v>
      </c>
      <c r="D417" s="3"/>
      <c r="E417" s="3"/>
      <c r="F417" s="3"/>
      <c r="G417" s="3"/>
      <c r="H417" s="3"/>
      <c r="I417" s="3"/>
    </row>
    <row r="418">
      <c r="A418" s="4" t="s">
        <v>1721</v>
      </c>
      <c r="B418" s="13" t="s">
        <v>43</v>
      </c>
      <c r="D418" s="3"/>
      <c r="E418" s="3"/>
      <c r="F418" s="3"/>
      <c r="G418" s="3"/>
      <c r="H418" s="3"/>
      <c r="I418" s="3"/>
    </row>
    <row r="419">
      <c r="A419" s="4" t="s">
        <v>1722</v>
      </c>
      <c r="B419" s="13" t="s">
        <v>43</v>
      </c>
      <c r="D419" s="3"/>
      <c r="E419" s="3"/>
      <c r="F419" s="3"/>
      <c r="G419" s="3"/>
      <c r="H419" s="3"/>
      <c r="I419" s="3"/>
    </row>
    <row r="420">
      <c r="A420" s="4" t="s">
        <v>1723</v>
      </c>
      <c r="B420" s="13" t="s">
        <v>43</v>
      </c>
      <c r="D420" s="3"/>
      <c r="E420" s="3"/>
      <c r="F420" s="3"/>
      <c r="G420" s="3"/>
      <c r="H420" s="3"/>
      <c r="I420" s="3"/>
    </row>
    <row r="421">
      <c r="A421" s="4" t="s">
        <v>1724</v>
      </c>
      <c r="B421" s="13" t="s">
        <v>43</v>
      </c>
      <c r="D421" s="3"/>
      <c r="E421" s="3"/>
      <c r="F421" s="3"/>
      <c r="G421" s="3"/>
      <c r="H421" s="3"/>
      <c r="I421" s="3"/>
    </row>
    <row r="422">
      <c r="A422" s="4" t="s">
        <v>1725</v>
      </c>
      <c r="B422" s="13" t="s">
        <v>43</v>
      </c>
      <c r="D422" s="3"/>
      <c r="E422" s="3"/>
      <c r="F422" s="3"/>
      <c r="G422" s="3"/>
      <c r="H422" s="3"/>
      <c r="I422" s="3"/>
    </row>
    <row r="423">
      <c r="A423" s="4" t="s">
        <v>1726</v>
      </c>
      <c r="B423" s="13" t="s">
        <v>43</v>
      </c>
      <c r="D423" s="3"/>
      <c r="E423" s="3"/>
      <c r="F423" s="3"/>
      <c r="G423" s="3"/>
      <c r="H423" s="3"/>
      <c r="I423" s="3"/>
    </row>
    <row r="424">
      <c r="A424" s="4" t="s">
        <v>1727</v>
      </c>
      <c r="B424" s="13" t="s">
        <v>43</v>
      </c>
      <c r="D424" s="3"/>
      <c r="E424" s="3"/>
      <c r="F424" s="3"/>
      <c r="G424" s="3"/>
      <c r="H424" s="3"/>
      <c r="I424" s="3"/>
    </row>
    <row r="425">
      <c r="A425" s="4" t="s">
        <v>1728</v>
      </c>
      <c r="B425" s="13" t="s">
        <v>43</v>
      </c>
      <c r="D425" s="3"/>
      <c r="E425" s="3"/>
      <c r="F425" s="3"/>
      <c r="G425" s="3"/>
      <c r="H425" s="3"/>
      <c r="I425" s="3"/>
    </row>
    <row r="426">
      <c r="A426" s="4" t="s">
        <v>1729</v>
      </c>
      <c r="B426" s="13" t="s">
        <v>43</v>
      </c>
      <c r="D426" s="3"/>
      <c r="E426" s="3"/>
      <c r="F426" s="3"/>
      <c r="G426" s="3"/>
      <c r="H426" s="3"/>
      <c r="I426" s="3"/>
    </row>
    <row r="427">
      <c r="A427" s="4" t="s">
        <v>1730</v>
      </c>
      <c r="B427" s="13" t="s">
        <v>43</v>
      </c>
      <c r="D427" s="3"/>
      <c r="E427" s="3"/>
      <c r="F427" s="3"/>
      <c r="G427" s="3"/>
      <c r="H427" s="3"/>
      <c r="I427" s="3"/>
    </row>
    <row r="428">
      <c r="A428" s="4" t="s">
        <v>1731</v>
      </c>
      <c r="B428" s="13" t="s">
        <v>43</v>
      </c>
      <c r="D428" s="3"/>
      <c r="E428" s="3"/>
      <c r="F428" s="3"/>
      <c r="G428" s="3"/>
      <c r="H428" s="3"/>
      <c r="I428" s="3"/>
    </row>
    <row r="429">
      <c r="A429" s="4" t="s">
        <v>1732</v>
      </c>
      <c r="B429" s="13" t="s">
        <v>43</v>
      </c>
      <c r="D429" s="3"/>
      <c r="E429" s="3"/>
      <c r="F429" s="3"/>
      <c r="G429" s="3"/>
      <c r="H429" s="3"/>
      <c r="I429" s="3"/>
    </row>
    <row r="430">
      <c r="A430" s="4" t="s">
        <v>1733</v>
      </c>
      <c r="B430" s="13" t="s">
        <v>43</v>
      </c>
      <c r="D430" s="3"/>
      <c r="E430" s="3"/>
      <c r="F430" s="3"/>
      <c r="G430" s="3"/>
      <c r="H430" s="3"/>
      <c r="I430" s="3"/>
    </row>
    <row r="431">
      <c r="A431" s="4" t="s">
        <v>1734</v>
      </c>
      <c r="B431" s="13" t="s">
        <v>43</v>
      </c>
      <c r="D431" s="3"/>
      <c r="E431" s="3"/>
      <c r="F431" s="3"/>
      <c r="G431" s="3"/>
      <c r="H431" s="3"/>
      <c r="I431" s="3"/>
    </row>
    <row r="432">
      <c r="A432" s="4" t="s">
        <v>1735</v>
      </c>
      <c r="B432" s="13" t="s">
        <v>43</v>
      </c>
      <c r="D432" s="3"/>
      <c r="E432" s="3"/>
      <c r="F432" s="3"/>
      <c r="G432" s="3"/>
      <c r="H432" s="3"/>
      <c r="I432" s="3"/>
    </row>
    <row r="433">
      <c r="A433" s="4" t="s">
        <v>1736</v>
      </c>
      <c r="B433" s="13" t="s">
        <v>43</v>
      </c>
      <c r="D433" s="3"/>
      <c r="E433" s="3"/>
      <c r="F433" s="3"/>
      <c r="G433" s="3"/>
      <c r="H433" s="3"/>
      <c r="I433" s="3"/>
    </row>
    <row r="434">
      <c r="A434" s="4" t="s">
        <v>1737</v>
      </c>
      <c r="B434" s="13" t="s">
        <v>48</v>
      </c>
      <c r="C434" s="4">
        <v>1.0</v>
      </c>
      <c r="D434" s="3"/>
      <c r="E434" s="3"/>
      <c r="F434" s="3"/>
      <c r="G434" s="4">
        <v>10.0</v>
      </c>
      <c r="H434" s="3"/>
      <c r="I434" s="3"/>
    </row>
    <row r="435">
      <c r="A435" s="4" t="s">
        <v>1738</v>
      </c>
      <c r="B435" s="13" t="s">
        <v>48</v>
      </c>
      <c r="C435" s="4">
        <v>1.0</v>
      </c>
      <c r="D435" s="3"/>
      <c r="E435" s="3"/>
      <c r="F435" s="3"/>
      <c r="G435" s="4">
        <v>10.0</v>
      </c>
      <c r="H435" s="3"/>
      <c r="I435" s="3"/>
    </row>
    <row r="436">
      <c r="A436" s="4" t="s">
        <v>1739</v>
      </c>
      <c r="B436" s="13" t="s">
        <v>48</v>
      </c>
      <c r="C436" s="4">
        <v>1.0</v>
      </c>
      <c r="D436" s="3"/>
      <c r="E436" s="3"/>
      <c r="F436" s="3"/>
      <c r="G436" s="4">
        <v>10.0</v>
      </c>
      <c r="H436" s="3"/>
      <c r="I436" s="3"/>
    </row>
    <row r="437">
      <c r="A437" s="4" t="s">
        <v>1740</v>
      </c>
      <c r="B437" s="13" t="s">
        <v>48</v>
      </c>
      <c r="C437" s="4">
        <v>1.0</v>
      </c>
      <c r="D437" s="3"/>
      <c r="E437" s="3"/>
      <c r="F437" s="3"/>
      <c r="G437" s="4">
        <v>10.0</v>
      </c>
      <c r="H437" s="3"/>
      <c r="I437" s="3"/>
    </row>
    <row r="438">
      <c r="A438" s="4" t="s">
        <v>1741</v>
      </c>
      <c r="B438" s="13" t="s">
        <v>48</v>
      </c>
      <c r="C438" s="4">
        <v>1.0</v>
      </c>
      <c r="D438" s="3"/>
      <c r="E438" s="3"/>
      <c r="F438" s="3"/>
      <c r="G438" s="4">
        <v>10.0</v>
      </c>
      <c r="H438" s="3"/>
      <c r="I438" s="3"/>
    </row>
    <row r="439">
      <c r="A439" s="4" t="s">
        <v>1742</v>
      </c>
      <c r="B439" s="13" t="s">
        <v>48</v>
      </c>
      <c r="C439" s="4">
        <v>1.0</v>
      </c>
      <c r="D439" s="3"/>
      <c r="E439" s="3"/>
      <c r="F439" s="3"/>
      <c r="G439" s="4">
        <v>10.0</v>
      </c>
      <c r="H439" s="3"/>
      <c r="I439" s="3"/>
    </row>
    <row r="440">
      <c r="A440" s="4" t="s">
        <v>1743</v>
      </c>
      <c r="B440" s="13" t="s">
        <v>48</v>
      </c>
      <c r="C440" s="4">
        <v>1.0</v>
      </c>
      <c r="D440" s="3"/>
      <c r="E440" s="3"/>
      <c r="F440" s="3"/>
      <c r="G440" s="4">
        <v>10.0</v>
      </c>
      <c r="H440" s="3"/>
      <c r="I440" s="3"/>
    </row>
    <row r="441">
      <c r="A441" s="4" t="s">
        <v>1744</v>
      </c>
      <c r="B441" s="13" t="s">
        <v>48</v>
      </c>
      <c r="C441" s="4">
        <v>1.0</v>
      </c>
      <c r="D441" s="3"/>
      <c r="E441" s="3"/>
      <c r="F441" s="3"/>
      <c r="G441" s="4">
        <v>10.0</v>
      </c>
      <c r="H441" s="3"/>
      <c r="I441" s="3"/>
    </row>
    <row r="442">
      <c r="A442" s="4" t="s">
        <v>1745</v>
      </c>
      <c r="B442" s="13" t="s">
        <v>43</v>
      </c>
      <c r="D442" s="3"/>
      <c r="E442" s="3"/>
      <c r="F442" s="3"/>
      <c r="G442" s="3"/>
      <c r="H442" s="3"/>
      <c r="I442" s="3"/>
    </row>
    <row r="443">
      <c r="A443" s="4" t="s">
        <v>1746</v>
      </c>
      <c r="B443" s="13" t="s">
        <v>43</v>
      </c>
      <c r="D443" s="3"/>
      <c r="E443" s="3"/>
      <c r="F443" s="3"/>
      <c r="G443" s="3"/>
      <c r="H443" s="3"/>
      <c r="I443" s="3"/>
    </row>
    <row r="444">
      <c r="A444" s="4" t="s">
        <v>1747</v>
      </c>
      <c r="B444" s="13" t="s">
        <v>43</v>
      </c>
      <c r="D444" s="3"/>
      <c r="E444" s="3"/>
      <c r="F444" s="3"/>
      <c r="G444" s="3"/>
      <c r="H444" s="3"/>
      <c r="I444" s="3"/>
    </row>
    <row r="445">
      <c r="A445" s="4" t="s">
        <v>1748</v>
      </c>
      <c r="B445" s="13" t="s">
        <v>43</v>
      </c>
      <c r="D445" s="3"/>
      <c r="E445" s="3"/>
      <c r="F445" s="3"/>
      <c r="G445" s="3"/>
      <c r="H445" s="3"/>
      <c r="I445" s="3"/>
    </row>
    <row r="446">
      <c r="A446" s="4" t="s">
        <v>1749</v>
      </c>
      <c r="B446" s="13" t="s">
        <v>43</v>
      </c>
      <c r="D446" s="3"/>
      <c r="E446" s="3"/>
      <c r="F446" s="3"/>
      <c r="G446" s="3"/>
      <c r="H446" s="3"/>
      <c r="I446" s="3"/>
    </row>
    <row r="447">
      <c r="A447" s="4" t="s">
        <v>1750</v>
      </c>
      <c r="B447" s="13" t="s">
        <v>43</v>
      </c>
      <c r="D447" s="3"/>
      <c r="E447" s="3"/>
      <c r="F447" s="3"/>
      <c r="G447" s="3"/>
      <c r="H447" s="3"/>
      <c r="I447" s="3"/>
    </row>
    <row r="448">
      <c r="A448" s="4" t="s">
        <v>1751</v>
      </c>
      <c r="B448" s="13" t="s">
        <v>43</v>
      </c>
      <c r="D448" s="3"/>
      <c r="E448" s="3"/>
      <c r="F448" s="3"/>
      <c r="G448" s="3"/>
      <c r="H448" s="3"/>
      <c r="I448" s="3"/>
    </row>
    <row r="449">
      <c r="A449" s="4" t="s">
        <v>1752</v>
      </c>
      <c r="B449" s="13" t="s">
        <v>43</v>
      </c>
      <c r="D449" s="3"/>
      <c r="E449" s="3"/>
      <c r="F449" s="3"/>
      <c r="G449" s="3"/>
      <c r="H449" s="3"/>
      <c r="I449" s="3"/>
    </row>
    <row r="450">
      <c r="A450" s="4" t="s">
        <v>1753</v>
      </c>
      <c r="B450" s="13" t="s">
        <v>48</v>
      </c>
      <c r="C450" s="4">
        <v>1.0</v>
      </c>
      <c r="D450" s="3"/>
      <c r="E450" s="3"/>
      <c r="F450" s="4">
        <v>9.0</v>
      </c>
      <c r="G450" s="3"/>
      <c r="H450" s="3"/>
      <c r="I450" s="3"/>
    </row>
    <row r="451">
      <c r="A451" s="4" t="s">
        <v>1754</v>
      </c>
      <c r="B451" s="13" t="s">
        <v>48</v>
      </c>
      <c r="C451" s="4">
        <v>1.0</v>
      </c>
      <c r="D451" s="3"/>
      <c r="E451" s="3"/>
      <c r="F451" s="4">
        <v>9.0</v>
      </c>
      <c r="G451" s="3"/>
      <c r="H451" s="3"/>
      <c r="I451" s="3"/>
    </row>
    <row r="452">
      <c r="A452" s="4" t="s">
        <v>1755</v>
      </c>
      <c r="B452" s="13" t="s">
        <v>48</v>
      </c>
      <c r="C452" s="4">
        <v>2.0</v>
      </c>
      <c r="D452" s="3"/>
      <c r="E452" s="3"/>
      <c r="F452" s="4">
        <v>9.0</v>
      </c>
      <c r="G452" s="3"/>
      <c r="H452" s="4">
        <v>13.0</v>
      </c>
      <c r="I452" s="3"/>
    </row>
    <row r="453">
      <c r="A453" s="4" t="s">
        <v>1756</v>
      </c>
      <c r="B453" s="13" t="s">
        <v>48</v>
      </c>
      <c r="C453" s="4">
        <v>2.0</v>
      </c>
      <c r="D453" s="3"/>
      <c r="E453" s="3"/>
      <c r="F453" s="4">
        <v>9.0</v>
      </c>
      <c r="G453" s="3"/>
      <c r="H453" s="4">
        <v>13.0</v>
      </c>
      <c r="I453" s="3"/>
      <c r="J453" s="4" t="s">
        <v>1757</v>
      </c>
      <c r="K453" s="4" t="s">
        <v>1757</v>
      </c>
    </row>
    <row r="454">
      <c r="A454" s="4" t="s">
        <v>1758</v>
      </c>
      <c r="B454" s="13" t="s">
        <v>48</v>
      </c>
      <c r="C454" s="4">
        <v>2.0</v>
      </c>
      <c r="D454" s="3"/>
      <c r="E454" s="3"/>
      <c r="F454" s="4">
        <v>9.0</v>
      </c>
      <c r="G454" s="3"/>
      <c r="H454" s="4">
        <v>13.0</v>
      </c>
      <c r="I454" s="3"/>
      <c r="J454" s="4" t="s">
        <v>1757</v>
      </c>
      <c r="K454" s="4" t="s">
        <v>1757</v>
      </c>
    </row>
    <row r="455">
      <c r="A455" s="4" t="s">
        <v>1759</v>
      </c>
      <c r="B455" s="13" t="s">
        <v>48</v>
      </c>
      <c r="C455" s="4">
        <v>2.0</v>
      </c>
      <c r="D455" s="3"/>
      <c r="E455" s="3"/>
      <c r="F455" s="4">
        <v>9.0</v>
      </c>
      <c r="G455" s="3"/>
      <c r="H455" s="4">
        <v>13.0</v>
      </c>
      <c r="I455" s="3"/>
      <c r="J455" s="4" t="s">
        <v>1757</v>
      </c>
      <c r="K455" s="4" t="s">
        <v>1757</v>
      </c>
    </row>
    <row r="456">
      <c r="A456" s="4" t="s">
        <v>1760</v>
      </c>
      <c r="B456" s="13" t="s">
        <v>48</v>
      </c>
      <c r="C456" s="4">
        <v>3.0</v>
      </c>
      <c r="D456" s="3"/>
      <c r="E456" s="3"/>
      <c r="F456" s="4">
        <v>9.0</v>
      </c>
      <c r="G456" s="3"/>
      <c r="H456" s="4">
        <v>13.0</v>
      </c>
      <c r="I456" s="4">
        <v>15.0</v>
      </c>
      <c r="J456" s="4" t="s">
        <v>1757</v>
      </c>
      <c r="K456" s="4" t="s">
        <v>1757</v>
      </c>
    </row>
    <row r="457">
      <c r="A457" s="4" t="s">
        <v>1761</v>
      </c>
      <c r="B457" s="13" t="s">
        <v>48</v>
      </c>
      <c r="C457" s="4">
        <v>4.0</v>
      </c>
      <c r="D457" s="4">
        <v>1.0</v>
      </c>
      <c r="E457" s="3"/>
      <c r="F457" s="4">
        <v>9.0</v>
      </c>
      <c r="G457" s="3"/>
      <c r="H457" s="4">
        <v>13.0</v>
      </c>
      <c r="I457" s="4">
        <v>15.0</v>
      </c>
      <c r="J457" s="4" t="s">
        <v>1757</v>
      </c>
      <c r="K457" s="4" t="s">
        <v>1757</v>
      </c>
    </row>
    <row r="458">
      <c r="A458" s="4" t="s">
        <v>1762</v>
      </c>
      <c r="B458" s="13" t="s">
        <v>48</v>
      </c>
      <c r="C458" s="4">
        <v>4.0</v>
      </c>
      <c r="D458" s="4">
        <v>1.0</v>
      </c>
      <c r="E458" s="3"/>
      <c r="F458" s="4">
        <v>9.0</v>
      </c>
      <c r="G458" s="3"/>
      <c r="H458" s="4">
        <v>13.0</v>
      </c>
      <c r="I458" s="4">
        <v>15.0</v>
      </c>
      <c r="J458" s="4" t="s">
        <v>1757</v>
      </c>
      <c r="K458" s="4" t="s">
        <v>1757</v>
      </c>
    </row>
    <row r="459">
      <c r="A459" s="4" t="s">
        <v>1763</v>
      </c>
      <c r="B459" s="13" t="s">
        <v>48</v>
      </c>
      <c r="C459" s="4">
        <v>4.0</v>
      </c>
      <c r="D459" s="4">
        <v>1.0</v>
      </c>
      <c r="E459" s="3"/>
      <c r="F459" s="4">
        <v>9.0</v>
      </c>
      <c r="G459" s="3"/>
      <c r="H459" s="4">
        <v>13.0</v>
      </c>
      <c r="I459" s="4">
        <v>15.0</v>
      </c>
      <c r="J459" s="4" t="s">
        <v>1757</v>
      </c>
      <c r="K459" s="4" t="s">
        <v>1757</v>
      </c>
    </row>
    <row r="460">
      <c r="A460" s="4" t="s">
        <v>1764</v>
      </c>
      <c r="B460" s="13" t="s">
        <v>48</v>
      </c>
      <c r="C460" s="4">
        <v>4.0</v>
      </c>
      <c r="D460" s="4">
        <v>1.0</v>
      </c>
      <c r="E460" s="3"/>
      <c r="F460" s="4">
        <v>9.0</v>
      </c>
      <c r="G460" s="3"/>
      <c r="H460" s="4">
        <v>13.0</v>
      </c>
      <c r="I460" s="4">
        <v>15.0</v>
      </c>
      <c r="J460" s="4" t="s">
        <v>1757</v>
      </c>
      <c r="K460" s="4" t="s">
        <v>1757</v>
      </c>
    </row>
    <row r="461">
      <c r="A461" s="4" t="s">
        <v>1765</v>
      </c>
      <c r="B461" s="13" t="s">
        <v>48</v>
      </c>
      <c r="C461" s="4">
        <v>4.0</v>
      </c>
      <c r="D461" s="4">
        <v>1.0</v>
      </c>
      <c r="E461" s="3"/>
      <c r="F461" s="4">
        <v>9.0</v>
      </c>
      <c r="G461" s="3"/>
      <c r="H461" s="4">
        <v>13.0</v>
      </c>
      <c r="I461" s="4">
        <v>15.0</v>
      </c>
      <c r="J461" s="4" t="s">
        <v>1757</v>
      </c>
      <c r="K461" s="4" t="s">
        <v>1757</v>
      </c>
    </row>
    <row r="462">
      <c r="A462" s="4" t="s">
        <v>1766</v>
      </c>
      <c r="B462" s="13" t="s">
        <v>48</v>
      </c>
      <c r="C462" s="4">
        <v>4.0</v>
      </c>
      <c r="D462" s="4">
        <v>1.0</v>
      </c>
      <c r="E462" s="3"/>
      <c r="F462" s="4">
        <v>9.0</v>
      </c>
      <c r="G462" s="3"/>
      <c r="H462" s="4">
        <v>13.0</v>
      </c>
      <c r="I462" s="4">
        <v>15.0</v>
      </c>
      <c r="J462" s="4" t="s">
        <v>1757</v>
      </c>
      <c r="K462" s="4" t="s">
        <v>1757</v>
      </c>
    </row>
    <row r="463">
      <c r="A463" s="4" t="s">
        <v>1767</v>
      </c>
      <c r="B463" s="13" t="s">
        <v>48</v>
      </c>
      <c r="C463" s="4">
        <v>4.0</v>
      </c>
      <c r="D463" s="4">
        <v>1.0</v>
      </c>
      <c r="E463" s="3"/>
      <c r="F463" s="4">
        <v>9.0</v>
      </c>
      <c r="G463" s="3"/>
      <c r="H463" s="4">
        <v>13.0</v>
      </c>
      <c r="I463" s="4">
        <v>15.0</v>
      </c>
      <c r="J463" s="4" t="s">
        <v>1757</v>
      </c>
      <c r="K463" s="4" t="s">
        <v>1757</v>
      </c>
    </row>
    <row r="464">
      <c r="A464" s="4" t="s">
        <v>1768</v>
      </c>
      <c r="B464" s="13" t="s">
        <v>48</v>
      </c>
      <c r="C464" s="4">
        <v>4.0</v>
      </c>
      <c r="D464" s="4">
        <v>1.0</v>
      </c>
      <c r="E464" s="3"/>
      <c r="F464" s="4">
        <v>9.0</v>
      </c>
      <c r="G464" s="3"/>
      <c r="H464" s="4">
        <v>13.0</v>
      </c>
      <c r="I464" s="4">
        <v>15.0</v>
      </c>
      <c r="J464" s="4" t="s">
        <v>1757</v>
      </c>
      <c r="K464" s="4" t="s">
        <v>1757</v>
      </c>
    </row>
    <row r="465">
      <c r="A465" s="4" t="s">
        <v>1769</v>
      </c>
      <c r="B465" s="13" t="s">
        <v>48</v>
      </c>
      <c r="C465" s="4">
        <v>4.0</v>
      </c>
      <c r="D465" s="4">
        <v>1.0</v>
      </c>
      <c r="E465" s="3"/>
      <c r="F465" s="4">
        <v>9.0</v>
      </c>
      <c r="G465" s="3"/>
      <c r="H465" s="4">
        <v>13.0</v>
      </c>
      <c r="I465" s="4">
        <v>15.0</v>
      </c>
      <c r="J465" s="4" t="s">
        <v>1757</v>
      </c>
      <c r="K465" s="4" t="s">
        <v>1757</v>
      </c>
    </row>
    <row r="466">
      <c r="A466" s="4" t="s">
        <v>1770</v>
      </c>
      <c r="B466" s="13" t="s">
        <v>48</v>
      </c>
      <c r="C466" s="4">
        <v>2.0</v>
      </c>
      <c r="D466" s="4">
        <v>1.0</v>
      </c>
      <c r="E466" s="3"/>
      <c r="F466" s="3"/>
      <c r="G466" s="3"/>
      <c r="H466" s="3"/>
      <c r="I466" s="4">
        <v>15.0</v>
      </c>
      <c r="J466" s="4" t="s">
        <v>1757</v>
      </c>
      <c r="K466" s="4" t="s">
        <v>1757</v>
      </c>
    </row>
    <row r="467">
      <c r="A467" s="4" t="s">
        <v>1771</v>
      </c>
      <c r="B467" s="13" t="s">
        <v>48</v>
      </c>
      <c r="C467" s="4">
        <v>2.0</v>
      </c>
      <c r="D467" s="4">
        <v>1.0</v>
      </c>
      <c r="E467" s="3"/>
      <c r="F467" s="3"/>
      <c r="G467" s="3"/>
      <c r="H467" s="3"/>
      <c r="I467" s="4">
        <v>15.0</v>
      </c>
      <c r="J467" s="4" t="s">
        <v>1757</v>
      </c>
    </row>
    <row r="468">
      <c r="A468" s="4" t="s">
        <v>1772</v>
      </c>
      <c r="B468" s="13" t="s">
        <v>48</v>
      </c>
      <c r="C468" s="4">
        <v>2.0</v>
      </c>
      <c r="D468" s="4">
        <v>1.0</v>
      </c>
      <c r="E468" s="3"/>
      <c r="F468" s="3"/>
      <c r="G468" s="3"/>
      <c r="H468" s="3"/>
      <c r="I468" s="4">
        <v>15.0</v>
      </c>
      <c r="J468" s="4" t="s">
        <v>1757</v>
      </c>
    </row>
    <row r="469">
      <c r="A469" s="4" t="s">
        <v>1773</v>
      </c>
      <c r="B469" s="13" t="s">
        <v>48</v>
      </c>
      <c r="C469" s="4">
        <v>2.0</v>
      </c>
      <c r="D469" s="4">
        <v>1.0</v>
      </c>
      <c r="E469" s="3"/>
      <c r="F469" s="3"/>
      <c r="G469" s="3"/>
      <c r="H469" s="3"/>
      <c r="I469" s="4">
        <v>15.0</v>
      </c>
      <c r="J469" s="4" t="s">
        <v>1757</v>
      </c>
    </row>
    <row r="470">
      <c r="A470" s="4" t="s">
        <v>1774</v>
      </c>
      <c r="B470" s="13" t="s">
        <v>48</v>
      </c>
      <c r="C470" s="4">
        <v>1.0</v>
      </c>
      <c r="D470" s="4">
        <v>1.0</v>
      </c>
      <c r="E470" s="3"/>
      <c r="F470" s="3"/>
      <c r="G470" s="3"/>
      <c r="H470" s="3"/>
      <c r="I470" s="3"/>
    </row>
    <row r="471">
      <c r="A471" s="4" t="s">
        <v>1775</v>
      </c>
      <c r="B471" s="13" t="s">
        <v>43</v>
      </c>
      <c r="D471" s="3"/>
      <c r="E471" s="3"/>
      <c r="F471" s="3"/>
      <c r="G471" s="3"/>
      <c r="H471" s="3"/>
      <c r="I471" s="3"/>
    </row>
    <row r="472">
      <c r="A472" s="4" t="s">
        <v>1776</v>
      </c>
      <c r="B472" s="13" t="s">
        <v>43</v>
      </c>
      <c r="D472" s="3"/>
      <c r="E472" s="3"/>
      <c r="F472" s="3"/>
      <c r="G472" s="3"/>
      <c r="H472" s="3"/>
      <c r="I472" s="3"/>
    </row>
    <row r="473">
      <c r="A473" s="4" t="s">
        <v>1777</v>
      </c>
      <c r="B473" s="13" t="s">
        <v>43</v>
      </c>
      <c r="D473" s="3"/>
      <c r="E473" s="3"/>
      <c r="F473" s="3"/>
      <c r="G473" s="3"/>
      <c r="H473" s="3"/>
      <c r="I473" s="3"/>
    </row>
    <row r="474">
      <c r="A474" s="4" t="s">
        <v>1778</v>
      </c>
      <c r="B474" s="13" t="s">
        <v>43</v>
      </c>
      <c r="D474" s="3"/>
      <c r="E474" s="3"/>
      <c r="F474" s="3"/>
      <c r="G474" s="3"/>
      <c r="H474" s="3"/>
      <c r="I474" s="3"/>
    </row>
    <row r="475">
      <c r="A475" s="4" t="s">
        <v>1779</v>
      </c>
      <c r="B475" s="13" t="s">
        <v>43</v>
      </c>
      <c r="D475" s="3"/>
      <c r="E475" s="3"/>
      <c r="F475" s="3"/>
      <c r="G475" s="3"/>
      <c r="H475" s="3"/>
      <c r="I475" s="3"/>
    </row>
    <row r="476">
      <c r="A476" s="4" t="s">
        <v>1780</v>
      </c>
      <c r="B476" s="13" t="s">
        <v>43</v>
      </c>
      <c r="D476" s="3"/>
      <c r="E476" s="3"/>
      <c r="F476" s="3"/>
      <c r="G476" s="3"/>
      <c r="H476" s="3"/>
      <c r="I476" s="3"/>
    </row>
    <row r="477">
      <c r="A477" s="4" t="s">
        <v>1781</v>
      </c>
      <c r="B477" s="13" t="s">
        <v>43</v>
      </c>
      <c r="D477" s="3"/>
      <c r="E477" s="3"/>
      <c r="F477" s="3"/>
      <c r="G477" s="3"/>
      <c r="H477" s="3"/>
      <c r="I477" s="3"/>
    </row>
    <row r="478">
      <c r="A478" s="4" t="s">
        <v>1782</v>
      </c>
      <c r="B478" s="13" t="s">
        <v>43</v>
      </c>
      <c r="D478" s="3"/>
      <c r="E478" s="3"/>
      <c r="F478" s="3"/>
      <c r="G478" s="3"/>
      <c r="H478" s="3"/>
      <c r="I478" s="3"/>
    </row>
    <row r="479">
      <c r="A479" s="4" t="s">
        <v>1783</v>
      </c>
      <c r="B479" s="13" t="s">
        <v>48</v>
      </c>
      <c r="C479" s="4">
        <v>1.0</v>
      </c>
      <c r="D479" s="3"/>
      <c r="E479" s="3"/>
      <c r="F479" s="3"/>
      <c r="G479" s="4">
        <v>10.0</v>
      </c>
      <c r="H479" s="3"/>
      <c r="I479" s="3"/>
    </row>
    <row r="480">
      <c r="A480" s="4" t="s">
        <v>1784</v>
      </c>
      <c r="B480" s="13" t="s">
        <v>48</v>
      </c>
      <c r="C480" s="4">
        <v>1.0</v>
      </c>
      <c r="D480" s="3"/>
      <c r="E480" s="3"/>
      <c r="F480" s="3"/>
      <c r="G480" s="4">
        <v>10.0</v>
      </c>
      <c r="H480" s="3"/>
      <c r="I480" s="3"/>
    </row>
    <row r="481">
      <c r="A481" s="4" t="s">
        <v>1785</v>
      </c>
      <c r="B481" s="13" t="s">
        <v>48</v>
      </c>
      <c r="C481" s="4">
        <v>1.0</v>
      </c>
      <c r="D481" s="3"/>
      <c r="E481" s="3"/>
      <c r="F481" s="3"/>
      <c r="G481" s="4">
        <v>10.0</v>
      </c>
      <c r="H481" s="3"/>
      <c r="I481" s="3"/>
    </row>
    <row r="482">
      <c r="A482" s="4" t="s">
        <v>1786</v>
      </c>
      <c r="B482" s="13" t="s">
        <v>48</v>
      </c>
      <c r="C482" s="4">
        <v>1.0</v>
      </c>
      <c r="D482" s="3"/>
      <c r="E482" s="3"/>
      <c r="F482" s="3"/>
      <c r="G482" s="4">
        <v>10.0</v>
      </c>
      <c r="H482" s="3"/>
      <c r="I482" s="3"/>
    </row>
    <row r="483">
      <c r="A483" s="4" t="s">
        <v>1787</v>
      </c>
      <c r="B483" s="13" t="s">
        <v>48</v>
      </c>
      <c r="C483" s="4">
        <v>1.0</v>
      </c>
      <c r="D483" s="3"/>
      <c r="E483" s="3"/>
      <c r="F483" s="3"/>
      <c r="G483" s="4">
        <v>10.0</v>
      </c>
      <c r="H483" s="3"/>
      <c r="I483" s="3"/>
    </row>
    <row r="484">
      <c r="A484" s="4" t="s">
        <v>1788</v>
      </c>
      <c r="B484" s="13" t="s">
        <v>48</v>
      </c>
      <c r="C484" s="4">
        <v>1.0</v>
      </c>
      <c r="D484" s="3"/>
      <c r="E484" s="3"/>
      <c r="F484" s="3"/>
      <c r="G484" s="4">
        <v>10.0</v>
      </c>
      <c r="H484" s="3"/>
      <c r="I484" s="3"/>
    </row>
    <row r="485">
      <c r="A485" s="4" t="s">
        <v>1789</v>
      </c>
      <c r="B485" s="13" t="s">
        <v>48</v>
      </c>
      <c r="C485" s="4">
        <v>1.0</v>
      </c>
      <c r="D485" s="3"/>
      <c r="E485" s="3"/>
      <c r="F485" s="3"/>
      <c r="G485" s="4">
        <v>10.0</v>
      </c>
      <c r="H485" s="3"/>
      <c r="I485" s="3"/>
    </row>
    <row r="486">
      <c r="A486" s="4" t="s">
        <v>1790</v>
      </c>
      <c r="B486" s="13" t="s">
        <v>48</v>
      </c>
      <c r="C486" s="4">
        <v>1.0</v>
      </c>
      <c r="D486" s="3"/>
      <c r="E486" s="3"/>
      <c r="F486" s="3"/>
      <c r="G486" s="4">
        <v>10.0</v>
      </c>
      <c r="H486" s="3"/>
      <c r="I486" s="3"/>
    </row>
    <row r="487">
      <c r="A487" s="4" t="s">
        <v>1791</v>
      </c>
      <c r="B487" s="13" t="s">
        <v>48</v>
      </c>
      <c r="C487" s="4">
        <v>1.0</v>
      </c>
      <c r="D487" s="3"/>
      <c r="E487" s="3"/>
      <c r="F487" s="3"/>
      <c r="G487" s="4">
        <v>10.0</v>
      </c>
      <c r="H487" s="3"/>
      <c r="I487" s="3"/>
    </row>
    <row r="488">
      <c r="A488" s="4" t="s">
        <v>1792</v>
      </c>
      <c r="B488" s="13" t="s">
        <v>48</v>
      </c>
      <c r="C488" s="4">
        <v>1.0</v>
      </c>
      <c r="D488" s="3"/>
      <c r="E488" s="3"/>
      <c r="F488" s="3"/>
      <c r="G488" s="4">
        <v>10.0</v>
      </c>
      <c r="H488" s="3"/>
      <c r="I488" s="3"/>
    </row>
    <row r="489">
      <c r="A489" s="4" t="s">
        <v>1793</v>
      </c>
      <c r="B489" s="13" t="s">
        <v>48</v>
      </c>
      <c r="C489" s="4">
        <v>1.0</v>
      </c>
      <c r="D489" s="3"/>
      <c r="E489" s="3"/>
      <c r="F489" s="3"/>
      <c r="G489" s="4">
        <v>10.0</v>
      </c>
      <c r="H489" s="3"/>
      <c r="I489" s="3"/>
    </row>
    <row r="490">
      <c r="A490" s="4" t="s">
        <v>1794</v>
      </c>
      <c r="B490" s="13" t="s">
        <v>48</v>
      </c>
      <c r="C490" s="4">
        <v>1.0</v>
      </c>
      <c r="D490" s="3"/>
      <c r="E490" s="3"/>
      <c r="F490" s="3"/>
      <c r="G490" s="4">
        <v>10.0</v>
      </c>
      <c r="H490" s="3"/>
      <c r="I490" s="3"/>
    </row>
    <row r="491">
      <c r="A491" s="4" t="s">
        <v>1795</v>
      </c>
      <c r="B491" s="13" t="s">
        <v>48</v>
      </c>
      <c r="C491" s="4">
        <v>1.0</v>
      </c>
      <c r="D491" s="3"/>
      <c r="E491" s="3"/>
      <c r="F491" s="3"/>
      <c r="G491" s="4">
        <v>10.0</v>
      </c>
      <c r="H491" s="3"/>
      <c r="I491" s="3"/>
    </row>
    <row r="492">
      <c r="A492" s="4" t="s">
        <v>1796</v>
      </c>
      <c r="B492" s="13" t="s">
        <v>48</v>
      </c>
      <c r="C492" s="4">
        <v>1.0</v>
      </c>
      <c r="D492" s="3"/>
      <c r="E492" s="3"/>
      <c r="F492" s="3"/>
      <c r="G492" s="4">
        <v>10.0</v>
      </c>
      <c r="H492" s="3"/>
      <c r="I492" s="3"/>
    </row>
    <row r="493">
      <c r="A493" s="4" t="s">
        <v>1797</v>
      </c>
      <c r="B493" s="13" t="s">
        <v>48</v>
      </c>
      <c r="C493" s="4">
        <v>1.0</v>
      </c>
      <c r="D493" s="3"/>
      <c r="E493" s="3"/>
      <c r="F493" s="3"/>
      <c r="G493" s="4">
        <v>10.0</v>
      </c>
      <c r="H493" s="3"/>
      <c r="I493" s="3"/>
    </row>
    <row r="494">
      <c r="A494" s="4" t="s">
        <v>1798</v>
      </c>
      <c r="B494" s="13" t="s">
        <v>48</v>
      </c>
      <c r="C494" s="4">
        <v>1.0</v>
      </c>
      <c r="D494" s="3"/>
      <c r="E494" s="3"/>
      <c r="F494" s="3"/>
      <c r="G494" s="4">
        <v>10.0</v>
      </c>
      <c r="H494" s="3"/>
      <c r="I494" s="3"/>
    </row>
    <row r="495">
      <c r="A495" s="4" t="s">
        <v>1799</v>
      </c>
      <c r="B495" s="13" t="s">
        <v>48</v>
      </c>
      <c r="C495" s="4">
        <v>1.0</v>
      </c>
      <c r="D495" s="3"/>
      <c r="E495" s="3"/>
      <c r="F495" s="3"/>
      <c r="G495" s="4">
        <v>10.0</v>
      </c>
      <c r="H495" s="3"/>
      <c r="I495" s="3"/>
    </row>
    <row r="496">
      <c r="A496" s="4" t="s">
        <v>1800</v>
      </c>
      <c r="B496" s="13" t="s">
        <v>48</v>
      </c>
      <c r="C496" s="4">
        <v>1.0</v>
      </c>
      <c r="D496" s="3"/>
      <c r="E496" s="3"/>
      <c r="F496" s="3"/>
      <c r="G496" s="4">
        <v>10.0</v>
      </c>
      <c r="H496" s="3"/>
      <c r="I496" s="3"/>
    </row>
    <row r="497">
      <c r="A497" s="4" t="s">
        <v>1801</v>
      </c>
      <c r="B497" s="13" t="s">
        <v>48</v>
      </c>
      <c r="C497" s="4">
        <v>1.0</v>
      </c>
      <c r="D497" s="3"/>
      <c r="E497" s="3"/>
      <c r="F497" s="3"/>
      <c r="G497" s="4">
        <v>10.0</v>
      </c>
      <c r="H497" s="3"/>
      <c r="I497" s="3"/>
    </row>
    <row r="498">
      <c r="A498" s="4" t="s">
        <v>1802</v>
      </c>
      <c r="B498" s="13" t="s">
        <v>48</v>
      </c>
      <c r="C498" s="4">
        <v>1.0</v>
      </c>
      <c r="D498" s="3"/>
      <c r="E498" s="3"/>
      <c r="F498" s="3"/>
      <c r="G498" s="4">
        <v>10.0</v>
      </c>
      <c r="H498" s="3"/>
      <c r="I498" s="3"/>
    </row>
    <row r="499">
      <c r="A499" s="4" t="s">
        <v>1803</v>
      </c>
      <c r="B499" s="13" t="s">
        <v>48</v>
      </c>
      <c r="C499" s="4">
        <v>1.0</v>
      </c>
      <c r="D499" s="3"/>
      <c r="E499" s="3"/>
      <c r="F499" s="3"/>
      <c r="G499" s="4">
        <v>10.0</v>
      </c>
      <c r="H499" s="3"/>
      <c r="I499" s="3"/>
    </row>
    <row r="500">
      <c r="A500" s="4" t="s">
        <v>1804</v>
      </c>
      <c r="B500" s="13" t="s">
        <v>48</v>
      </c>
      <c r="C500" s="4">
        <v>1.0</v>
      </c>
      <c r="D500" s="3"/>
      <c r="E500" s="3"/>
      <c r="F500" s="3"/>
      <c r="G500" s="4">
        <v>10.0</v>
      </c>
      <c r="H500" s="3"/>
      <c r="I500" s="3"/>
    </row>
    <row r="501">
      <c r="A501" s="4" t="s">
        <v>1805</v>
      </c>
      <c r="B501" s="13" t="s">
        <v>48</v>
      </c>
      <c r="C501" s="4">
        <v>1.0</v>
      </c>
      <c r="D501" s="3"/>
      <c r="E501" s="3"/>
      <c r="F501" s="3"/>
      <c r="G501" s="4">
        <v>10.0</v>
      </c>
      <c r="H501" s="3"/>
      <c r="I501" s="3"/>
    </row>
    <row r="502">
      <c r="A502" s="4" t="s">
        <v>1806</v>
      </c>
      <c r="B502" s="13" t="s">
        <v>48</v>
      </c>
      <c r="C502" s="4">
        <v>1.0</v>
      </c>
      <c r="D502" s="3"/>
      <c r="E502" s="3"/>
      <c r="F502" s="3"/>
      <c r="G502" s="4">
        <v>10.0</v>
      </c>
      <c r="H502" s="3"/>
      <c r="I502" s="3"/>
    </row>
    <row r="503">
      <c r="A503" s="4" t="s">
        <v>1807</v>
      </c>
      <c r="B503" s="13" t="s">
        <v>43</v>
      </c>
      <c r="D503" s="3"/>
      <c r="E503" s="3"/>
      <c r="F503" s="3"/>
      <c r="G503" s="3"/>
      <c r="H503" s="3"/>
      <c r="I503" s="3"/>
    </row>
    <row r="504">
      <c r="A504" s="4" t="s">
        <v>1808</v>
      </c>
      <c r="B504" s="13" t="s">
        <v>43</v>
      </c>
      <c r="D504" s="3"/>
      <c r="E504" s="3"/>
      <c r="F504" s="3"/>
      <c r="G504" s="3"/>
      <c r="H504" s="3"/>
      <c r="I504" s="3"/>
    </row>
    <row r="505">
      <c r="A505" s="4" t="s">
        <v>1809</v>
      </c>
      <c r="B505" s="13" t="s">
        <v>43</v>
      </c>
      <c r="D505" s="3"/>
      <c r="E505" s="3"/>
      <c r="F505" s="3"/>
      <c r="G505" s="3"/>
      <c r="H505" s="3"/>
      <c r="I505" s="3"/>
    </row>
    <row r="506">
      <c r="A506" s="4" t="s">
        <v>1810</v>
      </c>
      <c r="B506" s="13" t="s">
        <v>43</v>
      </c>
      <c r="D506" s="3"/>
      <c r="E506" s="3"/>
      <c r="F506" s="3"/>
      <c r="G506" s="3"/>
      <c r="H506" s="3"/>
      <c r="I506" s="3"/>
    </row>
    <row r="507">
      <c r="A507" s="4" t="s">
        <v>1811</v>
      </c>
      <c r="B507" s="13" t="s">
        <v>43</v>
      </c>
      <c r="D507" s="3"/>
      <c r="E507" s="3"/>
      <c r="F507" s="3"/>
      <c r="G507" s="3"/>
      <c r="H507" s="3"/>
      <c r="I507" s="3"/>
    </row>
    <row r="508">
      <c r="A508" s="4" t="s">
        <v>1812</v>
      </c>
      <c r="B508" s="13" t="s">
        <v>43</v>
      </c>
      <c r="D508" s="3"/>
      <c r="E508" s="3"/>
      <c r="F508" s="3"/>
      <c r="G508" s="3"/>
      <c r="H508" s="3"/>
      <c r="I508" s="3"/>
    </row>
    <row r="509">
      <c r="A509" s="4" t="s">
        <v>1813</v>
      </c>
      <c r="B509" s="13" t="s">
        <v>43</v>
      </c>
      <c r="D509" s="3"/>
      <c r="E509" s="3"/>
      <c r="F509" s="3"/>
      <c r="G509" s="3"/>
      <c r="H509" s="3"/>
      <c r="I509" s="3"/>
    </row>
    <row r="510">
      <c r="A510" s="4" t="s">
        <v>1814</v>
      </c>
      <c r="B510" s="13" t="s">
        <v>43</v>
      </c>
      <c r="D510" s="3"/>
      <c r="E510" s="3"/>
      <c r="F510" s="3"/>
      <c r="G510" s="3"/>
      <c r="H510" s="3"/>
      <c r="I510" s="3"/>
    </row>
    <row r="511">
      <c r="A511" s="4" t="s">
        <v>1815</v>
      </c>
      <c r="B511" s="13" t="s">
        <v>43</v>
      </c>
      <c r="D511" s="3"/>
      <c r="E511" s="3"/>
      <c r="F511" s="3"/>
      <c r="G511" s="3"/>
      <c r="H511" s="3"/>
      <c r="I511" s="3"/>
    </row>
    <row r="512">
      <c r="A512" s="4" t="s">
        <v>1816</v>
      </c>
      <c r="B512" s="13" t="s">
        <v>43</v>
      </c>
      <c r="D512" s="3"/>
      <c r="E512" s="3"/>
      <c r="F512" s="3"/>
      <c r="G512" s="3"/>
      <c r="H512" s="3"/>
      <c r="I512" s="3"/>
    </row>
    <row r="513">
      <c r="A513" s="4" t="s">
        <v>1817</v>
      </c>
      <c r="B513" s="13" t="s">
        <v>43</v>
      </c>
      <c r="D513" s="3"/>
      <c r="E513" s="3"/>
      <c r="F513" s="3"/>
      <c r="G513" s="3"/>
      <c r="H513" s="3"/>
      <c r="I513" s="3"/>
    </row>
    <row r="514">
      <c r="A514" s="4" t="s">
        <v>1818</v>
      </c>
      <c r="B514" s="13" t="s">
        <v>43</v>
      </c>
      <c r="D514" s="3"/>
      <c r="E514" s="3"/>
      <c r="F514" s="3"/>
      <c r="G514" s="3"/>
      <c r="H514" s="3"/>
      <c r="I514" s="3"/>
    </row>
    <row r="515">
      <c r="A515" s="4" t="s">
        <v>1819</v>
      </c>
      <c r="B515" s="13" t="s">
        <v>43</v>
      </c>
      <c r="D515" s="3"/>
      <c r="E515" s="3"/>
      <c r="F515" s="3"/>
      <c r="G515" s="3"/>
      <c r="H515" s="3"/>
      <c r="I515" s="3"/>
    </row>
    <row r="516">
      <c r="A516" s="4" t="s">
        <v>1820</v>
      </c>
      <c r="B516" s="13" t="s">
        <v>43</v>
      </c>
      <c r="D516" s="3"/>
      <c r="E516" s="3"/>
      <c r="F516" s="3"/>
      <c r="G516" s="3"/>
      <c r="H516" s="3"/>
      <c r="I516" s="3"/>
    </row>
    <row r="517">
      <c r="A517" s="4" t="s">
        <v>1821</v>
      </c>
      <c r="B517" s="13" t="s">
        <v>43</v>
      </c>
      <c r="D517" s="3"/>
      <c r="E517" s="3"/>
      <c r="F517" s="3"/>
      <c r="G517" s="3"/>
      <c r="H517" s="3"/>
      <c r="I517" s="3"/>
    </row>
    <row r="518">
      <c r="A518" s="4" t="s">
        <v>1822</v>
      </c>
      <c r="B518" s="13" t="s">
        <v>43</v>
      </c>
      <c r="D518" s="3"/>
      <c r="E518" s="3"/>
      <c r="F518" s="3"/>
      <c r="G518" s="3"/>
      <c r="H518" s="3"/>
      <c r="I518" s="3"/>
    </row>
    <row r="519">
      <c r="A519" s="4" t="s">
        <v>1823</v>
      </c>
      <c r="B519" s="13" t="s">
        <v>43</v>
      </c>
      <c r="D519" s="3"/>
      <c r="E519" s="3"/>
      <c r="F519" s="3"/>
      <c r="G519" s="3"/>
      <c r="H519" s="3"/>
      <c r="I519" s="3"/>
    </row>
    <row r="520">
      <c r="A520" s="4" t="s">
        <v>1824</v>
      </c>
      <c r="B520" s="13" t="s">
        <v>43</v>
      </c>
      <c r="D520" s="3"/>
      <c r="E520" s="3"/>
      <c r="F520" s="3"/>
      <c r="G520" s="3"/>
      <c r="H520" s="3"/>
      <c r="I520" s="3"/>
    </row>
    <row r="521">
      <c r="A521" s="4" t="s">
        <v>1825</v>
      </c>
      <c r="B521" s="13" t="s">
        <v>43</v>
      </c>
      <c r="D521" s="3"/>
      <c r="E521" s="3"/>
      <c r="F521" s="3"/>
      <c r="G521" s="3"/>
      <c r="H521" s="3"/>
      <c r="I521" s="3"/>
    </row>
    <row r="522">
      <c r="A522" s="4" t="s">
        <v>1826</v>
      </c>
      <c r="B522" s="13" t="s">
        <v>43</v>
      </c>
      <c r="D522" s="3"/>
      <c r="E522" s="3"/>
      <c r="F522" s="3"/>
      <c r="G522" s="3"/>
      <c r="H522" s="3"/>
      <c r="I522" s="3"/>
    </row>
    <row r="523">
      <c r="A523" s="4" t="s">
        <v>1827</v>
      </c>
      <c r="B523" s="13" t="s">
        <v>43</v>
      </c>
      <c r="D523" s="3"/>
      <c r="E523" s="3"/>
      <c r="F523" s="3"/>
      <c r="G523" s="3"/>
      <c r="H523" s="3"/>
      <c r="I523" s="3"/>
    </row>
    <row r="524">
      <c r="A524" s="4" t="s">
        <v>1828</v>
      </c>
      <c r="B524" s="13" t="s">
        <v>43</v>
      </c>
      <c r="D524" s="3"/>
      <c r="E524" s="3"/>
      <c r="F524" s="3"/>
      <c r="G524" s="3"/>
      <c r="H524" s="3"/>
      <c r="I524" s="3"/>
    </row>
    <row r="525">
      <c r="A525" s="4" t="s">
        <v>1829</v>
      </c>
      <c r="B525" s="13" t="s">
        <v>43</v>
      </c>
      <c r="D525" s="3"/>
      <c r="E525" s="3"/>
      <c r="F525" s="3"/>
      <c r="G525" s="3"/>
      <c r="H525" s="3"/>
      <c r="I525" s="3"/>
    </row>
    <row r="526">
      <c r="A526" s="4" t="s">
        <v>1830</v>
      </c>
      <c r="B526" s="13" t="s">
        <v>43</v>
      </c>
      <c r="D526" s="3"/>
      <c r="E526" s="3"/>
      <c r="F526" s="3"/>
      <c r="G526" s="3"/>
      <c r="H526" s="3"/>
      <c r="I526" s="3"/>
    </row>
    <row r="527">
      <c r="A527" s="4" t="s">
        <v>1831</v>
      </c>
      <c r="B527" s="13" t="s">
        <v>43</v>
      </c>
      <c r="D527" s="3"/>
      <c r="E527" s="3"/>
      <c r="F527" s="3"/>
      <c r="G527" s="3"/>
      <c r="H527" s="3"/>
      <c r="I527" s="3"/>
    </row>
    <row r="528">
      <c r="A528" s="4" t="s">
        <v>1832</v>
      </c>
      <c r="B528" s="13" t="s">
        <v>43</v>
      </c>
      <c r="D528" s="3"/>
      <c r="E528" s="3"/>
      <c r="F528" s="3"/>
      <c r="G528" s="3"/>
      <c r="H528" s="3"/>
      <c r="I528" s="3"/>
    </row>
    <row r="529">
      <c r="A529" s="4" t="s">
        <v>1833</v>
      </c>
      <c r="B529" s="13" t="s">
        <v>43</v>
      </c>
      <c r="D529" s="3"/>
      <c r="E529" s="3"/>
      <c r="F529" s="3"/>
      <c r="G529" s="3"/>
      <c r="H529" s="3"/>
      <c r="I529" s="3"/>
    </row>
    <row r="530">
      <c r="A530" s="4" t="s">
        <v>1834</v>
      </c>
      <c r="B530" s="13" t="s">
        <v>43</v>
      </c>
      <c r="D530" s="3"/>
      <c r="E530" s="3"/>
      <c r="F530" s="3"/>
      <c r="G530" s="3"/>
      <c r="H530" s="3"/>
      <c r="I530" s="3"/>
    </row>
    <row r="531">
      <c r="A531" s="4" t="s">
        <v>1835</v>
      </c>
      <c r="B531" s="13" t="s">
        <v>43</v>
      </c>
      <c r="D531" s="3"/>
      <c r="E531" s="3"/>
      <c r="F531" s="3"/>
      <c r="G531" s="3"/>
      <c r="H531" s="3"/>
      <c r="I531" s="3"/>
    </row>
    <row r="532">
      <c r="A532" s="4" t="s">
        <v>1836</v>
      </c>
      <c r="B532" s="13" t="s">
        <v>48</v>
      </c>
      <c r="C532" s="4">
        <v>1.0</v>
      </c>
      <c r="D532" s="3"/>
      <c r="E532" s="3"/>
      <c r="F532" s="3"/>
      <c r="G532" s="4">
        <v>10.0</v>
      </c>
      <c r="H532" s="3"/>
      <c r="I532" s="3"/>
    </row>
    <row r="533">
      <c r="A533" s="4" t="s">
        <v>1837</v>
      </c>
      <c r="B533" s="13" t="s">
        <v>48</v>
      </c>
      <c r="C533" s="4">
        <v>1.0</v>
      </c>
      <c r="D533" s="3"/>
      <c r="E533" s="3"/>
      <c r="F533" s="3"/>
      <c r="G533" s="4">
        <v>10.0</v>
      </c>
      <c r="H533" s="3"/>
      <c r="I533" s="3"/>
    </row>
    <row r="534">
      <c r="A534" s="4" t="s">
        <v>1838</v>
      </c>
      <c r="B534" s="13" t="s">
        <v>48</v>
      </c>
      <c r="C534" s="4">
        <v>1.0</v>
      </c>
      <c r="D534" s="3"/>
      <c r="E534" s="3"/>
      <c r="F534" s="3"/>
      <c r="G534" s="4">
        <v>10.0</v>
      </c>
      <c r="H534" s="3"/>
      <c r="I534" s="3"/>
    </row>
    <row r="535">
      <c r="A535" s="4" t="s">
        <v>1839</v>
      </c>
      <c r="B535" s="13" t="s">
        <v>48</v>
      </c>
      <c r="C535" s="4">
        <v>1.0</v>
      </c>
      <c r="D535" s="3"/>
      <c r="E535" s="3"/>
      <c r="F535" s="3"/>
      <c r="G535" s="4">
        <v>10.0</v>
      </c>
      <c r="H535" s="3"/>
      <c r="I535" s="3"/>
    </row>
    <row r="536">
      <c r="A536" s="4" t="s">
        <v>1840</v>
      </c>
      <c r="B536" s="13" t="s">
        <v>48</v>
      </c>
      <c r="C536" s="4">
        <v>1.0</v>
      </c>
      <c r="D536" s="3"/>
      <c r="E536" s="3"/>
      <c r="F536" s="3"/>
      <c r="G536" s="4">
        <v>10.0</v>
      </c>
      <c r="H536" s="3"/>
      <c r="I536" s="3"/>
    </row>
    <row r="537">
      <c r="A537" s="4" t="s">
        <v>1841</v>
      </c>
      <c r="B537" s="13" t="s">
        <v>48</v>
      </c>
      <c r="C537" s="4">
        <v>1.0</v>
      </c>
      <c r="D537" s="3"/>
      <c r="E537" s="3"/>
      <c r="F537" s="3"/>
      <c r="G537" s="4">
        <v>10.0</v>
      </c>
      <c r="H537" s="3"/>
      <c r="I537" s="3"/>
    </row>
    <row r="538">
      <c r="A538" s="4" t="s">
        <v>1842</v>
      </c>
      <c r="B538" s="13" t="s">
        <v>48</v>
      </c>
      <c r="C538" s="4">
        <v>1.0</v>
      </c>
      <c r="D538" s="3"/>
      <c r="E538" s="3"/>
      <c r="F538" s="3"/>
      <c r="G538" s="4">
        <v>10.0</v>
      </c>
      <c r="H538" s="3"/>
      <c r="I538" s="3"/>
    </row>
    <row r="539">
      <c r="A539" s="4" t="s">
        <v>1843</v>
      </c>
      <c r="B539" s="13" t="s">
        <v>48</v>
      </c>
      <c r="C539" s="4">
        <v>1.0</v>
      </c>
      <c r="D539" s="3"/>
      <c r="E539" s="3"/>
      <c r="F539" s="3"/>
      <c r="G539" s="4">
        <v>10.0</v>
      </c>
      <c r="H539" s="3"/>
      <c r="I539" s="3"/>
    </row>
    <row r="540">
      <c r="A540" s="4" t="s">
        <v>1844</v>
      </c>
      <c r="B540" s="13" t="s">
        <v>48</v>
      </c>
      <c r="C540" s="4">
        <v>1.0</v>
      </c>
      <c r="D540" s="3"/>
      <c r="E540" s="3"/>
      <c r="F540" s="3"/>
      <c r="G540" s="4">
        <v>10.0</v>
      </c>
      <c r="H540" s="3"/>
      <c r="I540" s="3"/>
    </row>
    <row r="541">
      <c r="A541" s="4" t="s">
        <v>1845</v>
      </c>
      <c r="B541" s="13" t="s">
        <v>48</v>
      </c>
      <c r="C541" s="4">
        <v>1.0</v>
      </c>
      <c r="D541" s="3"/>
      <c r="E541" s="3"/>
      <c r="F541" s="3"/>
      <c r="G541" s="4">
        <v>10.0</v>
      </c>
      <c r="H541" s="3"/>
      <c r="I541" s="3"/>
    </row>
    <row r="542">
      <c r="A542" s="4" t="s">
        <v>1846</v>
      </c>
      <c r="B542" s="13" t="s">
        <v>48</v>
      </c>
      <c r="C542" s="4">
        <v>1.0</v>
      </c>
      <c r="D542" s="3"/>
      <c r="E542" s="3"/>
      <c r="F542" s="3"/>
      <c r="G542" s="4">
        <v>10.0</v>
      </c>
      <c r="H542" s="3"/>
      <c r="I542" s="3"/>
    </row>
    <row r="543">
      <c r="A543" s="4" t="s">
        <v>1847</v>
      </c>
      <c r="B543" s="13" t="s">
        <v>48</v>
      </c>
      <c r="C543" s="4">
        <v>1.0</v>
      </c>
      <c r="D543" s="3"/>
      <c r="E543" s="3"/>
      <c r="F543" s="3"/>
      <c r="G543" s="4">
        <v>10.0</v>
      </c>
      <c r="H543" s="3"/>
      <c r="I543" s="3"/>
    </row>
    <row r="544">
      <c r="A544" s="4" t="s">
        <v>1848</v>
      </c>
      <c r="B544" s="13" t="s">
        <v>48</v>
      </c>
      <c r="C544" s="4">
        <v>1.0</v>
      </c>
      <c r="D544" s="3"/>
      <c r="E544" s="3"/>
      <c r="F544" s="3"/>
      <c r="G544" s="4">
        <v>10.0</v>
      </c>
      <c r="H544" s="3"/>
      <c r="I544" s="3"/>
    </row>
    <row r="545">
      <c r="A545" s="4" t="s">
        <v>1849</v>
      </c>
      <c r="B545" s="13" t="s">
        <v>48</v>
      </c>
      <c r="C545" s="4">
        <v>1.0</v>
      </c>
      <c r="D545" s="3"/>
      <c r="E545" s="3"/>
      <c r="F545" s="3"/>
      <c r="G545" s="4">
        <v>10.0</v>
      </c>
      <c r="H545" s="3"/>
      <c r="I545" s="3"/>
    </row>
    <row r="546">
      <c r="A546" s="4" t="s">
        <v>1850</v>
      </c>
      <c r="B546" s="13" t="s">
        <v>48</v>
      </c>
      <c r="C546" s="4">
        <v>1.0</v>
      </c>
      <c r="D546" s="3"/>
      <c r="E546" s="3"/>
      <c r="F546" s="3"/>
      <c r="G546" s="4">
        <v>10.0</v>
      </c>
      <c r="H546" s="3"/>
      <c r="I546" s="3"/>
    </row>
    <row r="547">
      <c r="A547" s="4" t="s">
        <v>1851</v>
      </c>
      <c r="B547" s="13" t="s">
        <v>48</v>
      </c>
      <c r="C547" s="4">
        <v>1.0</v>
      </c>
      <c r="D547" s="3"/>
      <c r="E547" s="3"/>
      <c r="F547" s="3"/>
      <c r="G547" s="4">
        <v>10.0</v>
      </c>
      <c r="H547" s="3"/>
      <c r="I547" s="3"/>
    </row>
    <row r="548">
      <c r="A548" s="4" t="s">
        <v>1852</v>
      </c>
      <c r="B548" s="13" t="s">
        <v>48</v>
      </c>
      <c r="C548" s="4">
        <v>1.0</v>
      </c>
      <c r="D548" s="3"/>
      <c r="E548" s="3"/>
      <c r="F548" s="3"/>
      <c r="G548" s="4">
        <v>10.0</v>
      </c>
      <c r="H548" s="3"/>
      <c r="I548" s="3"/>
    </row>
    <row r="549">
      <c r="A549" s="4" t="s">
        <v>1853</v>
      </c>
      <c r="B549" s="13" t="s">
        <v>48</v>
      </c>
      <c r="C549" s="4">
        <v>1.0</v>
      </c>
      <c r="D549" s="3"/>
      <c r="E549" s="3"/>
      <c r="F549" s="3"/>
      <c r="G549" s="4">
        <v>10.0</v>
      </c>
      <c r="H549" s="3"/>
      <c r="I549" s="3"/>
    </row>
    <row r="550">
      <c r="A550" s="4" t="s">
        <v>1854</v>
      </c>
      <c r="B550" s="13" t="s">
        <v>48</v>
      </c>
      <c r="C550" s="4">
        <v>1.0</v>
      </c>
      <c r="D550" s="3"/>
      <c r="E550" s="3"/>
      <c r="F550" s="3"/>
      <c r="G550" s="4">
        <v>10.0</v>
      </c>
      <c r="H550" s="3"/>
      <c r="I550" s="3"/>
    </row>
    <row r="551">
      <c r="A551" s="4" t="s">
        <v>1855</v>
      </c>
      <c r="B551" s="13" t="s">
        <v>48</v>
      </c>
      <c r="C551" s="4">
        <v>1.0</v>
      </c>
      <c r="D551" s="3"/>
      <c r="E551" s="3"/>
      <c r="F551" s="3"/>
      <c r="G551" s="4">
        <v>10.0</v>
      </c>
      <c r="H551" s="3"/>
      <c r="I551" s="3"/>
    </row>
    <row r="552">
      <c r="A552" s="4" t="s">
        <v>1856</v>
      </c>
      <c r="B552" s="13" t="s">
        <v>43</v>
      </c>
      <c r="D552" s="3"/>
      <c r="E552" s="3"/>
      <c r="F552" s="3"/>
      <c r="G552" s="3"/>
      <c r="H552" s="3"/>
      <c r="I552" s="3"/>
    </row>
    <row r="553">
      <c r="A553" s="4" t="s">
        <v>1857</v>
      </c>
      <c r="B553" s="13" t="s">
        <v>43</v>
      </c>
      <c r="D553" s="3"/>
      <c r="E553" s="3"/>
      <c r="F553" s="3"/>
      <c r="G553" s="3"/>
      <c r="H553" s="3"/>
      <c r="I553" s="3"/>
    </row>
    <row r="554">
      <c r="A554" s="4" t="s">
        <v>1858</v>
      </c>
      <c r="B554" s="13" t="s">
        <v>43</v>
      </c>
      <c r="D554" s="3"/>
      <c r="E554" s="3"/>
      <c r="F554" s="3"/>
      <c r="G554" s="3"/>
      <c r="H554" s="3"/>
      <c r="I554" s="3"/>
    </row>
    <row r="555">
      <c r="A555" s="4" t="s">
        <v>1859</v>
      </c>
      <c r="B555" s="13" t="s">
        <v>43</v>
      </c>
      <c r="D555" s="3"/>
      <c r="E555" s="3"/>
      <c r="F555" s="3"/>
      <c r="G555" s="3"/>
      <c r="H555" s="3"/>
      <c r="I555" s="3"/>
    </row>
    <row r="556">
      <c r="A556" s="4" t="s">
        <v>1860</v>
      </c>
      <c r="B556" s="13" t="s">
        <v>43</v>
      </c>
      <c r="D556" s="3"/>
      <c r="E556" s="3"/>
      <c r="F556" s="3"/>
      <c r="G556" s="3"/>
      <c r="H556" s="3"/>
      <c r="I556" s="3"/>
    </row>
    <row r="557">
      <c r="A557" s="4" t="s">
        <v>1861</v>
      </c>
      <c r="B557" s="13" t="s">
        <v>43</v>
      </c>
      <c r="D557" s="3"/>
      <c r="E557" s="3"/>
      <c r="F557" s="3"/>
      <c r="G557" s="3"/>
      <c r="H557" s="3"/>
      <c r="I557" s="3"/>
    </row>
    <row r="558">
      <c r="A558" s="4" t="s">
        <v>1862</v>
      </c>
      <c r="B558" s="13" t="s">
        <v>43</v>
      </c>
      <c r="D558" s="3"/>
      <c r="E558" s="3"/>
      <c r="F558" s="3"/>
      <c r="G558" s="3"/>
      <c r="H558" s="3"/>
      <c r="I558" s="3"/>
    </row>
    <row r="559">
      <c r="A559" s="4" t="s">
        <v>1863</v>
      </c>
      <c r="B559" s="13" t="s">
        <v>43</v>
      </c>
      <c r="D559" s="3"/>
      <c r="E559" s="3"/>
      <c r="F559" s="3"/>
      <c r="G559" s="3"/>
      <c r="H559" s="3"/>
      <c r="I559" s="3"/>
    </row>
    <row r="560">
      <c r="A560" s="4" t="s">
        <v>1864</v>
      </c>
      <c r="B560" s="13" t="s">
        <v>43</v>
      </c>
      <c r="D560" s="3"/>
      <c r="E560" s="3"/>
      <c r="F560" s="3"/>
      <c r="G560" s="3"/>
      <c r="H560" s="3"/>
      <c r="I560" s="3"/>
    </row>
    <row r="561">
      <c r="A561" s="4" t="s">
        <v>1865</v>
      </c>
      <c r="B561" s="13" t="s">
        <v>43</v>
      </c>
      <c r="D561" s="3"/>
      <c r="E561" s="3"/>
      <c r="F561" s="3"/>
      <c r="G561" s="3"/>
      <c r="H561" s="3"/>
      <c r="I561" s="3"/>
    </row>
    <row r="562">
      <c r="A562" s="4" t="s">
        <v>1866</v>
      </c>
      <c r="B562" s="13" t="s">
        <v>43</v>
      </c>
      <c r="D562" s="3"/>
      <c r="E562" s="3"/>
      <c r="F562" s="3"/>
      <c r="G562" s="3"/>
      <c r="H562" s="3"/>
      <c r="I562" s="3"/>
    </row>
    <row r="563">
      <c r="A563" s="4" t="s">
        <v>1867</v>
      </c>
      <c r="B563" s="13" t="s">
        <v>43</v>
      </c>
      <c r="D563" s="3"/>
      <c r="E563" s="3"/>
      <c r="F563" s="3"/>
      <c r="G563" s="3"/>
      <c r="H563" s="3"/>
      <c r="I563" s="3"/>
    </row>
    <row r="564">
      <c r="A564" s="4" t="s">
        <v>1868</v>
      </c>
      <c r="B564" s="13" t="s">
        <v>43</v>
      </c>
      <c r="D564" s="3"/>
      <c r="E564" s="3"/>
      <c r="F564" s="3"/>
      <c r="G564" s="3"/>
      <c r="H564" s="3"/>
      <c r="I564" s="3"/>
    </row>
    <row r="565">
      <c r="A565" s="4" t="s">
        <v>1869</v>
      </c>
      <c r="B565" s="13" t="s">
        <v>43</v>
      </c>
      <c r="D565" s="3"/>
      <c r="E565" s="3"/>
      <c r="F565" s="3"/>
      <c r="G565" s="3"/>
      <c r="H565" s="3"/>
      <c r="I565" s="3"/>
    </row>
    <row r="566">
      <c r="A566" s="4" t="s">
        <v>1870</v>
      </c>
      <c r="B566" s="13" t="s">
        <v>43</v>
      </c>
      <c r="D566" s="3"/>
      <c r="E566" s="3"/>
      <c r="F566" s="3"/>
      <c r="G566" s="3"/>
      <c r="H566" s="3"/>
      <c r="I566" s="3"/>
    </row>
    <row r="567">
      <c r="A567" s="4" t="s">
        <v>1871</v>
      </c>
      <c r="B567" s="13" t="s">
        <v>43</v>
      </c>
      <c r="D567" s="3"/>
      <c r="E567" s="3"/>
      <c r="F567" s="3"/>
      <c r="G567" s="3"/>
      <c r="H567" s="3"/>
      <c r="I567" s="3"/>
    </row>
    <row r="568">
      <c r="A568" s="4" t="s">
        <v>1872</v>
      </c>
      <c r="B568" s="13" t="s">
        <v>43</v>
      </c>
      <c r="D568" s="3"/>
      <c r="E568" s="3"/>
      <c r="F568" s="3"/>
      <c r="G568" s="3"/>
      <c r="H568" s="3"/>
      <c r="I568" s="3"/>
    </row>
    <row r="569">
      <c r="A569" s="4" t="s">
        <v>1873</v>
      </c>
      <c r="B569" s="13" t="s">
        <v>43</v>
      </c>
      <c r="D569" s="3"/>
      <c r="E569" s="3"/>
      <c r="F569" s="3"/>
      <c r="G569" s="3"/>
      <c r="H569" s="3"/>
      <c r="I569" s="3"/>
    </row>
    <row r="570">
      <c r="A570" s="4" t="s">
        <v>1874</v>
      </c>
      <c r="B570" s="13" t="s">
        <v>43</v>
      </c>
      <c r="D570" s="3"/>
      <c r="E570" s="3"/>
      <c r="F570" s="3"/>
      <c r="G570" s="3"/>
      <c r="H570" s="3"/>
      <c r="I570" s="3"/>
    </row>
    <row r="571">
      <c r="A571" s="4" t="s">
        <v>1875</v>
      </c>
      <c r="B571" s="13" t="s">
        <v>43</v>
      </c>
      <c r="D571" s="3"/>
      <c r="E571" s="3"/>
      <c r="F571" s="3"/>
      <c r="G571" s="3"/>
      <c r="H571" s="3"/>
      <c r="I571" s="3"/>
    </row>
    <row r="572">
      <c r="A572" s="4" t="s">
        <v>1876</v>
      </c>
      <c r="B572" s="13" t="s">
        <v>43</v>
      </c>
      <c r="D572" s="3"/>
      <c r="E572" s="3"/>
      <c r="F572" s="3"/>
      <c r="G572" s="3"/>
      <c r="H572" s="3"/>
      <c r="I572" s="3"/>
    </row>
    <row r="573">
      <c r="A573" s="4" t="s">
        <v>1877</v>
      </c>
      <c r="B573" s="13" t="s">
        <v>43</v>
      </c>
      <c r="D573" s="3"/>
      <c r="E573" s="3"/>
      <c r="F573" s="3"/>
      <c r="G573" s="3"/>
      <c r="H573" s="3"/>
      <c r="I573" s="3"/>
    </row>
    <row r="574">
      <c r="A574" s="4" t="s">
        <v>1878</v>
      </c>
      <c r="B574" s="13" t="s">
        <v>43</v>
      </c>
      <c r="D574" s="3"/>
      <c r="E574" s="3"/>
      <c r="F574" s="3"/>
      <c r="G574" s="3"/>
      <c r="H574" s="3"/>
      <c r="I574" s="3"/>
    </row>
    <row r="575">
      <c r="A575" s="4" t="s">
        <v>1879</v>
      </c>
      <c r="B575" s="13" t="s">
        <v>43</v>
      </c>
      <c r="D575" s="3"/>
      <c r="E575" s="3"/>
      <c r="F575" s="3"/>
      <c r="G575" s="3"/>
      <c r="H575" s="3"/>
      <c r="I575" s="3"/>
    </row>
    <row r="576">
      <c r="A576" s="4" t="s">
        <v>1880</v>
      </c>
      <c r="B576" s="13" t="s">
        <v>43</v>
      </c>
      <c r="D576" s="3"/>
      <c r="E576" s="3"/>
      <c r="F576" s="3"/>
      <c r="G576" s="3"/>
      <c r="H576" s="3"/>
      <c r="I576" s="3"/>
    </row>
    <row r="577">
      <c r="A577" s="4" t="s">
        <v>1881</v>
      </c>
      <c r="B577" s="13" t="s">
        <v>43</v>
      </c>
      <c r="D577" s="3"/>
      <c r="E577" s="3"/>
      <c r="F577" s="3"/>
      <c r="G577" s="3"/>
      <c r="H577" s="3"/>
      <c r="I577" s="3"/>
    </row>
    <row r="578">
      <c r="A578" s="4" t="s">
        <v>1882</v>
      </c>
      <c r="B578" s="13" t="s">
        <v>43</v>
      </c>
      <c r="D578" s="3"/>
      <c r="E578" s="3"/>
      <c r="F578" s="3"/>
      <c r="G578" s="3"/>
      <c r="H578" s="3"/>
      <c r="I578" s="3"/>
    </row>
    <row r="579">
      <c r="A579" s="4" t="s">
        <v>1883</v>
      </c>
      <c r="B579" s="13" t="s">
        <v>43</v>
      </c>
      <c r="D579" s="3"/>
      <c r="E579" s="3"/>
      <c r="F579" s="3"/>
      <c r="G579" s="3"/>
      <c r="H579" s="3"/>
      <c r="I579" s="3"/>
    </row>
    <row r="580">
      <c r="A580" s="4" t="s">
        <v>1884</v>
      </c>
      <c r="B580" s="13" t="s">
        <v>43</v>
      </c>
      <c r="D580" s="3"/>
      <c r="E580" s="3"/>
      <c r="F580" s="3"/>
      <c r="G580" s="3"/>
      <c r="H580" s="3"/>
      <c r="I580" s="3"/>
    </row>
    <row r="581">
      <c r="A581" s="4" t="s">
        <v>1885</v>
      </c>
      <c r="B581" s="13" t="s">
        <v>43</v>
      </c>
      <c r="D581" s="3"/>
      <c r="E581" s="3"/>
      <c r="F581" s="3"/>
      <c r="G581" s="3"/>
      <c r="H581" s="3"/>
      <c r="I581" s="3"/>
    </row>
    <row r="582">
      <c r="A582" s="4" t="s">
        <v>1886</v>
      </c>
      <c r="B582" s="13" t="s">
        <v>43</v>
      </c>
      <c r="D582" s="3"/>
      <c r="E582" s="3"/>
      <c r="F582" s="3"/>
      <c r="G582" s="3"/>
      <c r="H582" s="3"/>
      <c r="I582" s="3"/>
    </row>
    <row r="583">
      <c r="A583" s="4" t="s">
        <v>1887</v>
      </c>
      <c r="B583" s="13" t="s">
        <v>43</v>
      </c>
      <c r="D583" s="3"/>
      <c r="E583" s="3"/>
      <c r="F583" s="3"/>
      <c r="G583" s="3"/>
      <c r="H583" s="3"/>
      <c r="I583" s="3"/>
    </row>
    <row r="584">
      <c r="A584" s="4" t="s">
        <v>1888</v>
      </c>
      <c r="B584" s="13" t="s">
        <v>43</v>
      </c>
      <c r="D584" s="3"/>
      <c r="E584" s="3"/>
      <c r="F584" s="3"/>
      <c r="G584" s="3"/>
      <c r="H584" s="3"/>
      <c r="I584" s="3"/>
    </row>
    <row r="585">
      <c r="A585" s="4" t="s">
        <v>1889</v>
      </c>
      <c r="B585" s="13" t="s">
        <v>43</v>
      </c>
      <c r="D585" s="3"/>
      <c r="E585" s="3"/>
      <c r="F585" s="3"/>
      <c r="G585" s="3"/>
      <c r="H585" s="3"/>
      <c r="I585" s="3"/>
    </row>
    <row r="586">
      <c r="A586" s="4" t="s">
        <v>1890</v>
      </c>
      <c r="B586" s="13" t="s">
        <v>43</v>
      </c>
      <c r="D586" s="3"/>
      <c r="E586" s="3"/>
      <c r="F586" s="3"/>
      <c r="G586" s="3"/>
      <c r="H586" s="3"/>
      <c r="I586" s="3"/>
    </row>
    <row r="587">
      <c r="A587" s="4" t="s">
        <v>1891</v>
      </c>
      <c r="B587" s="13" t="s">
        <v>43</v>
      </c>
      <c r="D587" s="3"/>
      <c r="E587" s="3"/>
      <c r="F587" s="3"/>
      <c r="G587" s="3"/>
      <c r="H587" s="3"/>
      <c r="I587" s="3"/>
    </row>
    <row r="588">
      <c r="A588" s="4" t="s">
        <v>1892</v>
      </c>
      <c r="B588" s="13" t="s">
        <v>43</v>
      </c>
      <c r="D588" s="3"/>
      <c r="E588" s="3"/>
      <c r="F588" s="3"/>
      <c r="G588" s="3"/>
      <c r="H588" s="3"/>
      <c r="I588" s="3"/>
    </row>
    <row r="589">
      <c r="A589" s="4" t="s">
        <v>1893</v>
      </c>
      <c r="B589" s="13" t="s">
        <v>48</v>
      </c>
      <c r="C589" s="4">
        <v>1.0</v>
      </c>
      <c r="D589" s="3"/>
      <c r="E589" s="3"/>
      <c r="F589" s="3"/>
      <c r="G589" s="3"/>
      <c r="H589" s="3"/>
      <c r="I589" s="4">
        <v>15.0</v>
      </c>
    </row>
    <row r="590">
      <c r="A590" s="4" t="s">
        <v>1894</v>
      </c>
      <c r="B590" s="13" t="s">
        <v>48</v>
      </c>
      <c r="C590" s="4">
        <v>2.0</v>
      </c>
      <c r="D590" s="4">
        <v>1.0</v>
      </c>
      <c r="E590" s="3"/>
      <c r="F590" s="3"/>
      <c r="G590" s="3"/>
      <c r="H590" s="3"/>
      <c r="I590" s="4">
        <v>15.0</v>
      </c>
    </row>
    <row r="591">
      <c r="A591" s="4" t="s">
        <v>1895</v>
      </c>
      <c r="B591" s="13" t="s">
        <v>48</v>
      </c>
      <c r="C591" s="4">
        <v>2.0</v>
      </c>
      <c r="D591" s="4">
        <v>1.0</v>
      </c>
      <c r="E591" s="3"/>
      <c r="F591" s="3"/>
      <c r="G591" s="3"/>
      <c r="H591" s="3"/>
      <c r="I591" s="4">
        <v>15.0</v>
      </c>
      <c r="J591" s="4" t="s">
        <v>1757</v>
      </c>
    </row>
    <row r="592">
      <c r="A592" s="4" t="s">
        <v>1896</v>
      </c>
      <c r="B592" s="13" t="s">
        <v>48</v>
      </c>
      <c r="C592" s="4">
        <v>2.0</v>
      </c>
      <c r="D592" s="4">
        <v>1.0</v>
      </c>
      <c r="E592" s="3"/>
      <c r="F592" s="3"/>
      <c r="G592" s="3"/>
      <c r="H592" s="3"/>
      <c r="I592" s="4">
        <v>15.0</v>
      </c>
      <c r="J592" s="4" t="s">
        <v>1757</v>
      </c>
    </row>
    <row r="593">
      <c r="A593" s="4" t="s">
        <v>1897</v>
      </c>
      <c r="B593" s="13" t="s">
        <v>48</v>
      </c>
      <c r="C593" s="4">
        <v>2.0</v>
      </c>
      <c r="D593" s="4">
        <v>1.0</v>
      </c>
      <c r="E593" s="3"/>
      <c r="F593" s="3"/>
      <c r="G593" s="3"/>
      <c r="H593" s="3"/>
      <c r="I593" s="4">
        <v>15.0</v>
      </c>
      <c r="J593" s="4" t="s">
        <v>1757</v>
      </c>
      <c r="K593" s="4" t="s">
        <v>1757</v>
      </c>
    </row>
    <row r="594">
      <c r="A594" s="4" t="s">
        <v>1898</v>
      </c>
      <c r="B594" s="13" t="s">
        <v>48</v>
      </c>
      <c r="C594" s="4">
        <v>3.0</v>
      </c>
      <c r="D594" s="4">
        <v>1.0</v>
      </c>
      <c r="E594" s="3"/>
      <c r="F594" s="3"/>
      <c r="G594" s="3"/>
      <c r="H594" s="4">
        <v>13.0</v>
      </c>
      <c r="I594" s="4">
        <v>15.0</v>
      </c>
      <c r="J594" s="4" t="s">
        <v>1757</v>
      </c>
      <c r="K594" s="4" t="s">
        <v>1757</v>
      </c>
    </row>
    <row r="595">
      <c r="A595" s="4" t="s">
        <v>1899</v>
      </c>
      <c r="B595" s="13" t="s">
        <v>48</v>
      </c>
      <c r="C595" s="4">
        <v>3.0</v>
      </c>
      <c r="D595" s="4">
        <v>1.0</v>
      </c>
      <c r="E595" s="3"/>
      <c r="F595" s="3"/>
      <c r="G595" s="3"/>
      <c r="H595" s="4">
        <v>13.0</v>
      </c>
      <c r="I595" s="4">
        <v>15.0</v>
      </c>
      <c r="J595" s="4" t="s">
        <v>1757</v>
      </c>
      <c r="K595" s="4" t="s">
        <v>1757</v>
      </c>
    </row>
    <row r="596">
      <c r="A596" s="4" t="s">
        <v>1900</v>
      </c>
      <c r="B596" s="13" t="s">
        <v>48</v>
      </c>
      <c r="C596" s="4">
        <v>3.0</v>
      </c>
      <c r="D596" s="4">
        <v>1.0</v>
      </c>
      <c r="E596" s="3"/>
      <c r="F596" s="3"/>
      <c r="G596" s="3"/>
      <c r="H596" s="4">
        <v>13.0</v>
      </c>
      <c r="I596" s="4">
        <v>15.0</v>
      </c>
      <c r="J596" s="4" t="s">
        <v>1757</v>
      </c>
      <c r="K596" s="4" t="s">
        <v>1757</v>
      </c>
    </row>
    <row r="597">
      <c r="A597" s="4" t="s">
        <v>1901</v>
      </c>
      <c r="B597" s="13" t="s">
        <v>48</v>
      </c>
      <c r="C597" s="4">
        <v>3.0</v>
      </c>
      <c r="D597" s="4">
        <v>1.0</v>
      </c>
      <c r="E597" s="3"/>
      <c r="F597" s="3"/>
      <c r="G597" s="3"/>
      <c r="H597" s="4">
        <v>13.0</v>
      </c>
      <c r="I597" s="4">
        <v>15.0</v>
      </c>
      <c r="J597" s="4" t="s">
        <v>1757</v>
      </c>
      <c r="K597" s="4" t="s">
        <v>1757</v>
      </c>
    </row>
    <row r="598">
      <c r="A598" s="4" t="s">
        <v>1902</v>
      </c>
      <c r="B598" s="13" t="s">
        <v>48</v>
      </c>
      <c r="C598" s="4">
        <v>3.0</v>
      </c>
      <c r="D598" s="4">
        <v>1.0</v>
      </c>
      <c r="E598" s="3"/>
      <c r="F598" s="3"/>
      <c r="G598" s="3"/>
      <c r="H598" s="4">
        <v>13.0</v>
      </c>
      <c r="I598" s="4">
        <v>15.0</v>
      </c>
      <c r="J598" s="4" t="s">
        <v>1757</v>
      </c>
      <c r="K598" s="4" t="s">
        <v>1757</v>
      </c>
    </row>
    <row r="599">
      <c r="A599" s="4" t="s">
        <v>1903</v>
      </c>
      <c r="B599" s="13" t="s">
        <v>48</v>
      </c>
      <c r="C599" s="4">
        <v>3.0</v>
      </c>
      <c r="D599" s="4">
        <v>1.0</v>
      </c>
      <c r="E599" s="3"/>
      <c r="F599" s="3"/>
      <c r="G599" s="3"/>
      <c r="H599" s="4">
        <v>13.0</v>
      </c>
      <c r="I599" s="4">
        <v>15.0</v>
      </c>
      <c r="J599" s="4" t="s">
        <v>1757</v>
      </c>
      <c r="K599" s="4" t="s">
        <v>1757</v>
      </c>
    </row>
    <row r="600">
      <c r="A600" s="4" t="s">
        <v>1904</v>
      </c>
      <c r="B600" s="13" t="s">
        <v>48</v>
      </c>
      <c r="C600" s="4">
        <v>3.0</v>
      </c>
      <c r="D600" s="4">
        <v>1.0</v>
      </c>
      <c r="E600" s="3"/>
      <c r="F600" s="3"/>
      <c r="G600" s="3"/>
      <c r="H600" s="4">
        <v>13.0</v>
      </c>
      <c r="I600" s="4">
        <v>15.0</v>
      </c>
      <c r="J600" s="4" t="s">
        <v>1757</v>
      </c>
      <c r="K600" s="4" t="s">
        <v>1757</v>
      </c>
    </row>
    <row r="601">
      <c r="A601" s="4" t="s">
        <v>1905</v>
      </c>
      <c r="B601" s="13" t="s">
        <v>48</v>
      </c>
      <c r="C601" s="4">
        <v>3.0</v>
      </c>
      <c r="D601" s="4">
        <v>1.0</v>
      </c>
      <c r="E601" s="3"/>
      <c r="F601" s="3"/>
      <c r="G601" s="3"/>
      <c r="H601" s="4">
        <v>13.0</v>
      </c>
      <c r="I601" s="4">
        <v>15.0</v>
      </c>
      <c r="J601" s="4" t="s">
        <v>1757</v>
      </c>
      <c r="K601" s="4" t="s">
        <v>1757</v>
      </c>
    </row>
    <row r="602">
      <c r="A602" s="4" t="s">
        <v>1906</v>
      </c>
      <c r="B602" s="13" t="s">
        <v>48</v>
      </c>
      <c r="C602" s="4">
        <v>3.0</v>
      </c>
      <c r="D602" s="4">
        <v>1.0</v>
      </c>
      <c r="E602" s="3"/>
      <c r="F602" s="3"/>
      <c r="G602" s="3"/>
      <c r="H602" s="4">
        <v>13.0</v>
      </c>
      <c r="I602" s="4">
        <v>15.0</v>
      </c>
      <c r="J602" s="4" t="s">
        <v>1757</v>
      </c>
    </row>
    <row r="603">
      <c r="A603" s="4" t="s">
        <v>1907</v>
      </c>
      <c r="B603" s="13" t="s">
        <v>48</v>
      </c>
      <c r="C603" s="4">
        <v>3.0</v>
      </c>
      <c r="D603" s="4">
        <v>1.0</v>
      </c>
      <c r="E603" s="3"/>
      <c r="F603" s="3"/>
      <c r="G603" s="3"/>
      <c r="H603" s="4">
        <v>13.0</v>
      </c>
      <c r="I603" s="4">
        <v>15.0</v>
      </c>
      <c r="J603" s="4" t="s">
        <v>1757</v>
      </c>
    </row>
    <row r="604">
      <c r="A604" s="4" t="s">
        <v>1908</v>
      </c>
      <c r="B604" s="13" t="s">
        <v>48</v>
      </c>
      <c r="C604" s="4">
        <v>3.0</v>
      </c>
      <c r="D604" s="4">
        <v>1.0</v>
      </c>
      <c r="E604" s="3"/>
      <c r="F604" s="3"/>
      <c r="G604" s="3"/>
      <c r="H604" s="4">
        <v>13.0</v>
      </c>
      <c r="I604" s="4">
        <v>15.0</v>
      </c>
      <c r="J604" s="4" t="s">
        <v>1757</v>
      </c>
    </row>
    <row r="605">
      <c r="A605" s="4" t="s">
        <v>1909</v>
      </c>
      <c r="B605" s="13" t="s">
        <v>48</v>
      </c>
      <c r="C605" s="4">
        <v>3.0</v>
      </c>
      <c r="D605" s="4">
        <v>1.0</v>
      </c>
      <c r="E605" s="3"/>
      <c r="F605" s="3"/>
      <c r="G605" s="3"/>
      <c r="H605" s="4">
        <v>13.0</v>
      </c>
      <c r="I605" s="4">
        <v>15.0</v>
      </c>
      <c r="J605" s="4" t="s">
        <v>1757</v>
      </c>
    </row>
    <row r="606">
      <c r="A606" s="4" t="s">
        <v>1910</v>
      </c>
      <c r="B606" s="13" t="s">
        <v>48</v>
      </c>
      <c r="C606" s="4">
        <v>3.0</v>
      </c>
      <c r="D606" s="4">
        <v>1.0</v>
      </c>
      <c r="E606" s="3"/>
      <c r="F606" s="3"/>
      <c r="G606" s="3"/>
      <c r="H606" s="4">
        <v>13.0</v>
      </c>
      <c r="I606" s="4">
        <v>15.0</v>
      </c>
      <c r="J606" s="4" t="s">
        <v>1757</v>
      </c>
    </row>
    <row r="607">
      <c r="A607" s="4" t="s">
        <v>1911</v>
      </c>
      <c r="B607" s="13" t="s">
        <v>48</v>
      </c>
      <c r="C607" s="4">
        <v>3.0</v>
      </c>
      <c r="D607" s="4">
        <v>1.0</v>
      </c>
      <c r="E607" s="3"/>
      <c r="F607" s="3"/>
      <c r="G607" s="3"/>
      <c r="H607" s="4">
        <v>13.0</v>
      </c>
      <c r="I607" s="4">
        <v>15.0</v>
      </c>
      <c r="J607" s="4" t="s">
        <v>1757</v>
      </c>
    </row>
    <row r="608">
      <c r="A608" s="4" t="s">
        <v>1912</v>
      </c>
      <c r="B608" s="13" t="s">
        <v>48</v>
      </c>
      <c r="C608" s="4">
        <v>3.0</v>
      </c>
      <c r="D608" s="4">
        <v>1.0</v>
      </c>
      <c r="E608" s="3"/>
      <c r="F608" s="3"/>
      <c r="G608" s="3"/>
      <c r="H608" s="4">
        <v>13.0</v>
      </c>
      <c r="I608" s="4">
        <v>15.0</v>
      </c>
      <c r="J608" s="4" t="s">
        <v>1757</v>
      </c>
    </row>
    <row r="609">
      <c r="A609" s="4" t="s">
        <v>1913</v>
      </c>
      <c r="B609" s="13" t="s">
        <v>48</v>
      </c>
      <c r="C609" s="4">
        <v>4.0</v>
      </c>
      <c r="D609" s="4">
        <v>1.0</v>
      </c>
      <c r="E609" s="4">
        <v>2.0</v>
      </c>
      <c r="F609" s="3"/>
      <c r="G609" s="3"/>
      <c r="H609" s="4">
        <v>13.0</v>
      </c>
      <c r="I609" s="4">
        <v>15.0</v>
      </c>
      <c r="J609" s="4" t="s">
        <v>1757</v>
      </c>
    </row>
    <row r="610">
      <c r="A610" s="4" t="s">
        <v>1914</v>
      </c>
      <c r="B610" s="13" t="s">
        <v>48</v>
      </c>
      <c r="C610" s="4">
        <v>5.0</v>
      </c>
      <c r="D610" s="4">
        <v>1.0</v>
      </c>
      <c r="E610" s="4">
        <v>2.0</v>
      </c>
      <c r="F610" s="4">
        <v>9.0</v>
      </c>
      <c r="G610" s="3"/>
      <c r="H610" s="4">
        <v>13.0</v>
      </c>
      <c r="I610" s="4">
        <v>15.0</v>
      </c>
      <c r="J610" s="4" t="s">
        <v>1757</v>
      </c>
    </row>
    <row r="611">
      <c r="A611" s="4" t="s">
        <v>1915</v>
      </c>
      <c r="B611" s="13" t="s">
        <v>48</v>
      </c>
      <c r="C611" s="4">
        <v>5.0</v>
      </c>
      <c r="D611" s="4">
        <v>1.0</v>
      </c>
      <c r="E611" s="4">
        <v>2.0</v>
      </c>
      <c r="F611" s="4">
        <v>9.0</v>
      </c>
      <c r="G611" s="3"/>
      <c r="H611" s="4">
        <v>13.0</v>
      </c>
      <c r="I611" s="4">
        <v>15.0</v>
      </c>
      <c r="J611" s="4" t="s">
        <v>1757</v>
      </c>
    </row>
    <row r="612">
      <c r="A612" s="4" t="s">
        <v>1916</v>
      </c>
      <c r="B612" s="13" t="s">
        <v>48</v>
      </c>
      <c r="C612" s="4">
        <v>5.0</v>
      </c>
      <c r="D612" s="4">
        <v>1.0</v>
      </c>
      <c r="E612" s="4">
        <v>2.0</v>
      </c>
      <c r="F612" s="4">
        <v>9.0</v>
      </c>
      <c r="G612" s="3"/>
      <c r="H612" s="4">
        <v>13.0</v>
      </c>
      <c r="I612" s="4">
        <v>15.0</v>
      </c>
      <c r="J612" s="4" t="s">
        <v>1757</v>
      </c>
    </row>
    <row r="613">
      <c r="A613" s="4" t="s">
        <v>1917</v>
      </c>
      <c r="B613" s="13" t="s">
        <v>48</v>
      </c>
      <c r="C613" s="4">
        <v>5.0</v>
      </c>
      <c r="D613" s="4">
        <v>1.0</v>
      </c>
      <c r="E613" s="4">
        <v>2.0</v>
      </c>
      <c r="F613" s="4">
        <v>9.0</v>
      </c>
      <c r="G613" s="3"/>
      <c r="H613" s="4">
        <v>13.0</v>
      </c>
      <c r="I613" s="4">
        <v>15.0</v>
      </c>
      <c r="J613" s="4" t="s">
        <v>1757</v>
      </c>
    </row>
    <row r="614">
      <c r="A614" s="4" t="s">
        <v>1918</v>
      </c>
      <c r="B614" s="13" t="s">
        <v>48</v>
      </c>
      <c r="C614" s="4">
        <v>5.0</v>
      </c>
      <c r="D614" s="4">
        <v>1.0</v>
      </c>
      <c r="E614" s="4">
        <v>2.0</v>
      </c>
      <c r="F614" s="4">
        <v>9.0</v>
      </c>
      <c r="G614" s="3"/>
      <c r="H614" s="4">
        <v>13.0</v>
      </c>
      <c r="I614" s="4">
        <v>15.0</v>
      </c>
      <c r="J614" s="4" t="s">
        <v>1757</v>
      </c>
    </row>
    <row r="615">
      <c r="A615" s="4" t="s">
        <v>1919</v>
      </c>
      <c r="B615" s="13" t="s">
        <v>48</v>
      </c>
      <c r="C615" s="4">
        <v>5.0</v>
      </c>
      <c r="D615" s="4">
        <v>1.0</v>
      </c>
      <c r="E615" s="4">
        <v>2.0</v>
      </c>
      <c r="F615" s="4">
        <v>9.0</v>
      </c>
      <c r="G615" s="3"/>
      <c r="H615" s="4">
        <v>13.0</v>
      </c>
      <c r="I615" s="4">
        <v>15.0</v>
      </c>
      <c r="J615" s="4" t="s">
        <v>1757</v>
      </c>
      <c r="K615" s="4" t="s">
        <v>1757</v>
      </c>
    </row>
    <row r="616">
      <c r="A616" s="4" t="s">
        <v>1920</v>
      </c>
      <c r="B616" s="13" t="s">
        <v>48</v>
      </c>
      <c r="C616" s="4">
        <v>5.0</v>
      </c>
      <c r="D616" s="4">
        <v>1.0</v>
      </c>
      <c r="E616" s="4">
        <v>2.0</v>
      </c>
      <c r="F616" s="4">
        <v>9.0</v>
      </c>
      <c r="G616" s="3"/>
      <c r="H616" s="4">
        <v>13.0</v>
      </c>
      <c r="I616" s="4">
        <v>15.0</v>
      </c>
      <c r="J616" s="4" t="s">
        <v>1757</v>
      </c>
      <c r="K616" s="4" t="s">
        <v>1757</v>
      </c>
    </row>
    <row r="617">
      <c r="A617" s="4" t="s">
        <v>1921</v>
      </c>
      <c r="B617" s="13" t="s">
        <v>48</v>
      </c>
      <c r="C617" s="4">
        <v>5.0</v>
      </c>
      <c r="D617" s="4">
        <v>1.0</v>
      </c>
      <c r="E617" s="4">
        <v>2.0</v>
      </c>
      <c r="F617" s="4">
        <v>9.0</v>
      </c>
      <c r="G617" s="3"/>
      <c r="H617" s="4">
        <v>13.0</v>
      </c>
      <c r="I617" s="4">
        <v>15.0</v>
      </c>
      <c r="J617" s="4" t="s">
        <v>1757</v>
      </c>
      <c r="K617" s="4" t="s">
        <v>1757</v>
      </c>
    </row>
    <row r="618">
      <c r="A618" s="4" t="s">
        <v>1922</v>
      </c>
      <c r="B618" s="13" t="s">
        <v>48</v>
      </c>
      <c r="C618" s="4">
        <v>5.0</v>
      </c>
      <c r="D618" s="4">
        <v>1.0</v>
      </c>
      <c r="E618" s="4">
        <v>2.0</v>
      </c>
      <c r="F618" s="4">
        <v>9.0</v>
      </c>
      <c r="G618" s="3"/>
      <c r="H618" s="4">
        <v>13.0</v>
      </c>
      <c r="I618" s="4">
        <v>15.0</v>
      </c>
      <c r="J618" s="4" t="s">
        <v>1757</v>
      </c>
      <c r="K618" s="4" t="s">
        <v>1757</v>
      </c>
    </row>
    <row r="619">
      <c r="A619" s="4" t="s">
        <v>1923</v>
      </c>
      <c r="B619" s="13" t="s">
        <v>48</v>
      </c>
      <c r="C619" s="4">
        <v>4.0</v>
      </c>
      <c r="D619" s="3"/>
      <c r="E619" s="4">
        <v>2.0</v>
      </c>
      <c r="F619" s="4">
        <v>9.0</v>
      </c>
      <c r="G619" s="3"/>
      <c r="H619" s="4">
        <v>13.0</v>
      </c>
      <c r="I619" s="4">
        <v>15.0</v>
      </c>
      <c r="J619" s="4" t="s">
        <v>1757</v>
      </c>
      <c r="K619" s="4" t="s">
        <v>1757</v>
      </c>
    </row>
    <row r="620">
      <c r="A620" s="4" t="s">
        <v>1924</v>
      </c>
      <c r="B620" s="13" t="s">
        <v>48</v>
      </c>
      <c r="C620" s="4">
        <v>4.0</v>
      </c>
      <c r="D620" s="3"/>
      <c r="E620" s="4">
        <v>2.0</v>
      </c>
      <c r="F620" s="4">
        <v>9.0</v>
      </c>
      <c r="G620" s="3"/>
      <c r="H620" s="4">
        <v>13.0</v>
      </c>
      <c r="I620" s="4">
        <v>15.0</v>
      </c>
      <c r="J620" s="4" t="s">
        <v>1757</v>
      </c>
      <c r="K620" s="4" t="s">
        <v>1757</v>
      </c>
    </row>
    <row r="621">
      <c r="A621" s="4" t="s">
        <v>1925</v>
      </c>
      <c r="B621" s="13" t="s">
        <v>48</v>
      </c>
      <c r="C621" s="4">
        <v>4.0</v>
      </c>
      <c r="D621" s="3"/>
      <c r="E621" s="4">
        <v>2.0</v>
      </c>
      <c r="F621" s="4">
        <v>9.0</v>
      </c>
      <c r="G621" s="3"/>
      <c r="H621" s="4">
        <v>13.0</v>
      </c>
      <c r="I621" s="4">
        <v>15.0</v>
      </c>
      <c r="J621" s="4" t="s">
        <v>1757</v>
      </c>
      <c r="K621" s="4" t="s">
        <v>1757</v>
      </c>
    </row>
    <row r="622">
      <c r="A622" s="4" t="s">
        <v>1926</v>
      </c>
      <c r="B622" s="13" t="s">
        <v>48</v>
      </c>
      <c r="C622" s="4">
        <v>4.0</v>
      </c>
      <c r="D622" s="3"/>
      <c r="E622" s="4">
        <v>2.0</v>
      </c>
      <c r="F622" s="4">
        <v>9.0</v>
      </c>
      <c r="G622" s="3"/>
      <c r="H622" s="4">
        <v>13.0</v>
      </c>
      <c r="I622" s="4">
        <v>15.0</v>
      </c>
      <c r="J622" s="4" t="s">
        <v>1757</v>
      </c>
    </row>
    <row r="623">
      <c r="A623" s="4" t="s">
        <v>1927</v>
      </c>
      <c r="B623" s="13" t="s">
        <v>48</v>
      </c>
      <c r="C623" s="4">
        <v>4.0</v>
      </c>
      <c r="D623" s="3"/>
      <c r="E623" s="4">
        <v>2.0</v>
      </c>
      <c r="F623" s="4">
        <v>9.0</v>
      </c>
      <c r="G623" s="3"/>
      <c r="H623" s="4">
        <v>13.0</v>
      </c>
      <c r="I623" s="4">
        <v>15.0</v>
      </c>
      <c r="J623" s="4" t="s">
        <v>1757</v>
      </c>
    </row>
    <row r="624">
      <c r="A624" s="4" t="s">
        <v>1928</v>
      </c>
      <c r="B624" s="13" t="s">
        <v>48</v>
      </c>
      <c r="C624" s="4">
        <v>4.0</v>
      </c>
      <c r="D624" s="3"/>
      <c r="E624" s="4">
        <v>2.0</v>
      </c>
      <c r="F624" s="4">
        <v>9.0</v>
      </c>
      <c r="G624" s="3"/>
      <c r="H624" s="4">
        <v>13.0</v>
      </c>
      <c r="I624" s="4">
        <v>15.0</v>
      </c>
      <c r="J624" s="4" t="s">
        <v>1757</v>
      </c>
    </row>
    <row r="625">
      <c r="A625" s="4" t="s">
        <v>1929</v>
      </c>
      <c r="B625" s="13" t="s">
        <v>48</v>
      </c>
      <c r="C625" s="4">
        <v>4.0</v>
      </c>
      <c r="D625" s="3"/>
      <c r="E625" s="4">
        <v>2.0</v>
      </c>
      <c r="F625" s="4">
        <v>9.0</v>
      </c>
      <c r="G625" s="3"/>
      <c r="H625" s="4">
        <v>13.0</v>
      </c>
      <c r="I625" s="4">
        <v>15.0</v>
      </c>
      <c r="J625" s="4" t="s">
        <v>1757</v>
      </c>
    </row>
    <row r="626">
      <c r="A626" s="4" t="s">
        <v>1930</v>
      </c>
      <c r="B626" s="13" t="s">
        <v>48</v>
      </c>
      <c r="C626" s="4">
        <v>4.0</v>
      </c>
      <c r="D626" s="3"/>
      <c r="E626" s="4">
        <v>2.0</v>
      </c>
      <c r="F626" s="4">
        <v>9.0</v>
      </c>
      <c r="G626" s="3"/>
      <c r="H626" s="4">
        <v>13.0</v>
      </c>
      <c r="I626" s="4">
        <v>15.0</v>
      </c>
      <c r="J626" s="4" t="s">
        <v>1757</v>
      </c>
    </row>
    <row r="627">
      <c r="A627" s="4" t="s">
        <v>1931</v>
      </c>
      <c r="B627" s="13" t="s">
        <v>48</v>
      </c>
      <c r="C627" s="4">
        <v>3.0</v>
      </c>
      <c r="D627" s="3"/>
      <c r="E627" s="4">
        <v>2.0</v>
      </c>
      <c r="F627" s="4">
        <v>9.0</v>
      </c>
      <c r="G627" s="3"/>
      <c r="H627" s="4">
        <v>13.0</v>
      </c>
      <c r="I627" s="3"/>
      <c r="J627" s="4" t="s">
        <v>1757</v>
      </c>
      <c r="K627" s="4" t="s">
        <v>1757</v>
      </c>
    </row>
    <row r="628">
      <c r="A628" s="4" t="s">
        <v>1932</v>
      </c>
      <c r="B628" s="13" t="s">
        <v>48</v>
      </c>
      <c r="C628" s="4">
        <v>3.0</v>
      </c>
      <c r="D628" s="3"/>
      <c r="E628" s="4">
        <v>2.0</v>
      </c>
      <c r="F628" s="4">
        <v>9.0</v>
      </c>
      <c r="G628" s="3"/>
      <c r="H628" s="4">
        <v>13.0</v>
      </c>
      <c r="I628" s="3"/>
      <c r="J628" s="4" t="s">
        <v>1757</v>
      </c>
      <c r="K628" s="4" t="s">
        <v>1757</v>
      </c>
    </row>
    <row r="629">
      <c r="A629" s="4" t="s">
        <v>1933</v>
      </c>
      <c r="B629" s="13" t="s">
        <v>48</v>
      </c>
      <c r="C629" s="4">
        <v>3.0</v>
      </c>
      <c r="D629" s="3"/>
      <c r="E629" s="4">
        <v>2.0</v>
      </c>
      <c r="F629" s="4">
        <v>9.0</v>
      </c>
      <c r="G629" s="3"/>
      <c r="H629" s="4">
        <v>13.0</v>
      </c>
      <c r="I629" s="3"/>
      <c r="J629" s="4" t="s">
        <v>1757</v>
      </c>
      <c r="K629" s="4" t="s">
        <v>1757</v>
      </c>
    </row>
    <row r="630">
      <c r="A630" s="4" t="s">
        <v>1934</v>
      </c>
      <c r="B630" s="13" t="s">
        <v>48</v>
      </c>
      <c r="C630" s="4">
        <v>3.0</v>
      </c>
      <c r="D630" s="3"/>
      <c r="E630" s="4">
        <v>2.0</v>
      </c>
      <c r="F630" s="4">
        <v>9.0</v>
      </c>
      <c r="G630" s="3"/>
      <c r="H630" s="4">
        <v>13.0</v>
      </c>
      <c r="I630" s="3"/>
      <c r="J630" s="4" t="s">
        <v>1757</v>
      </c>
      <c r="K630" s="4" t="s">
        <v>1757</v>
      </c>
    </row>
    <row r="631">
      <c r="A631" s="4" t="s">
        <v>1935</v>
      </c>
      <c r="B631" s="13" t="s">
        <v>48</v>
      </c>
      <c r="C631" s="4">
        <v>3.0</v>
      </c>
      <c r="D631" s="3"/>
      <c r="E631" s="4">
        <v>2.0</v>
      </c>
      <c r="F631" s="4">
        <v>9.0</v>
      </c>
      <c r="G631" s="3"/>
      <c r="H631" s="4">
        <v>13.0</v>
      </c>
      <c r="I631" s="3"/>
      <c r="J631" s="4" t="s">
        <v>1757</v>
      </c>
    </row>
    <row r="632">
      <c r="A632" s="4" t="s">
        <v>1936</v>
      </c>
      <c r="B632" s="13" t="s">
        <v>48</v>
      </c>
      <c r="C632" s="4">
        <v>1.0</v>
      </c>
      <c r="D632" s="3"/>
      <c r="E632" s="3"/>
      <c r="F632" s="4">
        <v>9.0</v>
      </c>
      <c r="G632" s="3"/>
      <c r="H632" s="3"/>
      <c r="I632" s="3"/>
      <c r="J632" s="4" t="s">
        <v>1757</v>
      </c>
    </row>
    <row r="633">
      <c r="A633" s="4" t="s">
        <v>1937</v>
      </c>
      <c r="B633" s="13" t="s">
        <v>48</v>
      </c>
      <c r="C633" s="4">
        <v>1.0</v>
      </c>
      <c r="D633" s="3"/>
      <c r="E633" s="3"/>
      <c r="F633" s="4">
        <v>9.0</v>
      </c>
      <c r="G633" s="3"/>
      <c r="H633" s="3"/>
      <c r="I633" s="3"/>
      <c r="J633" s="4" t="s">
        <v>1757</v>
      </c>
    </row>
    <row r="634">
      <c r="A634" s="4" t="s">
        <v>1938</v>
      </c>
      <c r="B634" s="13" t="s">
        <v>48</v>
      </c>
      <c r="C634" s="4">
        <v>1.0</v>
      </c>
      <c r="D634" s="3"/>
      <c r="E634" s="3"/>
      <c r="F634" s="4">
        <v>9.0</v>
      </c>
      <c r="G634" s="3"/>
      <c r="H634" s="3"/>
      <c r="I634" s="3"/>
      <c r="J634" s="4" t="s">
        <v>1757</v>
      </c>
    </row>
    <row r="635">
      <c r="A635" s="4" t="s">
        <v>1939</v>
      </c>
      <c r="B635" s="13" t="s">
        <v>48</v>
      </c>
      <c r="C635" s="4">
        <v>1.0</v>
      </c>
      <c r="D635" s="3"/>
      <c r="E635" s="3"/>
      <c r="F635" s="4">
        <v>9.0</v>
      </c>
      <c r="G635" s="3"/>
      <c r="H635" s="3"/>
      <c r="I635" s="3"/>
      <c r="J635" s="4" t="s">
        <v>1757</v>
      </c>
    </row>
    <row r="636">
      <c r="A636" s="4" t="s">
        <v>1940</v>
      </c>
      <c r="B636" s="13" t="s">
        <v>48</v>
      </c>
      <c r="C636" s="4">
        <v>1.0</v>
      </c>
      <c r="D636" s="3"/>
      <c r="E636" s="3"/>
      <c r="F636" s="4">
        <v>9.0</v>
      </c>
      <c r="G636" s="3"/>
      <c r="H636" s="3"/>
      <c r="I636" s="3"/>
      <c r="J636" s="4" t="s">
        <v>1757</v>
      </c>
    </row>
    <row r="637">
      <c r="A637" s="4" t="s">
        <v>1941</v>
      </c>
      <c r="B637" s="13" t="s">
        <v>48</v>
      </c>
      <c r="C637" s="4">
        <v>1.0</v>
      </c>
      <c r="D637" s="3"/>
      <c r="E637" s="3"/>
      <c r="F637" s="4">
        <v>9.0</v>
      </c>
      <c r="G637" s="3"/>
      <c r="H637" s="3"/>
      <c r="I637" s="3"/>
      <c r="J637" s="4" t="s">
        <v>1757</v>
      </c>
    </row>
    <row r="638">
      <c r="A638" s="4" t="s">
        <v>1942</v>
      </c>
      <c r="B638" s="13" t="s">
        <v>48</v>
      </c>
      <c r="C638" s="4">
        <v>1.0</v>
      </c>
      <c r="D638" s="3"/>
      <c r="E638" s="3"/>
      <c r="F638" s="4">
        <v>9.0</v>
      </c>
      <c r="G638" s="3"/>
      <c r="H638" s="3"/>
      <c r="I638" s="3"/>
      <c r="J638" s="4" t="s">
        <v>1757</v>
      </c>
    </row>
    <row r="639">
      <c r="A639" s="4" t="s">
        <v>1943</v>
      </c>
      <c r="B639" s="13" t="s">
        <v>43</v>
      </c>
      <c r="D639" s="3"/>
      <c r="E639" s="3"/>
      <c r="F639" s="3"/>
      <c r="G639" s="3"/>
      <c r="H639" s="3"/>
      <c r="I639" s="3"/>
      <c r="J639" s="4" t="s">
        <v>1757</v>
      </c>
    </row>
    <row r="640">
      <c r="A640" s="4" t="s">
        <v>1944</v>
      </c>
      <c r="B640" s="13" t="s">
        <v>43</v>
      </c>
      <c r="D640" s="3"/>
      <c r="E640" s="3"/>
      <c r="F640" s="3"/>
      <c r="G640" s="3"/>
      <c r="H640" s="3"/>
      <c r="I640" s="3"/>
      <c r="J640" s="4" t="s">
        <v>1757</v>
      </c>
    </row>
    <row r="641">
      <c r="A641" s="4" t="s">
        <v>1945</v>
      </c>
      <c r="B641" s="13" t="s">
        <v>43</v>
      </c>
      <c r="D641" s="3"/>
      <c r="E641" s="3"/>
      <c r="F641" s="3"/>
      <c r="G641" s="3"/>
      <c r="H641" s="3"/>
      <c r="I641" s="3"/>
      <c r="J641" s="4" t="s">
        <v>1757</v>
      </c>
    </row>
    <row r="642">
      <c r="A642" s="4" t="s">
        <v>1946</v>
      </c>
      <c r="B642" s="13" t="s">
        <v>43</v>
      </c>
      <c r="D642" s="3"/>
      <c r="E642" s="3"/>
      <c r="F642" s="3"/>
      <c r="G642" s="3"/>
      <c r="H642" s="3"/>
      <c r="I642" s="3"/>
      <c r="J642" s="4" t="s">
        <v>1757</v>
      </c>
    </row>
    <row r="643">
      <c r="A643" s="4" t="s">
        <v>1947</v>
      </c>
      <c r="B643" s="13" t="s">
        <v>43</v>
      </c>
      <c r="D643" s="3"/>
      <c r="E643" s="3"/>
      <c r="F643" s="3"/>
      <c r="G643" s="3"/>
      <c r="H643" s="3"/>
      <c r="I643" s="3"/>
      <c r="J643" s="4" t="s">
        <v>1757</v>
      </c>
    </row>
    <row r="644">
      <c r="A644" s="4" t="s">
        <v>1948</v>
      </c>
      <c r="B644" s="13" t="s">
        <v>43</v>
      </c>
      <c r="D644" s="3"/>
      <c r="E644" s="3"/>
      <c r="F644" s="3"/>
      <c r="G644" s="3"/>
      <c r="H644" s="3"/>
      <c r="I644" s="3"/>
      <c r="J644" s="4" t="s">
        <v>1757</v>
      </c>
    </row>
    <row r="645">
      <c r="A645" s="4" t="s">
        <v>1949</v>
      </c>
      <c r="B645" s="13" t="s">
        <v>43</v>
      </c>
      <c r="D645" s="3"/>
      <c r="E645" s="3"/>
      <c r="F645" s="3"/>
      <c r="G645" s="3"/>
      <c r="H645" s="3"/>
      <c r="I645" s="3"/>
      <c r="J645" s="4" t="s">
        <v>1757</v>
      </c>
    </row>
    <row r="646">
      <c r="A646" s="4" t="s">
        <v>1950</v>
      </c>
      <c r="B646" s="13" t="s">
        <v>43</v>
      </c>
      <c r="D646" s="3"/>
      <c r="E646" s="3"/>
      <c r="F646" s="3"/>
      <c r="G646" s="3"/>
      <c r="H646" s="3"/>
      <c r="I646" s="3"/>
      <c r="J646" s="4" t="s">
        <v>1757</v>
      </c>
    </row>
    <row r="647">
      <c r="A647" s="4" t="s">
        <v>1951</v>
      </c>
      <c r="B647" s="13" t="s">
        <v>43</v>
      </c>
      <c r="D647" s="3"/>
      <c r="E647" s="3"/>
      <c r="F647" s="3"/>
      <c r="G647" s="3"/>
      <c r="H647" s="3"/>
      <c r="I647" s="3"/>
      <c r="J647" s="4" t="s">
        <v>1757</v>
      </c>
    </row>
    <row r="648">
      <c r="A648" s="4" t="s">
        <v>1952</v>
      </c>
      <c r="B648" s="13" t="s">
        <v>43</v>
      </c>
      <c r="D648" s="3"/>
      <c r="E648" s="3"/>
      <c r="F648" s="3"/>
      <c r="G648" s="3"/>
      <c r="H648" s="3"/>
      <c r="I648" s="3"/>
      <c r="J648" s="4" t="s">
        <v>1757</v>
      </c>
    </row>
    <row r="649">
      <c r="A649" s="4" t="s">
        <v>1953</v>
      </c>
      <c r="B649" s="13" t="s">
        <v>43</v>
      </c>
      <c r="D649" s="3"/>
      <c r="E649" s="3"/>
      <c r="F649" s="3"/>
      <c r="G649" s="3"/>
      <c r="H649" s="3"/>
      <c r="I649" s="3"/>
      <c r="J649" s="4" t="s">
        <v>1757</v>
      </c>
    </row>
    <row r="650">
      <c r="A650" s="4" t="s">
        <v>1954</v>
      </c>
      <c r="B650" s="13" t="s">
        <v>43</v>
      </c>
      <c r="D650" s="3"/>
      <c r="E650" s="3"/>
      <c r="F650" s="3"/>
      <c r="G650" s="3"/>
      <c r="H650" s="3"/>
      <c r="I650" s="3"/>
      <c r="J650" s="4" t="s">
        <v>1757</v>
      </c>
    </row>
    <row r="651">
      <c r="A651" s="4" t="s">
        <v>1955</v>
      </c>
      <c r="B651" s="13" t="s">
        <v>43</v>
      </c>
      <c r="D651" s="3"/>
      <c r="E651" s="3"/>
      <c r="F651" s="3"/>
      <c r="G651" s="3"/>
      <c r="H651" s="3"/>
      <c r="I651" s="3"/>
      <c r="J651" s="4" t="s">
        <v>1757</v>
      </c>
    </row>
    <row r="652">
      <c r="A652" s="4" t="s">
        <v>1956</v>
      </c>
      <c r="B652" s="13" t="s">
        <v>43</v>
      </c>
      <c r="D652" s="3"/>
      <c r="E652" s="3"/>
      <c r="F652" s="3"/>
      <c r="G652" s="3"/>
      <c r="H652" s="3"/>
      <c r="I652" s="3"/>
      <c r="J652" s="4" t="s">
        <v>1757</v>
      </c>
    </row>
    <row r="653">
      <c r="A653" s="4" t="s">
        <v>1957</v>
      </c>
      <c r="B653" s="13" t="s">
        <v>43</v>
      </c>
      <c r="D653" s="3"/>
      <c r="E653" s="3"/>
      <c r="F653" s="3"/>
      <c r="G653" s="3"/>
      <c r="H653" s="3"/>
      <c r="I653" s="3"/>
      <c r="J653" s="4" t="s">
        <v>1757</v>
      </c>
    </row>
    <row r="654">
      <c r="A654" s="4" t="s">
        <v>1958</v>
      </c>
      <c r="B654" s="13" t="s">
        <v>43</v>
      </c>
      <c r="D654" s="3"/>
      <c r="E654" s="3"/>
      <c r="F654" s="3"/>
      <c r="G654" s="3"/>
      <c r="H654" s="3"/>
      <c r="I654" s="3"/>
      <c r="J654" s="4" t="s">
        <v>1757</v>
      </c>
    </row>
    <row r="655">
      <c r="A655" s="4" t="s">
        <v>1959</v>
      </c>
      <c r="B655" s="13" t="s">
        <v>43</v>
      </c>
      <c r="D655" s="3"/>
      <c r="E655" s="3"/>
      <c r="F655" s="3"/>
      <c r="G655" s="3"/>
      <c r="H655" s="3"/>
      <c r="I655" s="3"/>
      <c r="J655" s="4" t="s">
        <v>1757</v>
      </c>
    </row>
    <row r="656">
      <c r="A656" s="4" t="s">
        <v>1960</v>
      </c>
      <c r="B656" s="13" t="s">
        <v>43</v>
      </c>
      <c r="D656" s="3"/>
      <c r="E656" s="3"/>
      <c r="F656" s="3"/>
      <c r="G656" s="3"/>
      <c r="H656" s="3"/>
      <c r="I656" s="3"/>
      <c r="J656" s="4" t="s">
        <v>1757</v>
      </c>
    </row>
    <row r="657">
      <c r="A657" s="4" t="s">
        <v>1961</v>
      </c>
      <c r="B657" s="13" t="s">
        <v>43</v>
      </c>
      <c r="D657" s="3"/>
      <c r="E657" s="3"/>
      <c r="F657" s="3"/>
      <c r="G657" s="3"/>
      <c r="H657" s="3"/>
      <c r="I657" s="3"/>
      <c r="J657" s="4" t="s">
        <v>1757</v>
      </c>
    </row>
    <row r="658">
      <c r="A658" s="4" t="s">
        <v>1962</v>
      </c>
      <c r="B658" s="13" t="s">
        <v>43</v>
      </c>
      <c r="D658" s="3"/>
      <c r="E658" s="3"/>
      <c r="F658" s="3"/>
      <c r="G658" s="3"/>
      <c r="H658" s="3"/>
      <c r="I658" s="3"/>
      <c r="J658" s="4" t="s">
        <v>1757</v>
      </c>
    </row>
    <row r="659">
      <c r="A659" s="4" t="s">
        <v>1963</v>
      </c>
      <c r="B659" s="13" t="s">
        <v>43</v>
      </c>
      <c r="D659" s="3"/>
      <c r="E659" s="3"/>
      <c r="F659" s="3"/>
      <c r="G659" s="3"/>
      <c r="H659" s="3"/>
      <c r="I659" s="3"/>
      <c r="J659" s="4" t="s">
        <v>1757</v>
      </c>
    </row>
    <row r="660">
      <c r="A660" s="4" t="s">
        <v>1964</v>
      </c>
      <c r="B660" s="13" t="s">
        <v>43</v>
      </c>
      <c r="D660" s="3"/>
      <c r="E660" s="3"/>
      <c r="F660" s="3"/>
      <c r="G660" s="3"/>
      <c r="H660" s="3"/>
      <c r="I660" s="3"/>
      <c r="J660" s="4" t="s">
        <v>1757</v>
      </c>
    </row>
    <row r="661">
      <c r="A661" s="4" t="s">
        <v>1965</v>
      </c>
      <c r="B661" s="13" t="s">
        <v>43</v>
      </c>
      <c r="D661" s="3"/>
      <c r="E661" s="3"/>
      <c r="F661" s="3"/>
      <c r="G661" s="3"/>
      <c r="H661" s="3"/>
      <c r="I661" s="3"/>
      <c r="J661" s="4" t="s">
        <v>1757</v>
      </c>
    </row>
    <row r="662">
      <c r="A662" s="4" t="s">
        <v>1966</v>
      </c>
      <c r="B662" s="13" t="s">
        <v>43</v>
      </c>
      <c r="D662" s="3"/>
      <c r="E662" s="3"/>
      <c r="F662" s="3"/>
      <c r="G662" s="3"/>
      <c r="H662" s="3"/>
      <c r="I662" s="3"/>
      <c r="J662" s="4" t="s">
        <v>1757</v>
      </c>
    </row>
    <row r="663">
      <c r="A663" s="4" t="s">
        <v>1967</v>
      </c>
      <c r="B663" s="13" t="s">
        <v>43</v>
      </c>
      <c r="D663" s="3"/>
      <c r="E663" s="3"/>
      <c r="F663" s="3"/>
      <c r="G663" s="3"/>
      <c r="H663" s="3"/>
      <c r="I663" s="3"/>
      <c r="J663" s="4" t="s">
        <v>1757</v>
      </c>
    </row>
    <row r="664">
      <c r="A664" s="4" t="s">
        <v>1968</v>
      </c>
      <c r="B664" s="13" t="s">
        <v>43</v>
      </c>
      <c r="D664" s="3"/>
      <c r="E664" s="3"/>
      <c r="F664" s="3"/>
      <c r="G664" s="3"/>
      <c r="H664" s="3"/>
      <c r="I664" s="3"/>
      <c r="J664" s="4" t="s">
        <v>1757</v>
      </c>
    </row>
    <row r="665">
      <c r="A665" s="4" t="s">
        <v>1969</v>
      </c>
      <c r="B665" s="13" t="s">
        <v>43</v>
      </c>
      <c r="D665" s="3"/>
      <c r="E665" s="3"/>
      <c r="F665" s="3"/>
      <c r="G665" s="3"/>
      <c r="H665" s="3"/>
      <c r="I665" s="3"/>
      <c r="J665" s="4" t="s">
        <v>1757</v>
      </c>
    </row>
    <row r="666">
      <c r="A666" s="4" t="s">
        <v>1970</v>
      </c>
      <c r="B666" s="13" t="s">
        <v>43</v>
      </c>
      <c r="D666" s="3"/>
      <c r="E666" s="3"/>
      <c r="F666" s="3"/>
      <c r="G666" s="3"/>
      <c r="H666" s="3"/>
      <c r="I666" s="3"/>
      <c r="J666" s="4" t="s">
        <v>1757</v>
      </c>
    </row>
    <row r="667">
      <c r="A667" s="4" t="s">
        <v>1971</v>
      </c>
      <c r="B667" s="13" t="s">
        <v>43</v>
      </c>
      <c r="D667" s="3"/>
      <c r="E667" s="3"/>
      <c r="F667" s="3"/>
      <c r="G667" s="3"/>
      <c r="H667" s="3"/>
      <c r="I667" s="3"/>
      <c r="J667" s="4" t="s">
        <v>1757</v>
      </c>
    </row>
    <row r="668">
      <c r="A668" s="4" t="s">
        <v>1972</v>
      </c>
      <c r="B668" s="13" t="s">
        <v>43</v>
      </c>
      <c r="D668" s="3"/>
      <c r="E668" s="3"/>
      <c r="F668" s="3"/>
      <c r="G668" s="3"/>
      <c r="H668" s="3"/>
      <c r="I668" s="3"/>
      <c r="J668" s="4" t="s">
        <v>1757</v>
      </c>
    </row>
    <row r="669">
      <c r="A669" s="4" t="s">
        <v>1973</v>
      </c>
      <c r="B669" s="13" t="s">
        <v>43</v>
      </c>
      <c r="D669" s="3"/>
      <c r="E669" s="3"/>
      <c r="F669" s="3"/>
      <c r="G669" s="3"/>
      <c r="H669" s="3"/>
      <c r="I669" s="3"/>
      <c r="J669" s="4" t="s">
        <v>1757</v>
      </c>
    </row>
    <row r="670">
      <c r="A670" s="4" t="s">
        <v>1974</v>
      </c>
      <c r="B670" s="13" t="s">
        <v>43</v>
      </c>
      <c r="D670" s="3"/>
      <c r="E670" s="3"/>
      <c r="F670" s="3"/>
      <c r="G670" s="3"/>
      <c r="H670" s="3"/>
      <c r="I670" s="3"/>
      <c r="J670" s="4" t="s">
        <v>1757</v>
      </c>
    </row>
    <row r="671">
      <c r="A671" s="4" t="s">
        <v>1975</v>
      </c>
      <c r="B671" s="13" t="s">
        <v>43</v>
      </c>
      <c r="D671" s="3"/>
      <c r="E671" s="3"/>
      <c r="F671" s="3"/>
      <c r="G671" s="3"/>
      <c r="H671" s="3"/>
      <c r="I671" s="3"/>
      <c r="J671" s="4" t="s">
        <v>1757</v>
      </c>
    </row>
    <row r="672">
      <c r="A672" s="4" t="s">
        <v>1976</v>
      </c>
      <c r="B672" s="13" t="s">
        <v>43</v>
      </c>
      <c r="D672" s="3"/>
      <c r="E672" s="3"/>
      <c r="F672" s="3"/>
      <c r="G672" s="3"/>
      <c r="H672" s="3"/>
      <c r="I672" s="3"/>
      <c r="J672" s="4" t="s">
        <v>1757</v>
      </c>
    </row>
    <row r="673">
      <c r="A673" s="4" t="s">
        <v>1977</v>
      </c>
      <c r="B673" s="13" t="s">
        <v>43</v>
      </c>
      <c r="D673" s="3"/>
      <c r="E673" s="3"/>
      <c r="F673" s="3"/>
      <c r="G673" s="3"/>
      <c r="H673" s="3"/>
      <c r="I673" s="3"/>
      <c r="J673" s="4" t="s">
        <v>1757</v>
      </c>
    </row>
    <row r="674">
      <c r="A674" s="4" t="s">
        <v>1978</v>
      </c>
      <c r="B674" s="13" t="s">
        <v>43</v>
      </c>
      <c r="D674" s="3"/>
      <c r="E674" s="3"/>
      <c r="F674" s="3"/>
      <c r="G674" s="3"/>
      <c r="H674" s="3"/>
      <c r="I674" s="3"/>
      <c r="J674" s="4" t="s">
        <v>1757</v>
      </c>
    </row>
    <row r="675">
      <c r="A675" s="4" t="s">
        <v>1979</v>
      </c>
      <c r="B675" s="13" t="s">
        <v>43</v>
      </c>
      <c r="D675" s="3"/>
      <c r="E675" s="3"/>
      <c r="F675" s="3"/>
      <c r="G675" s="3"/>
      <c r="H675" s="3"/>
      <c r="I675" s="3"/>
      <c r="J675" s="4" t="s">
        <v>1757</v>
      </c>
    </row>
    <row r="676">
      <c r="A676" s="4" t="s">
        <v>1980</v>
      </c>
      <c r="B676" s="13" t="s">
        <v>43</v>
      </c>
      <c r="D676" s="3"/>
      <c r="E676" s="3"/>
      <c r="F676" s="3"/>
      <c r="G676" s="3"/>
      <c r="H676" s="3"/>
      <c r="I676" s="3"/>
      <c r="J676" s="4" t="s">
        <v>1757</v>
      </c>
    </row>
    <row r="677">
      <c r="A677" s="4" t="s">
        <v>1981</v>
      </c>
      <c r="B677" s="13" t="s">
        <v>43</v>
      </c>
      <c r="D677" s="3"/>
      <c r="E677" s="3"/>
      <c r="F677" s="3"/>
      <c r="G677" s="3"/>
      <c r="H677" s="3"/>
      <c r="I677" s="3"/>
      <c r="J677" s="4" t="s">
        <v>1757</v>
      </c>
    </row>
    <row r="678">
      <c r="A678" s="4" t="s">
        <v>1982</v>
      </c>
      <c r="B678" s="13" t="s">
        <v>43</v>
      </c>
      <c r="D678" s="3"/>
      <c r="E678" s="3"/>
      <c r="F678" s="3"/>
      <c r="G678" s="3"/>
      <c r="H678" s="3"/>
      <c r="I678" s="3"/>
      <c r="J678" s="4" t="s">
        <v>1757</v>
      </c>
    </row>
    <row r="679">
      <c r="A679" s="4" t="s">
        <v>1983</v>
      </c>
      <c r="B679" s="13" t="s">
        <v>43</v>
      </c>
      <c r="D679" s="3"/>
      <c r="E679" s="3"/>
      <c r="F679" s="3"/>
      <c r="G679" s="3"/>
      <c r="H679" s="3"/>
      <c r="I679" s="3"/>
    </row>
    <row r="680">
      <c r="A680" s="4" t="s">
        <v>1984</v>
      </c>
      <c r="B680" s="13" t="s">
        <v>43</v>
      </c>
      <c r="D680" s="3"/>
      <c r="E680" s="3"/>
      <c r="F680" s="3"/>
      <c r="G680" s="3"/>
      <c r="H680" s="3"/>
      <c r="I680" s="3"/>
    </row>
    <row r="681">
      <c r="A681" s="4" t="s">
        <v>1985</v>
      </c>
      <c r="B681" s="13" t="s">
        <v>43</v>
      </c>
      <c r="D681" s="3"/>
      <c r="E681" s="3"/>
      <c r="F681" s="3"/>
      <c r="G681" s="3"/>
      <c r="H681" s="3"/>
      <c r="I681" s="3"/>
    </row>
    <row r="682">
      <c r="A682" s="4" t="s">
        <v>1986</v>
      </c>
      <c r="B682" s="13" t="s">
        <v>43</v>
      </c>
      <c r="D682" s="3"/>
      <c r="E682" s="3"/>
      <c r="F682" s="3"/>
      <c r="G682" s="3"/>
      <c r="H682" s="3"/>
      <c r="I682" s="3"/>
    </row>
    <row r="683">
      <c r="A683" s="4" t="s">
        <v>1987</v>
      </c>
      <c r="B683" s="13" t="s">
        <v>43</v>
      </c>
      <c r="D683" s="3"/>
      <c r="E683" s="3"/>
      <c r="F683" s="3"/>
      <c r="G683" s="3"/>
      <c r="H683" s="3"/>
      <c r="I683" s="3"/>
    </row>
    <row r="684">
      <c r="A684" s="4" t="s">
        <v>1988</v>
      </c>
      <c r="B684" s="13" t="s">
        <v>43</v>
      </c>
      <c r="D684" s="3"/>
      <c r="E684" s="3"/>
      <c r="F684" s="3"/>
      <c r="G684" s="3"/>
      <c r="H684" s="3"/>
      <c r="I684" s="3"/>
    </row>
    <row r="685">
      <c r="A685" s="4" t="s">
        <v>1989</v>
      </c>
      <c r="B685" s="13" t="s">
        <v>43</v>
      </c>
      <c r="D685" s="3"/>
      <c r="E685" s="3"/>
      <c r="F685" s="3"/>
      <c r="G685" s="3"/>
      <c r="H685" s="3"/>
      <c r="I685" s="3"/>
    </row>
    <row r="686">
      <c r="A686" s="4" t="s">
        <v>1990</v>
      </c>
      <c r="B686" s="13" t="s">
        <v>43</v>
      </c>
      <c r="D686" s="3"/>
      <c r="E686" s="3"/>
      <c r="F686" s="3"/>
      <c r="G686" s="3"/>
      <c r="H686" s="3"/>
      <c r="I686" s="3"/>
    </row>
    <row r="687">
      <c r="A687" s="4" t="s">
        <v>1991</v>
      </c>
      <c r="B687" s="13" t="s">
        <v>43</v>
      </c>
      <c r="D687" s="3"/>
      <c r="E687" s="3"/>
      <c r="F687" s="3"/>
      <c r="G687" s="3"/>
      <c r="H687" s="3"/>
      <c r="I687" s="3"/>
    </row>
    <row r="688">
      <c r="A688" s="4" t="s">
        <v>1992</v>
      </c>
      <c r="B688" s="13" t="s">
        <v>43</v>
      </c>
      <c r="D688" s="3"/>
      <c r="E688" s="3"/>
      <c r="F688" s="3"/>
      <c r="G688" s="3"/>
      <c r="H688" s="3"/>
      <c r="I688" s="3"/>
    </row>
    <row r="689">
      <c r="A689" s="4" t="s">
        <v>1993</v>
      </c>
      <c r="B689" s="13" t="s">
        <v>43</v>
      </c>
      <c r="D689" s="3"/>
      <c r="E689" s="3"/>
      <c r="F689" s="3"/>
      <c r="G689" s="3"/>
      <c r="H689" s="3"/>
      <c r="I689" s="3"/>
    </row>
    <row r="690">
      <c r="A690" s="4" t="s">
        <v>1994</v>
      </c>
      <c r="B690" s="13" t="s">
        <v>43</v>
      </c>
      <c r="D690" s="3"/>
      <c r="E690" s="3"/>
      <c r="F690" s="3"/>
      <c r="G690" s="3"/>
      <c r="H690" s="3"/>
      <c r="I690" s="3"/>
    </row>
    <row r="691">
      <c r="A691" s="4" t="s">
        <v>1995</v>
      </c>
      <c r="B691" s="13" t="s">
        <v>43</v>
      </c>
      <c r="D691" s="3"/>
      <c r="E691" s="3"/>
      <c r="F691" s="3"/>
      <c r="G691" s="3"/>
      <c r="H691" s="3"/>
      <c r="I691" s="3"/>
    </row>
    <row r="692">
      <c r="A692" s="4" t="s">
        <v>1996</v>
      </c>
      <c r="B692" s="13" t="s">
        <v>43</v>
      </c>
      <c r="D692" s="3"/>
      <c r="E692" s="3"/>
      <c r="F692" s="3"/>
      <c r="G692" s="3"/>
      <c r="H692" s="3"/>
      <c r="I692" s="3"/>
    </row>
    <row r="693">
      <c r="A693" s="4" t="s">
        <v>1997</v>
      </c>
      <c r="B693" s="13" t="s">
        <v>43</v>
      </c>
      <c r="D693" s="3"/>
      <c r="E693" s="3"/>
      <c r="F693" s="3"/>
      <c r="G693" s="3"/>
      <c r="H693" s="3"/>
      <c r="I693" s="3"/>
    </row>
    <row r="694">
      <c r="A694" s="4" t="s">
        <v>1998</v>
      </c>
      <c r="B694" s="13" t="s">
        <v>43</v>
      </c>
      <c r="D694" s="3"/>
      <c r="E694" s="3"/>
      <c r="F694" s="3"/>
      <c r="G694" s="3"/>
      <c r="H694" s="3"/>
      <c r="I694" s="3"/>
    </row>
    <row r="695">
      <c r="A695" s="4" t="s">
        <v>1999</v>
      </c>
      <c r="B695" s="13" t="s">
        <v>43</v>
      </c>
      <c r="D695" s="3"/>
      <c r="E695" s="3"/>
      <c r="F695" s="3"/>
      <c r="G695" s="3"/>
      <c r="H695" s="3"/>
      <c r="I695" s="3"/>
    </row>
    <row r="696">
      <c r="A696" s="4" t="s">
        <v>2000</v>
      </c>
      <c r="B696" s="13" t="s">
        <v>43</v>
      </c>
      <c r="D696" s="3"/>
      <c r="E696" s="3"/>
      <c r="F696" s="3"/>
      <c r="G696" s="3"/>
      <c r="H696" s="3"/>
      <c r="I696" s="3"/>
    </row>
    <row r="697">
      <c r="A697" s="4" t="s">
        <v>2001</v>
      </c>
      <c r="B697" s="13" t="s">
        <v>43</v>
      </c>
      <c r="D697" s="3"/>
      <c r="E697" s="3"/>
      <c r="F697" s="3"/>
      <c r="G697" s="3"/>
      <c r="H697" s="3"/>
      <c r="I697" s="3"/>
    </row>
    <row r="698">
      <c r="A698" s="4" t="s">
        <v>2002</v>
      </c>
      <c r="B698" s="13" t="s">
        <v>43</v>
      </c>
      <c r="D698" s="3"/>
      <c r="E698" s="3"/>
      <c r="F698" s="3"/>
      <c r="G698" s="3"/>
      <c r="H698" s="3"/>
      <c r="I698" s="3"/>
    </row>
    <row r="699">
      <c r="A699" s="4" t="s">
        <v>2003</v>
      </c>
      <c r="B699" s="13" t="s">
        <v>43</v>
      </c>
      <c r="D699" s="3"/>
      <c r="E699" s="3"/>
      <c r="F699" s="3"/>
      <c r="G699" s="3"/>
      <c r="H699" s="3"/>
      <c r="I699" s="3"/>
    </row>
    <row r="700">
      <c r="A700" s="4" t="s">
        <v>2004</v>
      </c>
      <c r="B700" s="13" t="s">
        <v>43</v>
      </c>
      <c r="D700" s="3"/>
      <c r="E700" s="3"/>
      <c r="F700" s="3"/>
      <c r="G700" s="3"/>
      <c r="H700" s="3"/>
      <c r="I700" s="3"/>
    </row>
    <row r="701">
      <c r="A701" s="4" t="s">
        <v>2005</v>
      </c>
      <c r="B701" s="13" t="s">
        <v>43</v>
      </c>
      <c r="D701" s="3"/>
      <c r="E701" s="3"/>
      <c r="F701" s="3"/>
      <c r="G701" s="3"/>
      <c r="H701" s="3"/>
      <c r="I701" s="3"/>
    </row>
    <row r="702">
      <c r="A702" s="4" t="s">
        <v>2006</v>
      </c>
      <c r="B702" s="13" t="s">
        <v>43</v>
      </c>
      <c r="D702" s="3"/>
      <c r="E702" s="3"/>
      <c r="F702" s="3"/>
      <c r="G702" s="3"/>
      <c r="H702" s="3"/>
      <c r="I702" s="3"/>
    </row>
    <row r="703">
      <c r="A703" s="4" t="s">
        <v>2007</v>
      </c>
      <c r="B703" s="13" t="s">
        <v>43</v>
      </c>
      <c r="D703" s="3"/>
      <c r="E703" s="3"/>
      <c r="F703" s="3"/>
      <c r="G703" s="3"/>
      <c r="H703" s="3"/>
      <c r="I703" s="3"/>
    </row>
    <row r="704">
      <c r="A704" s="4" t="s">
        <v>2008</v>
      </c>
      <c r="B704" s="13" t="s">
        <v>43</v>
      </c>
      <c r="D704" s="3"/>
      <c r="E704" s="3"/>
      <c r="F704" s="3"/>
      <c r="G704" s="3"/>
      <c r="H704" s="3"/>
      <c r="I704" s="3"/>
    </row>
    <row r="705">
      <c r="A705" s="4" t="s">
        <v>2009</v>
      </c>
      <c r="B705" s="13" t="s">
        <v>43</v>
      </c>
      <c r="D705" s="3"/>
      <c r="E705" s="3"/>
      <c r="F705" s="3"/>
      <c r="G705" s="3"/>
      <c r="H705" s="3"/>
      <c r="I705" s="3"/>
    </row>
    <row r="706">
      <c r="A706" s="4" t="s">
        <v>2010</v>
      </c>
      <c r="B706" s="13" t="s">
        <v>43</v>
      </c>
      <c r="D706" s="3"/>
      <c r="E706" s="3"/>
      <c r="F706" s="3"/>
      <c r="G706" s="3"/>
      <c r="H706" s="3"/>
      <c r="I706" s="3"/>
    </row>
    <row r="707">
      <c r="A707" s="4" t="s">
        <v>2011</v>
      </c>
      <c r="B707" s="13" t="s">
        <v>43</v>
      </c>
      <c r="D707" s="3"/>
      <c r="E707" s="3"/>
      <c r="F707" s="3"/>
      <c r="G707" s="3"/>
      <c r="H707" s="3"/>
      <c r="I707" s="3"/>
    </row>
    <row r="708">
      <c r="A708" s="4" t="s">
        <v>2012</v>
      </c>
      <c r="B708" s="13" t="s">
        <v>43</v>
      </c>
      <c r="D708" s="3"/>
      <c r="E708" s="3"/>
      <c r="F708" s="3"/>
      <c r="G708" s="3"/>
      <c r="H708" s="3"/>
      <c r="I708" s="3"/>
    </row>
    <row r="709">
      <c r="A709" s="4" t="s">
        <v>2013</v>
      </c>
      <c r="B709" s="13" t="s">
        <v>43</v>
      </c>
      <c r="D709" s="3"/>
      <c r="E709" s="3"/>
      <c r="F709" s="3"/>
      <c r="G709" s="3"/>
      <c r="H709" s="3"/>
      <c r="I709" s="3"/>
    </row>
    <row r="710">
      <c r="A710" s="4" t="s">
        <v>2014</v>
      </c>
      <c r="B710" s="13" t="s">
        <v>43</v>
      </c>
      <c r="D710" s="3"/>
      <c r="E710" s="3"/>
      <c r="F710" s="3"/>
      <c r="G710" s="3"/>
      <c r="H710" s="3"/>
      <c r="I710" s="3"/>
    </row>
    <row r="711">
      <c r="A711" s="4" t="s">
        <v>2015</v>
      </c>
      <c r="B711" s="13" t="s">
        <v>43</v>
      </c>
      <c r="D711" s="3"/>
      <c r="E711" s="3"/>
      <c r="F711" s="3"/>
      <c r="G711" s="3"/>
      <c r="H711" s="3"/>
      <c r="I711" s="3"/>
    </row>
    <row r="712">
      <c r="A712" s="4" t="s">
        <v>2016</v>
      </c>
      <c r="B712" s="13" t="s">
        <v>43</v>
      </c>
      <c r="D712" s="3"/>
      <c r="E712" s="3"/>
      <c r="F712" s="3"/>
      <c r="G712" s="3"/>
      <c r="H712" s="3"/>
      <c r="I712" s="3"/>
    </row>
    <row r="713">
      <c r="A713" s="4" t="s">
        <v>2017</v>
      </c>
      <c r="B713" s="13" t="s">
        <v>43</v>
      </c>
      <c r="D713" s="3"/>
      <c r="E713" s="3"/>
      <c r="F713" s="3"/>
      <c r="G713" s="3"/>
      <c r="H713" s="3"/>
      <c r="I713" s="3"/>
    </row>
    <row r="714">
      <c r="A714" s="4" t="s">
        <v>2018</v>
      </c>
      <c r="B714" s="13" t="s">
        <v>43</v>
      </c>
      <c r="D714" s="3"/>
      <c r="E714" s="3"/>
      <c r="F714" s="3"/>
      <c r="G714" s="3"/>
      <c r="H714" s="3"/>
      <c r="I714" s="3"/>
    </row>
    <row r="715">
      <c r="A715" s="4" t="s">
        <v>2019</v>
      </c>
      <c r="B715" s="13" t="s">
        <v>43</v>
      </c>
      <c r="D715" s="3"/>
      <c r="E715" s="3"/>
      <c r="F715" s="3"/>
      <c r="G715" s="3"/>
      <c r="H715" s="3"/>
      <c r="I715" s="3"/>
    </row>
    <row r="716">
      <c r="A716" s="4" t="s">
        <v>2020</v>
      </c>
      <c r="B716" s="13" t="s">
        <v>43</v>
      </c>
      <c r="D716" s="3"/>
      <c r="E716" s="3"/>
      <c r="F716" s="3"/>
      <c r="G716" s="3"/>
      <c r="H716" s="3"/>
      <c r="I716" s="3"/>
    </row>
    <row r="717">
      <c r="A717" s="4" t="s">
        <v>2021</v>
      </c>
      <c r="B717" s="13" t="s">
        <v>43</v>
      </c>
      <c r="D717" s="3"/>
      <c r="E717" s="3"/>
      <c r="F717" s="3"/>
      <c r="G717" s="3"/>
      <c r="H717" s="3"/>
      <c r="I717" s="3"/>
    </row>
    <row r="718">
      <c r="A718" s="4" t="s">
        <v>2022</v>
      </c>
      <c r="B718" s="13" t="s">
        <v>43</v>
      </c>
      <c r="D718" s="3"/>
      <c r="E718" s="3"/>
      <c r="F718" s="3"/>
      <c r="G718" s="3"/>
      <c r="H718" s="3"/>
      <c r="I718" s="3"/>
    </row>
    <row r="719">
      <c r="A719" s="4" t="s">
        <v>2023</v>
      </c>
      <c r="B719" s="13" t="s">
        <v>43</v>
      </c>
      <c r="D719" s="3"/>
      <c r="E719" s="3"/>
      <c r="F719" s="3"/>
      <c r="G719" s="3"/>
      <c r="H719" s="3"/>
      <c r="I719" s="3"/>
    </row>
    <row r="720">
      <c r="A720" s="4" t="s">
        <v>2024</v>
      </c>
      <c r="B720" s="13" t="s">
        <v>43</v>
      </c>
      <c r="D720" s="3"/>
      <c r="E720" s="3"/>
      <c r="F720" s="3"/>
      <c r="G720" s="3"/>
      <c r="H720" s="3"/>
      <c r="I720" s="3"/>
    </row>
    <row r="721">
      <c r="A721" s="4" t="s">
        <v>2025</v>
      </c>
      <c r="B721" s="13" t="s">
        <v>43</v>
      </c>
      <c r="D721" s="3"/>
      <c r="E721" s="3"/>
      <c r="F721" s="3"/>
      <c r="G721" s="3"/>
      <c r="H721" s="3"/>
      <c r="I721" s="3"/>
    </row>
    <row r="722">
      <c r="A722" s="4" t="s">
        <v>2026</v>
      </c>
      <c r="B722" s="13" t="s">
        <v>43</v>
      </c>
      <c r="D722" s="3"/>
      <c r="E722" s="3"/>
      <c r="F722" s="3"/>
      <c r="G722" s="3"/>
      <c r="H722" s="3"/>
      <c r="I722" s="3"/>
    </row>
    <row r="723">
      <c r="A723" s="4" t="s">
        <v>2027</v>
      </c>
      <c r="B723" s="13" t="s">
        <v>48</v>
      </c>
      <c r="C723" s="4">
        <v>1.0</v>
      </c>
      <c r="D723" s="3"/>
      <c r="E723" s="3"/>
      <c r="F723" s="4">
        <v>9.0</v>
      </c>
      <c r="G723" s="3"/>
      <c r="H723" s="3"/>
      <c r="I723" s="3"/>
    </row>
    <row r="724">
      <c r="A724" s="4" t="s">
        <v>2028</v>
      </c>
      <c r="B724" s="13" t="s">
        <v>48</v>
      </c>
      <c r="C724" s="4">
        <v>1.0</v>
      </c>
      <c r="D724" s="3"/>
      <c r="E724" s="3"/>
      <c r="F724" s="4">
        <v>9.0</v>
      </c>
      <c r="G724" s="3"/>
      <c r="H724" s="3"/>
      <c r="I724" s="3"/>
    </row>
    <row r="725">
      <c r="A725" s="4" t="s">
        <v>2029</v>
      </c>
      <c r="B725" s="13" t="s">
        <v>48</v>
      </c>
      <c r="C725" s="4">
        <v>1.0</v>
      </c>
      <c r="D725" s="3"/>
      <c r="E725" s="3"/>
      <c r="F725" s="4">
        <v>9.0</v>
      </c>
      <c r="G725" s="3"/>
      <c r="H725" s="3"/>
      <c r="I725" s="3"/>
    </row>
    <row r="726">
      <c r="A726" s="4" t="s">
        <v>2030</v>
      </c>
      <c r="B726" s="13" t="s">
        <v>48</v>
      </c>
      <c r="C726" s="4">
        <v>1.0</v>
      </c>
      <c r="D726" s="3"/>
      <c r="E726" s="3"/>
      <c r="F726" s="4">
        <v>9.0</v>
      </c>
      <c r="G726" s="3"/>
      <c r="H726" s="3"/>
      <c r="I726" s="3"/>
    </row>
    <row r="727">
      <c r="A727" s="4" t="s">
        <v>2031</v>
      </c>
      <c r="B727" s="13" t="s">
        <v>48</v>
      </c>
      <c r="C727" s="4">
        <v>1.0</v>
      </c>
      <c r="D727" s="3"/>
      <c r="E727" s="3"/>
      <c r="F727" s="4">
        <v>9.0</v>
      </c>
      <c r="G727" s="3"/>
      <c r="H727" s="3"/>
      <c r="I727" s="3"/>
    </row>
    <row r="728">
      <c r="A728" s="4" t="s">
        <v>2032</v>
      </c>
      <c r="B728" s="13" t="s">
        <v>48</v>
      </c>
      <c r="C728" s="4">
        <v>1.0</v>
      </c>
      <c r="D728" s="3"/>
      <c r="E728" s="3"/>
      <c r="F728" s="4">
        <v>9.0</v>
      </c>
      <c r="G728" s="3"/>
      <c r="H728" s="3"/>
      <c r="I728" s="3"/>
      <c r="J728" s="4" t="s">
        <v>1757</v>
      </c>
    </row>
    <row r="729">
      <c r="A729" s="4" t="s">
        <v>2033</v>
      </c>
      <c r="B729" s="13" t="s">
        <v>48</v>
      </c>
      <c r="C729" s="4">
        <v>1.0</v>
      </c>
      <c r="D729" s="3"/>
      <c r="E729" s="3"/>
      <c r="F729" s="4">
        <v>9.0</v>
      </c>
      <c r="G729" s="3"/>
      <c r="H729" s="3"/>
      <c r="I729" s="3"/>
      <c r="J729" s="4" t="s">
        <v>1757</v>
      </c>
    </row>
    <row r="730">
      <c r="A730" s="4" t="s">
        <v>2034</v>
      </c>
      <c r="B730" s="13" t="s">
        <v>48</v>
      </c>
      <c r="C730" s="4">
        <v>1.0</v>
      </c>
      <c r="D730" s="3"/>
      <c r="E730" s="3"/>
      <c r="F730" s="4">
        <v>9.0</v>
      </c>
      <c r="G730" s="3"/>
      <c r="H730" s="3"/>
      <c r="I730" s="3"/>
      <c r="J730" s="4" t="s">
        <v>1757</v>
      </c>
    </row>
    <row r="731">
      <c r="A731" s="4" t="s">
        <v>2035</v>
      </c>
      <c r="B731" s="13" t="s">
        <v>48</v>
      </c>
      <c r="C731" s="4">
        <v>1.0</v>
      </c>
      <c r="D731" s="3"/>
      <c r="E731" s="3"/>
      <c r="F731" s="4">
        <v>9.0</v>
      </c>
      <c r="G731" s="3"/>
      <c r="H731" s="3"/>
      <c r="I731" s="3"/>
      <c r="J731" s="4" t="s">
        <v>1757</v>
      </c>
    </row>
    <row r="732">
      <c r="A732" s="4" t="s">
        <v>2036</v>
      </c>
      <c r="B732" s="13" t="s">
        <v>48</v>
      </c>
      <c r="C732" s="4">
        <v>1.0</v>
      </c>
      <c r="D732" s="3"/>
      <c r="E732" s="3"/>
      <c r="F732" s="4">
        <v>9.0</v>
      </c>
      <c r="G732" s="3"/>
      <c r="H732" s="3"/>
      <c r="I732" s="3"/>
      <c r="J732" s="4" t="s">
        <v>1757</v>
      </c>
    </row>
    <row r="733">
      <c r="A733" s="4" t="s">
        <v>2037</v>
      </c>
      <c r="B733" s="13" t="s">
        <v>43</v>
      </c>
      <c r="D733" s="3"/>
      <c r="E733" s="3"/>
      <c r="F733" s="3"/>
      <c r="G733" s="3"/>
      <c r="H733" s="3"/>
      <c r="I733" s="3"/>
      <c r="J733" s="4" t="s">
        <v>1757</v>
      </c>
    </row>
    <row r="734">
      <c r="A734" s="4" t="s">
        <v>2038</v>
      </c>
      <c r="B734" s="13" t="s">
        <v>43</v>
      </c>
      <c r="D734" s="3"/>
      <c r="E734" s="3"/>
      <c r="F734" s="3"/>
      <c r="G734" s="3"/>
      <c r="H734" s="3"/>
      <c r="I734" s="3"/>
      <c r="J734" s="4" t="s">
        <v>1757</v>
      </c>
    </row>
    <row r="735">
      <c r="A735" s="4" t="s">
        <v>2039</v>
      </c>
      <c r="B735" s="13" t="s">
        <v>43</v>
      </c>
      <c r="D735" s="3"/>
      <c r="E735" s="3"/>
      <c r="F735" s="3"/>
      <c r="G735" s="3"/>
      <c r="H735" s="3"/>
      <c r="I735" s="3"/>
      <c r="J735" s="4" t="s">
        <v>1757</v>
      </c>
    </row>
    <row r="736">
      <c r="A736" s="4" t="s">
        <v>2040</v>
      </c>
      <c r="B736" s="13" t="s">
        <v>43</v>
      </c>
      <c r="D736" s="3"/>
      <c r="E736" s="3"/>
      <c r="F736" s="3"/>
      <c r="G736" s="3"/>
      <c r="H736" s="3"/>
      <c r="I736" s="3"/>
      <c r="J736" s="4" t="s">
        <v>1757</v>
      </c>
    </row>
    <row r="737">
      <c r="A737" s="4" t="s">
        <v>2041</v>
      </c>
      <c r="B737" s="13" t="s">
        <v>43</v>
      </c>
      <c r="D737" s="3"/>
      <c r="E737" s="3"/>
      <c r="F737" s="3"/>
      <c r="G737" s="3"/>
      <c r="H737" s="3"/>
      <c r="I737" s="3"/>
      <c r="J737" s="4" t="s">
        <v>1757</v>
      </c>
    </row>
    <row r="738">
      <c r="A738" s="4" t="s">
        <v>2042</v>
      </c>
      <c r="B738" s="13" t="s">
        <v>43</v>
      </c>
      <c r="D738" s="3"/>
      <c r="E738" s="3"/>
      <c r="F738" s="3"/>
      <c r="G738" s="3"/>
      <c r="H738" s="3"/>
      <c r="I738" s="3"/>
      <c r="J738" s="4" t="s">
        <v>1757</v>
      </c>
    </row>
    <row r="739">
      <c r="A739" s="4" t="s">
        <v>2043</v>
      </c>
      <c r="B739" s="13" t="s">
        <v>43</v>
      </c>
      <c r="D739" s="3"/>
      <c r="E739" s="3"/>
      <c r="F739" s="3"/>
      <c r="G739" s="3"/>
      <c r="H739" s="3"/>
      <c r="I739" s="3"/>
      <c r="J739" s="4" t="s">
        <v>1757</v>
      </c>
    </row>
    <row r="740">
      <c r="A740" s="4" t="s">
        <v>2044</v>
      </c>
      <c r="B740" s="13" t="s">
        <v>43</v>
      </c>
      <c r="D740" s="3"/>
      <c r="E740" s="3"/>
      <c r="F740" s="3"/>
      <c r="G740" s="3"/>
      <c r="H740" s="3"/>
      <c r="I740" s="3"/>
      <c r="J740" s="4" t="s">
        <v>1757</v>
      </c>
    </row>
    <row r="741">
      <c r="A741" s="4" t="s">
        <v>2045</v>
      </c>
      <c r="B741" s="13" t="s">
        <v>43</v>
      </c>
      <c r="D741" s="3"/>
      <c r="E741" s="3"/>
      <c r="F741" s="3"/>
      <c r="G741" s="3"/>
      <c r="H741" s="3"/>
      <c r="I741" s="3"/>
      <c r="J741" s="4" t="s">
        <v>1757</v>
      </c>
    </row>
    <row r="742">
      <c r="A742" s="4" t="s">
        <v>2046</v>
      </c>
      <c r="B742" s="13" t="s">
        <v>43</v>
      </c>
      <c r="D742" s="3"/>
      <c r="E742" s="3"/>
      <c r="F742" s="3"/>
      <c r="G742" s="3"/>
      <c r="H742" s="3"/>
      <c r="I742" s="3"/>
      <c r="J742" s="4" t="s">
        <v>1757</v>
      </c>
    </row>
    <row r="743">
      <c r="A743" s="4" t="s">
        <v>2047</v>
      </c>
      <c r="B743" s="13" t="s">
        <v>43</v>
      </c>
      <c r="D743" s="3"/>
      <c r="E743" s="3"/>
      <c r="F743" s="3"/>
      <c r="G743" s="3"/>
      <c r="H743" s="3"/>
      <c r="I743" s="3"/>
      <c r="J743" s="4" t="s">
        <v>1757</v>
      </c>
    </row>
    <row r="744">
      <c r="A744" s="4" t="s">
        <v>2048</v>
      </c>
      <c r="B744" s="13" t="s">
        <v>43</v>
      </c>
      <c r="D744" s="3"/>
      <c r="E744" s="3"/>
      <c r="F744" s="3"/>
      <c r="G744" s="3"/>
      <c r="H744" s="3"/>
      <c r="I744" s="3"/>
      <c r="J744" s="4" t="s">
        <v>1757</v>
      </c>
    </row>
    <row r="745">
      <c r="A745" s="4" t="s">
        <v>2049</v>
      </c>
      <c r="B745" s="13" t="s">
        <v>48</v>
      </c>
      <c r="C745" s="4">
        <v>1.0</v>
      </c>
      <c r="D745" s="3"/>
      <c r="E745" s="3"/>
      <c r="F745" s="3"/>
      <c r="G745" s="3"/>
      <c r="H745" s="3"/>
      <c r="I745" s="4">
        <v>15.0</v>
      </c>
      <c r="J745" s="4" t="s">
        <v>1757</v>
      </c>
    </row>
    <row r="746">
      <c r="A746" s="4" t="s">
        <v>2050</v>
      </c>
      <c r="B746" s="13" t="s">
        <v>48</v>
      </c>
      <c r="C746" s="4">
        <v>1.0</v>
      </c>
      <c r="D746" s="3"/>
      <c r="E746" s="3"/>
      <c r="F746" s="3"/>
      <c r="G746" s="3"/>
      <c r="H746" s="3"/>
      <c r="I746" s="4">
        <v>15.0</v>
      </c>
      <c r="J746" s="4" t="s">
        <v>1757</v>
      </c>
    </row>
    <row r="747">
      <c r="A747" s="4" t="s">
        <v>2051</v>
      </c>
      <c r="B747" s="13" t="s">
        <v>48</v>
      </c>
      <c r="C747" s="4">
        <v>2.0</v>
      </c>
      <c r="D747" s="4">
        <v>1.0</v>
      </c>
      <c r="E747" s="3"/>
      <c r="F747" s="3"/>
      <c r="G747" s="3"/>
      <c r="H747" s="3"/>
      <c r="I747" s="4">
        <v>15.0</v>
      </c>
      <c r="J747" s="4" t="s">
        <v>1757</v>
      </c>
    </row>
    <row r="748">
      <c r="A748" s="4" t="s">
        <v>2052</v>
      </c>
      <c r="B748" s="13" t="s">
        <v>48</v>
      </c>
      <c r="C748" s="4">
        <v>2.0</v>
      </c>
      <c r="D748" s="4">
        <v>1.0</v>
      </c>
      <c r="E748" s="3"/>
      <c r="F748" s="3"/>
      <c r="G748" s="3"/>
      <c r="H748" s="3"/>
      <c r="I748" s="4">
        <v>15.0</v>
      </c>
    </row>
    <row r="749">
      <c r="A749" s="4" t="s">
        <v>2053</v>
      </c>
      <c r="B749" s="13" t="s">
        <v>48</v>
      </c>
      <c r="C749" s="4">
        <v>2.0</v>
      </c>
      <c r="D749" s="4">
        <v>1.0</v>
      </c>
      <c r="E749" s="3"/>
      <c r="F749" s="3"/>
      <c r="G749" s="3"/>
      <c r="H749" s="3"/>
      <c r="I749" s="4">
        <v>15.0</v>
      </c>
    </row>
    <row r="750">
      <c r="A750" s="4" t="s">
        <v>2054</v>
      </c>
      <c r="B750" s="13" t="s">
        <v>48</v>
      </c>
      <c r="C750" s="4">
        <v>2.0</v>
      </c>
      <c r="D750" s="4">
        <v>1.0</v>
      </c>
      <c r="E750" s="3"/>
      <c r="F750" s="3"/>
      <c r="G750" s="3"/>
      <c r="H750" s="3"/>
      <c r="I750" s="4">
        <v>15.0</v>
      </c>
    </row>
    <row r="751">
      <c r="A751" s="4" t="s">
        <v>2055</v>
      </c>
      <c r="B751" s="13" t="s">
        <v>48</v>
      </c>
      <c r="C751" s="4">
        <v>2.0</v>
      </c>
      <c r="D751" s="4">
        <v>1.0</v>
      </c>
      <c r="E751" s="3"/>
      <c r="F751" s="3"/>
      <c r="G751" s="3"/>
      <c r="H751" s="3"/>
      <c r="I751" s="4">
        <v>15.0</v>
      </c>
    </row>
    <row r="752">
      <c r="A752" s="4" t="s">
        <v>2056</v>
      </c>
      <c r="B752" s="13" t="s">
        <v>48</v>
      </c>
      <c r="C752" s="4">
        <v>2.0</v>
      </c>
      <c r="D752" s="4">
        <v>1.0</v>
      </c>
      <c r="E752" s="3"/>
      <c r="F752" s="3"/>
      <c r="G752" s="3"/>
      <c r="H752" s="3"/>
      <c r="I752" s="4">
        <v>15.0</v>
      </c>
    </row>
    <row r="753">
      <c r="A753" s="4" t="s">
        <v>2057</v>
      </c>
      <c r="B753" s="13" t="s">
        <v>48</v>
      </c>
      <c r="C753" s="4">
        <v>2.0</v>
      </c>
      <c r="D753" s="4">
        <v>1.0</v>
      </c>
      <c r="E753" s="3"/>
      <c r="F753" s="3"/>
      <c r="G753" s="3"/>
      <c r="H753" s="3"/>
      <c r="I753" s="4">
        <v>15.0</v>
      </c>
    </row>
    <row r="754">
      <c r="A754" s="4" t="s">
        <v>2058</v>
      </c>
      <c r="B754" s="13" t="s">
        <v>48</v>
      </c>
      <c r="C754" s="4">
        <v>2.0</v>
      </c>
      <c r="D754" s="4">
        <v>1.0</v>
      </c>
      <c r="E754" s="3"/>
      <c r="F754" s="3"/>
      <c r="G754" s="3"/>
      <c r="H754" s="3"/>
      <c r="I754" s="4">
        <v>15.0</v>
      </c>
    </row>
    <row r="755">
      <c r="A755" s="4" t="s">
        <v>2059</v>
      </c>
      <c r="B755" s="13" t="s">
        <v>48</v>
      </c>
      <c r="C755" s="4">
        <v>2.0</v>
      </c>
      <c r="D755" s="4">
        <v>1.0</v>
      </c>
      <c r="E755" s="3"/>
      <c r="F755" s="3"/>
      <c r="G755" s="3"/>
      <c r="H755" s="3"/>
      <c r="I755" s="4">
        <v>15.0</v>
      </c>
    </row>
    <row r="756">
      <c r="A756" s="4" t="s">
        <v>2060</v>
      </c>
      <c r="B756" s="13" t="s">
        <v>48</v>
      </c>
      <c r="C756" s="4">
        <v>2.0</v>
      </c>
      <c r="D756" s="4">
        <v>1.0</v>
      </c>
      <c r="E756" s="3"/>
      <c r="F756" s="3"/>
      <c r="G756" s="3"/>
      <c r="H756" s="3"/>
      <c r="I756" s="4">
        <v>15.0</v>
      </c>
      <c r="J756" s="4" t="s">
        <v>1757</v>
      </c>
    </row>
    <row r="757">
      <c r="A757" s="4" t="s">
        <v>2061</v>
      </c>
      <c r="B757" s="13" t="s">
        <v>48</v>
      </c>
      <c r="C757" s="4">
        <v>2.0</v>
      </c>
      <c r="D757" s="4">
        <v>1.0</v>
      </c>
      <c r="E757" s="3"/>
      <c r="F757" s="3"/>
      <c r="G757" s="3"/>
      <c r="H757" s="3"/>
      <c r="I757" s="4">
        <v>15.0</v>
      </c>
      <c r="J757" s="4" t="s">
        <v>1757</v>
      </c>
    </row>
    <row r="758">
      <c r="A758" s="4" t="s">
        <v>2062</v>
      </c>
      <c r="B758" s="13" t="s">
        <v>48</v>
      </c>
      <c r="C758" s="4">
        <v>2.0</v>
      </c>
      <c r="D758" s="4">
        <v>1.0</v>
      </c>
      <c r="E758" s="3"/>
      <c r="F758" s="3"/>
      <c r="G758" s="3"/>
      <c r="H758" s="3"/>
      <c r="I758" s="4">
        <v>15.0</v>
      </c>
      <c r="J758" s="4" t="s">
        <v>1757</v>
      </c>
    </row>
    <row r="759">
      <c r="A759" s="4" t="s">
        <v>2063</v>
      </c>
      <c r="B759" s="13" t="s">
        <v>48</v>
      </c>
      <c r="C759" s="4">
        <v>2.0</v>
      </c>
      <c r="D759" s="4">
        <v>1.0</v>
      </c>
      <c r="E759" s="3"/>
      <c r="F759" s="3"/>
      <c r="G759" s="3"/>
      <c r="H759" s="3"/>
      <c r="I759" s="4">
        <v>15.0</v>
      </c>
      <c r="J759" s="4" t="s">
        <v>1757</v>
      </c>
    </row>
    <row r="760">
      <c r="A760" s="4" t="s">
        <v>2064</v>
      </c>
      <c r="B760" s="13" t="s">
        <v>48</v>
      </c>
      <c r="C760" s="4">
        <v>2.0</v>
      </c>
      <c r="D760" s="4">
        <v>1.0</v>
      </c>
      <c r="E760" s="3"/>
      <c r="F760" s="3"/>
      <c r="G760" s="3"/>
      <c r="H760" s="3"/>
      <c r="I760" s="4">
        <v>15.0</v>
      </c>
      <c r="J760" s="4" t="s">
        <v>1757</v>
      </c>
    </row>
    <row r="761">
      <c r="A761" s="4" t="s">
        <v>2065</v>
      </c>
      <c r="B761" s="13" t="s">
        <v>48</v>
      </c>
      <c r="C761" s="4">
        <v>2.0</v>
      </c>
      <c r="D761" s="4">
        <v>1.0</v>
      </c>
      <c r="E761" s="3"/>
      <c r="F761" s="3"/>
      <c r="G761" s="3"/>
      <c r="H761" s="3"/>
      <c r="I761" s="4">
        <v>15.0</v>
      </c>
      <c r="J761" s="4" t="s">
        <v>1757</v>
      </c>
    </row>
    <row r="762">
      <c r="A762" s="4" t="s">
        <v>2066</v>
      </c>
      <c r="B762" s="13" t="s">
        <v>48</v>
      </c>
      <c r="C762" s="4">
        <v>3.0</v>
      </c>
      <c r="D762" s="4">
        <v>1.0</v>
      </c>
      <c r="E762" s="3"/>
      <c r="F762" s="3"/>
      <c r="G762" s="3"/>
      <c r="H762" s="4">
        <v>13.0</v>
      </c>
      <c r="I762" s="4">
        <v>15.0</v>
      </c>
      <c r="J762" s="4" t="s">
        <v>1757</v>
      </c>
    </row>
    <row r="763">
      <c r="A763" s="4" t="s">
        <v>2067</v>
      </c>
      <c r="B763" s="13" t="s">
        <v>48</v>
      </c>
      <c r="C763" s="4">
        <v>3.0</v>
      </c>
      <c r="D763" s="4">
        <v>1.0</v>
      </c>
      <c r="E763" s="3"/>
      <c r="F763" s="3"/>
      <c r="G763" s="3"/>
      <c r="H763" s="4">
        <v>13.0</v>
      </c>
      <c r="I763" s="4">
        <v>15.0</v>
      </c>
      <c r="J763" s="4" t="s">
        <v>1757</v>
      </c>
    </row>
    <row r="764">
      <c r="A764" s="4" t="s">
        <v>2068</v>
      </c>
      <c r="B764" s="13" t="s">
        <v>48</v>
      </c>
      <c r="C764" s="4">
        <v>3.0</v>
      </c>
      <c r="D764" s="4">
        <v>1.0</v>
      </c>
      <c r="E764" s="3"/>
      <c r="F764" s="3"/>
      <c r="G764" s="3"/>
      <c r="H764" s="4">
        <v>13.0</v>
      </c>
      <c r="I764" s="4">
        <v>15.0</v>
      </c>
      <c r="J764" s="4" t="s">
        <v>1757</v>
      </c>
    </row>
    <row r="765">
      <c r="A765" s="4" t="s">
        <v>2069</v>
      </c>
      <c r="B765" s="13" t="s">
        <v>48</v>
      </c>
      <c r="C765" s="4">
        <v>3.0</v>
      </c>
      <c r="D765" s="4">
        <v>1.0</v>
      </c>
      <c r="E765" s="3"/>
      <c r="F765" s="3"/>
      <c r="G765" s="3"/>
      <c r="H765" s="4">
        <v>13.0</v>
      </c>
      <c r="I765" s="4">
        <v>15.0</v>
      </c>
      <c r="J765" s="4" t="s">
        <v>1757</v>
      </c>
    </row>
    <row r="766">
      <c r="A766" s="4" t="s">
        <v>2070</v>
      </c>
      <c r="B766" s="13" t="s">
        <v>48</v>
      </c>
      <c r="C766" s="4">
        <v>3.0</v>
      </c>
      <c r="D766" s="4">
        <v>1.0</v>
      </c>
      <c r="E766" s="3"/>
      <c r="F766" s="3"/>
      <c r="G766" s="3"/>
      <c r="H766" s="4">
        <v>13.0</v>
      </c>
      <c r="I766" s="4">
        <v>15.0</v>
      </c>
      <c r="J766" s="4" t="s">
        <v>1757</v>
      </c>
    </row>
    <row r="767">
      <c r="A767" s="4" t="s">
        <v>2071</v>
      </c>
      <c r="B767" s="13" t="s">
        <v>48</v>
      </c>
      <c r="C767" s="4">
        <v>4.0</v>
      </c>
      <c r="D767" s="4">
        <v>1.0</v>
      </c>
      <c r="E767" s="3"/>
      <c r="F767" s="4">
        <v>9.0</v>
      </c>
      <c r="G767" s="3"/>
      <c r="H767" s="4">
        <v>13.0</v>
      </c>
      <c r="I767" s="4">
        <v>15.0</v>
      </c>
      <c r="J767" s="4" t="s">
        <v>1757</v>
      </c>
    </row>
    <row r="768">
      <c r="A768" s="4" t="s">
        <v>2072</v>
      </c>
      <c r="B768" s="13" t="s">
        <v>48</v>
      </c>
      <c r="C768" s="4">
        <v>4.0</v>
      </c>
      <c r="D768" s="4">
        <v>1.0</v>
      </c>
      <c r="E768" s="3"/>
      <c r="F768" s="4">
        <v>9.0</v>
      </c>
      <c r="G768" s="3"/>
      <c r="H768" s="4">
        <v>13.0</v>
      </c>
      <c r="I768" s="4">
        <v>15.0</v>
      </c>
      <c r="J768" s="4" t="s">
        <v>1757</v>
      </c>
      <c r="K768" s="4" t="s">
        <v>1757</v>
      </c>
    </row>
    <row r="769">
      <c r="A769" s="4" t="s">
        <v>2073</v>
      </c>
      <c r="B769" s="13" t="s">
        <v>48</v>
      </c>
      <c r="C769" s="4">
        <v>4.0</v>
      </c>
      <c r="D769" s="4">
        <v>1.0</v>
      </c>
      <c r="E769" s="3"/>
      <c r="F769" s="4">
        <v>9.0</v>
      </c>
      <c r="G769" s="3"/>
      <c r="H769" s="4">
        <v>13.0</v>
      </c>
      <c r="I769" s="4">
        <v>15.0</v>
      </c>
      <c r="J769" s="4" t="s">
        <v>1757</v>
      </c>
      <c r="K769" s="4" t="s">
        <v>1757</v>
      </c>
    </row>
    <row r="770">
      <c r="A770" s="4" t="s">
        <v>2074</v>
      </c>
      <c r="B770" s="13" t="s">
        <v>48</v>
      </c>
      <c r="C770" s="4">
        <v>4.0</v>
      </c>
      <c r="D770" s="4">
        <v>1.0</v>
      </c>
      <c r="E770" s="3"/>
      <c r="F770" s="4">
        <v>9.0</v>
      </c>
      <c r="G770" s="3"/>
      <c r="H770" s="4">
        <v>13.0</v>
      </c>
      <c r="I770" s="4">
        <v>15.0</v>
      </c>
      <c r="J770" s="4" t="s">
        <v>1757</v>
      </c>
      <c r="K770" s="4" t="s">
        <v>1757</v>
      </c>
    </row>
    <row r="771">
      <c r="A771" s="4" t="s">
        <v>2075</v>
      </c>
      <c r="B771" s="13" t="s">
        <v>48</v>
      </c>
      <c r="C771" s="4">
        <v>4.0</v>
      </c>
      <c r="D771" s="4">
        <v>1.0</v>
      </c>
      <c r="E771" s="3"/>
      <c r="F771" s="4">
        <v>9.0</v>
      </c>
      <c r="G771" s="3"/>
      <c r="H771" s="4">
        <v>13.0</v>
      </c>
      <c r="I771" s="4">
        <v>15.0</v>
      </c>
      <c r="J771" s="4" t="s">
        <v>1757</v>
      </c>
      <c r="K771" s="4" t="s">
        <v>1757</v>
      </c>
    </row>
    <row r="772">
      <c r="A772" s="4" t="s">
        <v>2076</v>
      </c>
      <c r="B772" s="13" t="s">
        <v>48</v>
      </c>
      <c r="C772" s="4">
        <v>4.0</v>
      </c>
      <c r="D772" s="4">
        <v>1.0</v>
      </c>
      <c r="E772" s="3"/>
      <c r="F772" s="4">
        <v>9.0</v>
      </c>
      <c r="G772" s="3"/>
      <c r="H772" s="4">
        <v>13.0</v>
      </c>
      <c r="I772" s="4">
        <v>15.0</v>
      </c>
      <c r="J772" s="4" t="s">
        <v>1757</v>
      </c>
      <c r="K772" s="4" t="s">
        <v>1757</v>
      </c>
    </row>
    <row r="773">
      <c r="A773" s="4" t="s">
        <v>2077</v>
      </c>
      <c r="B773" s="13" t="s">
        <v>48</v>
      </c>
      <c r="C773" s="4">
        <v>4.0</v>
      </c>
      <c r="D773" s="4">
        <v>1.0</v>
      </c>
      <c r="E773" s="3"/>
      <c r="F773" s="4">
        <v>9.0</v>
      </c>
      <c r="G773" s="3"/>
      <c r="H773" s="4">
        <v>13.0</v>
      </c>
      <c r="I773" s="4">
        <v>15.0</v>
      </c>
      <c r="J773" s="4" t="s">
        <v>1757</v>
      </c>
      <c r="K773" s="4" t="s">
        <v>1757</v>
      </c>
    </row>
    <row r="774">
      <c r="A774" s="4" t="s">
        <v>2078</v>
      </c>
      <c r="B774" s="13" t="s">
        <v>48</v>
      </c>
      <c r="C774" s="4">
        <v>5.0</v>
      </c>
      <c r="D774" s="4">
        <v>1.0</v>
      </c>
      <c r="E774" s="4">
        <v>2.0</v>
      </c>
      <c r="F774" s="4">
        <v>9.0</v>
      </c>
      <c r="G774" s="3"/>
      <c r="H774" s="4">
        <v>13.0</v>
      </c>
      <c r="I774" s="4">
        <v>15.0</v>
      </c>
      <c r="J774" s="4" t="s">
        <v>1757</v>
      </c>
      <c r="K774" s="4" t="s">
        <v>1757</v>
      </c>
    </row>
    <row r="775">
      <c r="A775" s="4" t="s">
        <v>2079</v>
      </c>
      <c r="B775" s="13" t="s">
        <v>48</v>
      </c>
      <c r="C775" s="4">
        <v>5.0</v>
      </c>
      <c r="D775" s="4">
        <v>1.0</v>
      </c>
      <c r="E775" s="4">
        <v>2.0</v>
      </c>
      <c r="F775" s="4">
        <v>9.0</v>
      </c>
      <c r="G775" s="3"/>
      <c r="H775" s="4">
        <v>13.0</v>
      </c>
      <c r="I775" s="4">
        <v>15.0</v>
      </c>
      <c r="J775" s="4" t="s">
        <v>1757</v>
      </c>
      <c r="K775" s="4" t="s">
        <v>1757</v>
      </c>
    </row>
    <row r="776">
      <c r="A776" s="4" t="s">
        <v>2080</v>
      </c>
      <c r="B776" s="13" t="s">
        <v>48</v>
      </c>
      <c r="C776" s="4">
        <v>5.0</v>
      </c>
      <c r="D776" s="4">
        <v>1.0</v>
      </c>
      <c r="E776" s="4">
        <v>2.0</v>
      </c>
      <c r="F776" s="4">
        <v>9.0</v>
      </c>
      <c r="G776" s="3"/>
      <c r="H776" s="4">
        <v>13.0</v>
      </c>
      <c r="I776" s="4">
        <v>15.0</v>
      </c>
      <c r="J776" s="4" t="s">
        <v>1757</v>
      </c>
      <c r="K776" s="4" t="s">
        <v>1757</v>
      </c>
    </row>
    <row r="777">
      <c r="A777" s="4" t="s">
        <v>2081</v>
      </c>
      <c r="B777" s="13" t="s">
        <v>48</v>
      </c>
      <c r="C777" s="4">
        <v>4.0</v>
      </c>
      <c r="D777" s="4">
        <v>1.0</v>
      </c>
      <c r="E777" s="3"/>
      <c r="F777" s="4">
        <v>9.0</v>
      </c>
      <c r="G777" s="3"/>
      <c r="H777" s="4">
        <v>13.0</v>
      </c>
      <c r="I777" s="4">
        <v>15.0</v>
      </c>
      <c r="J777" s="4" t="s">
        <v>1757</v>
      </c>
      <c r="K777" s="4" t="s">
        <v>1757</v>
      </c>
    </row>
    <row r="778">
      <c r="A778" s="4" t="s">
        <v>2082</v>
      </c>
      <c r="B778" s="13" t="s">
        <v>48</v>
      </c>
      <c r="C778" s="4">
        <v>4.0</v>
      </c>
      <c r="D778" s="4">
        <v>1.0</v>
      </c>
      <c r="E778" s="3"/>
      <c r="F778" s="4">
        <v>9.0</v>
      </c>
      <c r="G778" s="3"/>
      <c r="H778" s="4">
        <v>13.0</v>
      </c>
      <c r="I778" s="4">
        <v>15.0</v>
      </c>
      <c r="J778" s="4" t="s">
        <v>1757</v>
      </c>
      <c r="K778" s="4" t="s">
        <v>1757</v>
      </c>
    </row>
    <row r="779">
      <c r="A779" s="4" t="s">
        <v>2083</v>
      </c>
      <c r="B779" s="13" t="s">
        <v>48</v>
      </c>
      <c r="C779" s="4">
        <v>3.0</v>
      </c>
      <c r="D779" s="3"/>
      <c r="E779" s="3"/>
      <c r="F779" s="4">
        <v>9.0</v>
      </c>
      <c r="G779" s="3"/>
      <c r="H779" s="4">
        <v>13.0</v>
      </c>
      <c r="I779" s="4">
        <v>15.0</v>
      </c>
      <c r="J779" s="4" t="s">
        <v>1757</v>
      </c>
      <c r="K779" s="4" t="s">
        <v>1757</v>
      </c>
    </row>
    <row r="780">
      <c r="A780" s="4" t="s">
        <v>2084</v>
      </c>
      <c r="B780" s="13" t="s">
        <v>48</v>
      </c>
      <c r="C780" s="4">
        <v>3.0</v>
      </c>
      <c r="D780" s="3"/>
      <c r="E780" s="3"/>
      <c r="F780" s="4">
        <v>9.0</v>
      </c>
      <c r="G780" s="3"/>
      <c r="H780" s="4">
        <v>13.0</v>
      </c>
      <c r="I780" s="4">
        <v>15.0</v>
      </c>
      <c r="J780" s="4" t="s">
        <v>1757</v>
      </c>
      <c r="K780" s="4" t="s">
        <v>1757</v>
      </c>
    </row>
    <row r="781">
      <c r="A781" s="4" t="s">
        <v>2085</v>
      </c>
      <c r="B781" s="13" t="s">
        <v>48</v>
      </c>
      <c r="C781" s="4">
        <v>3.0</v>
      </c>
      <c r="D781" s="3"/>
      <c r="E781" s="3"/>
      <c r="F781" s="4">
        <v>9.0</v>
      </c>
      <c r="G781" s="3"/>
      <c r="H781" s="4">
        <v>13.0</v>
      </c>
      <c r="I781" s="4">
        <v>15.0</v>
      </c>
      <c r="J781" s="4" t="s">
        <v>1757</v>
      </c>
      <c r="K781" s="4" t="s">
        <v>1757</v>
      </c>
    </row>
    <row r="782">
      <c r="A782" s="4" t="s">
        <v>2086</v>
      </c>
      <c r="B782" s="13" t="s">
        <v>48</v>
      </c>
      <c r="C782" s="4">
        <v>2.0</v>
      </c>
      <c r="D782" s="3"/>
      <c r="E782" s="3"/>
      <c r="F782" s="4">
        <v>9.0</v>
      </c>
      <c r="G782" s="3"/>
      <c r="H782" s="4">
        <v>13.0</v>
      </c>
      <c r="I782" s="3"/>
      <c r="J782" s="4" t="s">
        <v>1757</v>
      </c>
      <c r="K782" s="4" t="s">
        <v>1757</v>
      </c>
    </row>
    <row r="783">
      <c r="A783" s="4" t="s">
        <v>2087</v>
      </c>
      <c r="B783" s="13" t="s">
        <v>48</v>
      </c>
      <c r="C783" s="4">
        <v>2.0</v>
      </c>
      <c r="D783" s="3"/>
      <c r="E783" s="3"/>
      <c r="F783" s="4">
        <v>9.0</v>
      </c>
      <c r="G783" s="3"/>
      <c r="H783" s="4">
        <v>13.0</v>
      </c>
      <c r="I783" s="3"/>
      <c r="J783" s="4" t="s">
        <v>1757</v>
      </c>
      <c r="K783" s="4" t="s">
        <v>1757</v>
      </c>
    </row>
    <row r="784">
      <c r="A784" s="4" t="s">
        <v>2088</v>
      </c>
      <c r="B784" s="13" t="s">
        <v>48</v>
      </c>
      <c r="C784" s="4">
        <v>2.0</v>
      </c>
      <c r="D784" s="3"/>
      <c r="E784" s="3"/>
      <c r="F784" s="4">
        <v>9.0</v>
      </c>
      <c r="G784" s="3"/>
      <c r="H784" s="4">
        <v>13.0</v>
      </c>
      <c r="I784" s="3"/>
      <c r="J784" s="4" t="s">
        <v>1757</v>
      </c>
      <c r="K784" s="4" t="s">
        <v>1757</v>
      </c>
    </row>
    <row r="785">
      <c r="A785" s="4" t="s">
        <v>2089</v>
      </c>
      <c r="B785" s="13" t="s">
        <v>48</v>
      </c>
      <c r="C785" s="4">
        <v>3.0</v>
      </c>
      <c r="D785" s="3"/>
      <c r="E785" s="4">
        <v>2.0</v>
      </c>
      <c r="F785" s="4">
        <v>9.0</v>
      </c>
      <c r="G785" s="3"/>
      <c r="H785" s="4">
        <v>13.0</v>
      </c>
      <c r="I785" s="3"/>
      <c r="J785" s="4" t="s">
        <v>1757</v>
      </c>
      <c r="K785" s="4" t="s">
        <v>1757</v>
      </c>
    </row>
    <row r="786">
      <c r="A786" s="4" t="s">
        <v>2090</v>
      </c>
      <c r="B786" s="13" t="s">
        <v>48</v>
      </c>
      <c r="C786" s="4">
        <v>3.0</v>
      </c>
      <c r="D786" s="3"/>
      <c r="E786" s="4">
        <v>2.0</v>
      </c>
      <c r="F786" s="4">
        <v>9.0</v>
      </c>
      <c r="G786" s="3"/>
      <c r="H786" s="4">
        <v>13.0</v>
      </c>
      <c r="I786" s="3"/>
      <c r="J786" s="4" t="s">
        <v>1757</v>
      </c>
      <c r="K786" s="4" t="s">
        <v>1757</v>
      </c>
    </row>
    <row r="787">
      <c r="A787" s="4" t="s">
        <v>2091</v>
      </c>
      <c r="B787" s="13" t="s">
        <v>48</v>
      </c>
      <c r="C787" s="4">
        <v>3.0</v>
      </c>
      <c r="D787" s="3"/>
      <c r="E787" s="4">
        <v>2.0</v>
      </c>
      <c r="F787" s="4">
        <v>9.0</v>
      </c>
      <c r="G787" s="3"/>
      <c r="H787" s="4">
        <v>13.0</v>
      </c>
      <c r="I787" s="3"/>
      <c r="J787" s="4" t="s">
        <v>1757</v>
      </c>
      <c r="K787" s="4" t="s">
        <v>1757</v>
      </c>
    </row>
    <row r="788">
      <c r="A788" s="4" t="s">
        <v>2092</v>
      </c>
      <c r="B788" s="13" t="s">
        <v>48</v>
      </c>
      <c r="C788" s="4">
        <v>3.0</v>
      </c>
      <c r="D788" s="3"/>
      <c r="E788" s="4">
        <v>2.0</v>
      </c>
      <c r="F788" s="4">
        <v>9.0</v>
      </c>
      <c r="G788" s="3"/>
      <c r="H788" s="4">
        <v>13.0</v>
      </c>
      <c r="I788" s="3"/>
      <c r="J788" s="4" t="s">
        <v>1757</v>
      </c>
    </row>
    <row r="789">
      <c r="A789" s="4" t="s">
        <v>2093</v>
      </c>
      <c r="B789" s="13" t="s">
        <v>48</v>
      </c>
      <c r="C789" s="4">
        <v>3.0</v>
      </c>
      <c r="D789" s="3"/>
      <c r="E789" s="4">
        <v>2.0</v>
      </c>
      <c r="F789" s="4">
        <v>9.0</v>
      </c>
      <c r="G789" s="3"/>
      <c r="H789" s="4">
        <v>13.0</v>
      </c>
      <c r="I789" s="3"/>
      <c r="J789" s="4" t="s">
        <v>1757</v>
      </c>
    </row>
    <row r="790">
      <c r="A790" s="4" t="s">
        <v>2094</v>
      </c>
      <c r="B790" s="13" t="s">
        <v>48</v>
      </c>
      <c r="C790" s="4">
        <v>3.0</v>
      </c>
      <c r="D790" s="3"/>
      <c r="E790" s="4">
        <v>2.0</v>
      </c>
      <c r="F790" s="4">
        <v>9.0</v>
      </c>
      <c r="G790" s="3"/>
      <c r="H790" s="4">
        <v>13.0</v>
      </c>
      <c r="I790" s="3"/>
    </row>
    <row r="791">
      <c r="A791" s="4" t="s">
        <v>2095</v>
      </c>
      <c r="B791" s="13" t="s">
        <v>48</v>
      </c>
      <c r="C791" s="4">
        <v>2.0</v>
      </c>
      <c r="D791" s="3"/>
      <c r="E791" s="4">
        <v>2.0</v>
      </c>
      <c r="F791" s="4">
        <v>9.0</v>
      </c>
      <c r="G791" s="3"/>
      <c r="H791" s="3"/>
      <c r="I791" s="3"/>
    </row>
    <row r="792">
      <c r="A792" s="4" t="s">
        <v>2096</v>
      </c>
      <c r="B792" s="13" t="s">
        <v>48</v>
      </c>
      <c r="C792" s="4">
        <v>2.0</v>
      </c>
      <c r="D792" s="3"/>
      <c r="E792" s="4">
        <v>2.0</v>
      </c>
      <c r="F792" s="4">
        <v>9.0</v>
      </c>
      <c r="G792" s="3"/>
      <c r="H792" s="3"/>
      <c r="I792" s="3"/>
    </row>
    <row r="793">
      <c r="A793" s="4" t="s">
        <v>2097</v>
      </c>
      <c r="B793" s="13" t="s">
        <v>48</v>
      </c>
      <c r="C793" s="4">
        <v>1.0</v>
      </c>
      <c r="D793" s="3"/>
      <c r="E793" s="3"/>
      <c r="F793" s="4">
        <v>9.0</v>
      </c>
      <c r="G793" s="3"/>
      <c r="H793" s="3"/>
      <c r="I793" s="3"/>
    </row>
    <row r="794">
      <c r="A794" s="4" t="s">
        <v>2098</v>
      </c>
      <c r="B794" s="13" t="s">
        <v>43</v>
      </c>
      <c r="D794" s="3"/>
      <c r="E794" s="3"/>
      <c r="F794" s="3"/>
      <c r="G794" s="3"/>
      <c r="H794" s="3"/>
      <c r="I794" s="3"/>
    </row>
    <row r="795">
      <c r="A795" s="4" t="s">
        <v>2099</v>
      </c>
      <c r="B795" s="13" t="s">
        <v>43</v>
      </c>
      <c r="D795" s="3"/>
      <c r="E795" s="3"/>
      <c r="F795" s="3"/>
      <c r="G795" s="3"/>
      <c r="H795" s="3"/>
      <c r="I795" s="3"/>
    </row>
    <row r="796">
      <c r="A796" s="4" t="s">
        <v>2100</v>
      </c>
      <c r="B796" s="13" t="s">
        <v>43</v>
      </c>
      <c r="D796" s="3"/>
      <c r="E796" s="3"/>
      <c r="F796" s="3"/>
      <c r="G796" s="3"/>
      <c r="H796" s="3"/>
      <c r="I796" s="3"/>
    </row>
    <row r="797">
      <c r="A797" s="4" t="s">
        <v>2101</v>
      </c>
      <c r="B797" s="13" t="s">
        <v>43</v>
      </c>
      <c r="D797" s="3"/>
      <c r="E797" s="3"/>
      <c r="F797" s="3"/>
      <c r="G797" s="3"/>
      <c r="H797" s="3"/>
      <c r="I797" s="3"/>
    </row>
    <row r="798">
      <c r="A798" s="4" t="s">
        <v>2102</v>
      </c>
      <c r="B798" s="13" t="s">
        <v>43</v>
      </c>
      <c r="D798" s="3"/>
      <c r="E798" s="3"/>
      <c r="F798" s="3"/>
      <c r="G798" s="3"/>
      <c r="H798" s="3"/>
      <c r="I798" s="3"/>
    </row>
    <row r="799">
      <c r="A799" s="4" t="s">
        <v>2103</v>
      </c>
      <c r="B799" s="13" t="s">
        <v>43</v>
      </c>
      <c r="D799" s="3"/>
      <c r="E799" s="3"/>
      <c r="F799" s="3"/>
      <c r="G799" s="3"/>
      <c r="H799" s="3"/>
      <c r="I799" s="3"/>
    </row>
    <row r="800">
      <c r="A800" s="4" t="s">
        <v>2104</v>
      </c>
      <c r="B800" s="13" t="s">
        <v>43</v>
      </c>
      <c r="D800" s="3"/>
      <c r="E800" s="3"/>
      <c r="F800" s="3"/>
      <c r="G800" s="3"/>
      <c r="H800" s="3"/>
      <c r="I800" s="3"/>
    </row>
    <row r="801">
      <c r="A801" s="4" t="s">
        <v>2105</v>
      </c>
      <c r="B801" s="13" t="s">
        <v>43</v>
      </c>
      <c r="D801" s="3"/>
      <c r="E801" s="3"/>
      <c r="F801" s="3"/>
      <c r="G801" s="3"/>
      <c r="H801" s="3"/>
      <c r="I801" s="3"/>
    </row>
    <row r="802">
      <c r="A802" s="4" t="s">
        <v>2106</v>
      </c>
      <c r="B802" s="13" t="s">
        <v>43</v>
      </c>
      <c r="D802" s="3"/>
      <c r="E802" s="3"/>
      <c r="F802" s="3"/>
      <c r="G802" s="3"/>
      <c r="H802" s="3"/>
      <c r="I802" s="3"/>
    </row>
    <row r="803">
      <c r="A803" s="4" t="s">
        <v>2107</v>
      </c>
      <c r="B803" s="13" t="s">
        <v>43</v>
      </c>
      <c r="D803" s="3"/>
      <c r="E803" s="3"/>
      <c r="F803" s="3"/>
      <c r="G803" s="3"/>
      <c r="H803" s="3"/>
      <c r="I803" s="3"/>
    </row>
    <row r="804">
      <c r="A804" s="4" t="s">
        <v>2108</v>
      </c>
      <c r="B804" s="13" t="s">
        <v>43</v>
      </c>
      <c r="D804" s="3"/>
      <c r="E804" s="3"/>
      <c r="F804" s="3"/>
      <c r="G804" s="3"/>
      <c r="H804" s="3"/>
      <c r="I804" s="3"/>
    </row>
    <row r="805">
      <c r="A805" s="4" t="s">
        <v>2109</v>
      </c>
      <c r="B805" s="13" t="s">
        <v>48</v>
      </c>
      <c r="C805" s="4">
        <v>1.0</v>
      </c>
      <c r="D805" s="3"/>
      <c r="E805" s="3"/>
      <c r="F805" s="4">
        <v>9.0</v>
      </c>
      <c r="G805" s="3"/>
      <c r="H805" s="3"/>
      <c r="I805" s="3"/>
    </row>
    <row r="806">
      <c r="A806" s="4" t="s">
        <v>2110</v>
      </c>
      <c r="B806" s="13" t="s">
        <v>48</v>
      </c>
      <c r="C806" s="4">
        <v>1.0</v>
      </c>
      <c r="D806" s="3"/>
      <c r="E806" s="3"/>
      <c r="F806" s="4">
        <v>9.0</v>
      </c>
      <c r="G806" s="3"/>
      <c r="H806" s="3"/>
      <c r="I806" s="3"/>
      <c r="J806" s="4" t="s">
        <v>1757</v>
      </c>
    </row>
    <row r="807">
      <c r="A807" s="4" t="s">
        <v>2111</v>
      </c>
      <c r="B807" s="13" t="s">
        <v>48</v>
      </c>
      <c r="C807" s="4">
        <v>1.0</v>
      </c>
      <c r="D807" s="3"/>
      <c r="E807" s="3"/>
      <c r="F807" s="4">
        <v>9.0</v>
      </c>
      <c r="G807" s="3"/>
      <c r="H807" s="3"/>
      <c r="I807" s="3"/>
      <c r="J807" s="4" t="s">
        <v>1757</v>
      </c>
    </row>
    <row r="808">
      <c r="A808" s="4" t="s">
        <v>2112</v>
      </c>
      <c r="B808" s="13" t="s">
        <v>48</v>
      </c>
      <c r="C808" s="4">
        <v>1.0</v>
      </c>
      <c r="D808" s="3"/>
      <c r="E808" s="3"/>
      <c r="F808" s="4">
        <v>9.0</v>
      </c>
      <c r="G808" s="3"/>
      <c r="H808" s="3"/>
      <c r="I808" s="3"/>
      <c r="J808" s="4" t="s">
        <v>1757</v>
      </c>
    </row>
    <row r="809">
      <c r="A809" s="4" t="s">
        <v>2113</v>
      </c>
      <c r="B809" s="13" t="s">
        <v>48</v>
      </c>
      <c r="C809" s="4">
        <v>1.0</v>
      </c>
      <c r="D809" s="3"/>
      <c r="E809" s="3"/>
      <c r="F809" s="4">
        <v>9.0</v>
      </c>
      <c r="G809" s="3"/>
      <c r="H809" s="3"/>
      <c r="I809" s="3"/>
      <c r="J809" s="4" t="s">
        <v>1757</v>
      </c>
    </row>
    <row r="810">
      <c r="A810" s="4" t="s">
        <v>2114</v>
      </c>
      <c r="B810" s="13" t="s">
        <v>48</v>
      </c>
      <c r="C810" s="4">
        <v>1.0</v>
      </c>
      <c r="D810" s="3"/>
      <c r="E810" s="3"/>
      <c r="F810" s="4">
        <v>9.0</v>
      </c>
      <c r="G810" s="3"/>
      <c r="H810" s="3"/>
      <c r="I810" s="3"/>
      <c r="J810" s="4" t="s">
        <v>1757</v>
      </c>
    </row>
    <row r="811">
      <c r="A811" s="4" t="s">
        <v>2115</v>
      </c>
      <c r="B811" s="13" t="s">
        <v>48</v>
      </c>
      <c r="C811" s="4">
        <v>1.0</v>
      </c>
      <c r="D811" s="3"/>
      <c r="E811" s="3"/>
      <c r="F811" s="4">
        <v>9.0</v>
      </c>
      <c r="G811" s="3"/>
      <c r="H811" s="3"/>
      <c r="I811" s="3"/>
      <c r="J811" s="4" t="s">
        <v>1757</v>
      </c>
    </row>
    <row r="812">
      <c r="A812" s="4" t="s">
        <v>2116</v>
      </c>
      <c r="B812" s="13" t="s">
        <v>48</v>
      </c>
      <c r="C812" s="4">
        <v>1.0</v>
      </c>
      <c r="D812" s="3"/>
      <c r="E812" s="3"/>
      <c r="F812" s="4">
        <v>9.0</v>
      </c>
      <c r="G812" s="3"/>
      <c r="H812" s="3"/>
      <c r="I812" s="3"/>
      <c r="J812" s="4" t="s">
        <v>1757</v>
      </c>
    </row>
    <row r="813">
      <c r="A813" s="4" t="s">
        <v>2117</v>
      </c>
      <c r="B813" s="13" t="s">
        <v>48</v>
      </c>
      <c r="C813" s="4">
        <v>1.0</v>
      </c>
      <c r="D813" s="3"/>
      <c r="E813" s="3"/>
      <c r="F813" s="4">
        <v>9.0</v>
      </c>
      <c r="G813" s="3"/>
      <c r="H813" s="3"/>
      <c r="I813" s="3"/>
      <c r="J813" s="4" t="s">
        <v>1757</v>
      </c>
    </row>
    <row r="814">
      <c r="A814" s="4" t="s">
        <v>2118</v>
      </c>
      <c r="B814" s="13" t="s">
        <v>48</v>
      </c>
      <c r="C814" s="4">
        <v>1.0</v>
      </c>
      <c r="D814" s="3"/>
      <c r="E814" s="3"/>
      <c r="F814" s="4">
        <v>9.0</v>
      </c>
      <c r="G814" s="3"/>
      <c r="H814" s="3"/>
      <c r="I814" s="3"/>
      <c r="J814" s="4" t="s">
        <v>1757</v>
      </c>
    </row>
    <row r="815">
      <c r="A815" s="4" t="s">
        <v>2119</v>
      </c>
      <c r="B815" s="13" t="s">
        <v>48</v>
      </c>
      <c r="C815" s="4">
        <v>1.0</v>
      </c>
      <c r="D815" s="3"/>
      <c r="E815" s="3"/>
      <c r="F815" s="4">
        <v>9.0</v>
      </c>
      <c r="G815" s="3"/>
      <c r="H815" s="3"/>
      <c r="I815" s="3"/>
      <c r="J815" s="4" t="s">
        <v>1757</v>
      </c>
    </row>
    <row r="816">
      <c r="A816" s="4" t="s">
        <v>2120</v>
      </c>
      <c r="B816" s="13" t="s">
        <v>48</v>
      </c>
      <c r="C816" s="4">
        <v>1.0</v>
      </c>
      <c r="D816" s="3"/>
      <c r="E816" s="3"/>
      <c r="F816" s="4">
        <v>9.0</v>
      </c>
      <c r="G816" s="3"/>
      <c r="H816" s="3"/>
      <c r="I816" s="3"/>
      <c r="J816" s="4" t="s">
        <v>1757</v>
      </c>
    </row>
    <row r="817">
      <c r="A817" s="4" t="s">
        <v>2121</v>
      </c>
      <c r="B817" s="13" t="s">
        <v>48</v>
      </c>
      <c r="C817" s="4">
        <v>1.0</v>
      </c>
      <c r="D817" s="3"/>
      <c r="E817" s="3"/>
      <c r="F817" s="4">
        <v>9.0</v>
      </c>
      <c r="G817" s="3"/>
      <c r="H817" s="3"/>
      <c r="I817" s="3"/>
      <c r="J817" s="4" t="s">
        <v>1757</v>
      </c>
    </row>
    <row r="818">
      <c r="A818" s="4" t="s">
        <v>2122</v>
      </c>
      <c r="B818" s="13" t="s">
        <v>48</v>
      </c>
      <c r="C818" s="4">
        <v>1.0</v>
      </c>
      <c r="D818" s="3"/>
      <c r="E818" s="3"/>
      <c r="F818" s="4">
        <v>9.0</v>
      </c>
      <c r="G818" s="3"/>
      <c r="H818" s="3"/>
      <c r="I818" s="3"/>
      <c r="J818" s="4" t="s">
        <v>1757</v>
      </c>
    </row>
    <row r="819">
      <c r="A819" s="4" t="s">
        <v>2123</v>
      </c>
      <c r="B819" s="13" t="s">
        <v>48</v>
      </c>
      <c r="C819" s="4">
        <v>1.0</v>
      </c>
      <c r="D819" s="3"/>
      <c r="E819" s="3"/>
      <c r="F819" s="4">
        <v>9.0</v>
      </c>
      <c r="G819" s="3"/>
      <c r="H819" s="3"/>
      <c r="I819" s="3"/>
      <c r="J819" s="4" t="s">
        <v>1757</v>
      </c>
    </row>
    <row r="820">
      <c r="A820" s="4" t="s">
        <v>2124</v>
      </c>
      <c r="B820" s="13" t="s">
        <v>48</v>
      </c>
      <c r="C820" s="4">
        <v>1.0</v>
      </c>
      <c r="D820" s="3"/>
      <c r="E820" s="3"/>
      <c r="F820" s="4">
        <v>9.0</v>
      </c>
      <c r="G820" s="3"/>
      <c r="H820" s="3"/>
      <c r="I820" s="3"/>
      <c r="J820" s="4" t="s">
        <v>1757</v>
      </c>
    </row>
    <row r="821">
      <c r="A821" s="4" t="s">
        <v>2125</v>
      </c>
      <c r="B821" s="13" t="s">
        <v>48</v>
      </c>
      <c r="C821" s="4">
        <v>1.0</v>
      </c>
      <c r="D821" s="3"/>
      <c r="E821" s="3"/>
      <c r="F821" s="4">
        <v>9.0</v>
      </c>
      <c r="G821" s="3"/>
      <c r="H821" s="3"/>
      <c r="I821" s="3"/>
      <c r="J821" s="4" t="s">
        <v>1757</v>
      </c>
    </row>
    <row r="822">
      <c r="A822" s="4" t="s">
        <v>2126</v>
      </c>
      <c r="B822" s="13" t="s">
        <v>48</v>
      </c>
      <c r="C822" s="4">
        <v>1.0</v>
      </c>
      <c r="D822" s="3"/>
      <c r="E822" s="3"/>
      <c r="F822" s="4">
        <v>9.0</v>
      </c>
      <c r="G822" s="3"/>
      <c r="H822" s="3"/>
      <c r="I822" s="3"/>
      <c r="J822" s="4" t="s">
        <v>1757</v>
      </c>
    </row>
    <row r="823">
      <c r="A823" s="4" t="s">
        <v>2127</v>
      </c>
      <c r="B823" s="13" t="s">
        <v>48</v>
      </c>
      <c r="C823" s="4">
        <v>1.0</v>
      </c>
      <c r="D823" s="3"/>
      <c r="E823" s="3"/>
      <c r="F823" s="4">
        <v>9.0</v>
      </c>
      <c r="G823" s="3"/>
      <c r="H823" s="3"/>
      <c r="I823" s="3"/>
      <c r="J823" s="4" t="s">
        <v>1757</v>
      </c>
    </row>
    <row r="824">
      <c r="A824" s="4" t="s">
        <v>2128</v>
      </c>
      <c r="B824" s="13" t="s">
        <v>48</v>
      </c>
      <c r="C824" s="4">
        <v>1.0</v>
      </c>
      <c r="D824" s="3"/>
      <c r="E824" s="3"/>
      <c r="F824" s="4">
        <v>9.0</v>
      </c>
      <c r="G824" s="3"/>
      <c r="H824" s="3"/>
      <c r="I824" s="3"/>
      <c r="J824" s="4" t="s">
        <v>1757</v>
      </c>
    </row>
    <row r="825">
      <c r="A825" s="4" t="s">
        <v>2129</v>
      </c>
      <c r="B825" s="13" t="s">
        <v>48</v>
      </c>
      <c r="C825" s="4">
        <v>1.0</v>
      </c>
      <c r="D825" s="3"/>
      <c r="E825" s="3"/>
      <c r="F825" s="4">
        <v>9.0</v>
      </c>
      <c r="G825" s="3"/>
      <c r="H825" s="3"/>
      <c r="I825" s="3"/>
      <c r="J825" s="4" t="s">
        <v>1757</v>
      </c>
    </row>
    <row r="826">
      <c r="A826" s="4" t="s">
        <v>2130</v>
      </c>
      <c r="B826" s="13" t="s">
        <v>48</v>
      </c>
      <c r="C826" s="4">
        <v>1.0</v>
      </c>
      <c r="D826" s="3"/>
      <c r="E826" s="3"/>
      <c r="F826" s="4">
        <v>9.0</v>
      </c>
      <c r="G826" s="3"/>
      <c r="H826" s="3"/>
      <c r="I826" s="3"/>
      <c r="J826" s="4" t="s">
        <v>1757</v>
      </c>
    </row>
    <row r="827">
      <c r="A827" s="4" t="s">
        <v>2131</v>
      </c>
      <c r="B827" s="13" t="s">
        <v>48</v>
      </c>
      <c r="C827" s="4">
        <v>1.0</v>
      </c>
      <c r="D827" s="3"/>
      <c r="E827" s="3"/>
      <c r="F827" s="4">
        <v>9.0</v>
      </c>
      <c r="G827" s="3"/>
      <c r="H827" s="3"/>
      <c r="I827" s="3"/>
      <c r="J827" s="4" t="s">
        <v>1757</v>
      </c>
    </row>
    <row r="828">
      <c r="A828" s="4" t="s">
        <v>2132</v>
      </c>
      <c r="B828" s="13" t="s">
        <v>48</v>
      </c>
      <c r="C828" s="4">
        <v>1.0</v>
      </c>
      <c r="D828" s="3"/>
      <c r="E828" s="3"/>
      <c r="F828" s="4">
        <v>9.0</v>
      </c>
      <c r="G828" s="3"/>
      <c r="H828" s="3"/>
      <c r="I828" s="3"/>
      <c r="J828" s="4" t="s">
        <v>1757</v>
      </c>
    </row>
    <row r="829">
      <c r="A829" s="4" t="s">
        <v>2133</v>
      </c>
      <c r="B829" s="13" t="s">
        <v>48</v>
      </c>
      <c r="C829" s="4">
        <v>1.0</v>
      </c>
      <c r="D829" s="3"/>
      <c r="E829" s="3"/>
      <c r="F829" s="4">
        <v>9.0</v>
      </c>
      <c r="G829" s="3"/>
      <c r="H829" s="3"/>
      <c r="I829" s="3"/>
      <c r="J829" s="4" t="s">
        <v>1757</v>
      </c>
    </row>
    <row r="830">
      <c r="A830" s="4" t="s">
        <v>2134</v>
      </c>
      <c r="B830" s="13" t="s">
        <v>48</v>
      </c>
      <c r="C830" s="4">
        <v>1.0</v>
      </c>
      <c r="D830" s="3"/>
      <c r="E830" s="3"/>
      <c r="F830" s="4">
        <v>9.0</v>
      </c>
      <c r="G830" s="3"/>
      <c r="H830" s="3"/>
      <c r="I830" s="3"/>
    </row>
    <row r="831">
      <c r="A831" s="4" t="s">
        <v>2135</v>
      </c>
      <c r="B831" s="13" t="s">
        <v>48</v>
      </c>
      <c r="C831" s="4">
        <v>1.0</v>
      </c>
      <c r="D831" s="3"/>
      <c r="E831" s="3"/>
      <c r="F831" s="4">
        <v>9.0</v>
      </c>
      <c r="G831" s="3"/>
      <c r="H831" s="3"/>
      <c r="I831" s="3"/>
    </row>
    <row r="832">
      <c r="A832" s="4" t="s">
        <v>2136</v>
      </c>
      <c r="B832" s="13" t="s">
        <v>48</v>
      </c>
      <c r="C832" s="4">
        <v>1.0</v>
      </c>
      <c r="D832" s="3"/>
      <c r="E832" s="3"/>
      <c r="F832" s="4">
        <v>9.0</v>
      </c>
      <c r="G832" s="3"/>
      <c r="H832" s="3"/>
      <c r="I832" s="3"/>
    </row>
    <row r="833">
      <c r="A833" s="4" t="s">
        <v>2137</v>
      </c>
      <c r="B833" s="13" t="s">
        <v>48</v>
      </c>
      <c r="C833" s="4">
        <v>1.0</v>
      </c>
      <c r="D833" s="3"/>
      <c r="E833" s="3"/>
      <c r="F833" s="4">
        <v>9.0</v>
      </c>
      <c r="G833" s="3"/>
      <c r="H833" s="3"/>
      <c r="I833" s="3"/>
    </row>
    <row r="834">
      <c r="A834" s="4" t="s">
        <v>2138</v>
      </c>
      <c r="B834" s="13" t="s">
        <v>48</v>
      </c>
      <c r="C834" s="4">
        <v>1.0</v>
      </c>
      <c r="D834" s="3"/>
      <c r="E834" s="3"/>
      <c r="F834" s="4">
        <v>9.0</v>
      </c>
      <c r="G834" s="3"/>
      <c r="H834" s="3"/>
      <c r="I834" s="3"/>
    </row>
    <row r="835">
      <c r="A835" s="4" t="s">
        <v>2139</v>
      </c>
      <c r="B835" s="13" t="s">
        <v>48</v>
      </c>
      <c r="C835" s="4">
        <v>1.0</v>
      </c>
      <c r="D835" s="3"/>
      <c r="E835" s="3"/>
      <c r="F835" s="4">
        <v>9.0</v>
      </c>
      <c r="G835" s="3"/>
      <c r="H835" s="3"/>
      <c r="I835" s="3"/>
    </row>
    <row r="836">
      <c r="A836" s="4" t="s">
        <v>2140</v>
      </c>
      <c r="B836" s="13" t="s">
        <v>48</v>
      </c>
      <c r="C836" s="4">
        <v>1.0</v>
      </c>
      <c r="D836" s="3"/>
      <c r="E836" s="3"/>
      <c r="F836" s="4">
        <v>9.0</v>
      </c>
      <c r="G836" s="3"/>
      <c r="H836" s="3"/>
      <c r="I836" s="3"/>
    </row>
    <row r="837">
      <c r="A837" s="4" t="s">
        <v>2141</v>
      </c>
      <c r="B837" s="13" t="s">
        <v>48</v>
      </c>
      <c r="C837" s="4">
        <v>1.0</v>
      </c>
      <c r="D837" s="3"/>
      <c r="E837" s="3"/>
      <c r="F837" s="4">
        <v>9.0</v>
      </c>
      <c r="G837" s="3"/>
      <c r="H837" s="3"/>
      <c r="I837" s="3"/>
    </row>
    <row r="838">
      <c r="A838" s="4" t="s">
        <v>2142</v>
      </c>
      <c r="B838" s="13" t="s">
        <v>48</v>
      </c>
      <c r="C838" s="4">
        <v>1.0</v>
      </c>
      <c r="D838" s="3"/>
      <c r="E838" s="3"/>
      <c r="F838" s="4">
        <v>9.0</v>
      </c>
      <c r="G838" s="3"/>
      <c r="H838" s="3"/>
      <c r="I838" s="3"/>
    </row>
    <row r="839">
      <c r="A839" s="4" t="s">
        <v>2143</v>
      </c>
      <c r="B839" s="13" t="s">
        <v>48</v>
      </c>
      <c r="C839" s="4">
        <v>1.0</v>
      </c>
      <c r="D839" s="3"/>
      <c r="E839" s="3"/>
      <c r="F839" s="4">
        <v>9.0</v>
      </c>
      <c r="G839" s="3"/>
      <c r="H839" s="3"/>
      <c r="I839" s="3"/>
    </row>
    <row r="840">
      <c r="A840" s="4" t="s">
        <v>2144</v>
      </c>
      <c r="B840" s="13" t="s">
        <v>48</v>
      </c>
      <c r="C840" s="4">
        <v>1.0</v>
      </c>
      <c r="D840" s="3"/>
      <c r="E840" s="3"/>
      <c r="F840" s="4">
        <v>9.0</v>
      </c>
      <c r="G840" s="3"/>
      <c r="H840" s="3"/>
      <c r="I840" s="3"/>
    </row>
    <row r="841">
      <c r="A841" s="4" t="s">
        <v>2145</v>
      </c>
      <c r="B841" s="13" t="s">
        <v>48</v>
      </c>
      <c r="C841" s="4">
        <v>1.0</v>
      </c>
      <c r="D841" s="3"/>
      <c r="E841" s="3"/>
      <c r="F841" s="4">
        <v>9.0</v>
      </c>
      <c r="G841" s="3"/>
      <c r="H841" s="3"/>
      <c r="I841" s="3"/>
    </row>
    <row r="842">
      <c r="A842" s="4" t="s">
        <v>2146</v>
      </c>
      <c r="B842" s="13" t="s">
        <v>48</v>
      </c>
      <c r="C842" s="4">
        <v>1.0</v>
      </c>
      <c r="D842" s="3"/>
      <c r="E842" s="3"/>
      <c r="F842" s="4">
        <v>9.0</v>
      </c>
      <c r="G842" s="3"/>
      <c r="H842" s="3"/>
      <c r="I842" s="3"/>
    </row>
    <row r="843">
      <c r="A843" s="4" t="s">
        <v>2147</v>
      </c>
      <c r="B843" s="13" t="s">
        <v>48</v>
      </c>
      <c r="C843" s="4">
        <v>1.0</v>
      </c>
      <c r="D843" s="3"/>
      <c r="E843" s="3"/>
      <c r="F843" s="4">
        <v>9.0</v>
      </c>
      <c r="G843" s="3"/>
      <c r="H843" s="3"/>
      <c r="I843" s="3"/>
    </row>
    <row r="844">
      <c r="A844" s="4" t="s">
        <v>2148</v>
      </c>
      <c r="B844" s="13" t="s">
        <v>48</v>
      </c>
      <c r="C844" s="4">
        <v>1.0</v>
      </c>
      <c r="D844" s="3"/>
      <c r="E844" s="3"/>
      <c r="F844" s="4">
        <v>9.0</v>
      </c>
      <c r="G844" s="3"/>
      <c r="H844" s="3"/>
      <c r="I844" s="3"/>
    </row>
    <row r="845">
      <c r="A845" s="4" t="s">
        <v>2149</v>
      </c>
      <c r="B845" s="13" t="s">
        <v>43</v>
      </c>
      <c r="D845" s="3"/>
      <c r="E845" s="3"/>
      <c r="F845" s="3"/>
      <c r="G845" s="3"/>
      <c r="H845" s="3"/>
      <c r="I845" s="3"/>
    </row>
    <row r="846">
      <c r="A846" s="4" t="s">
        <v>2150</v>
      </c>
      <c r="B846" s="13" t="s">
        <v>43</v>
      </c>
      <c r="D846" s="3"/>
      <c r="E846" s="3"/>
      <c r="F846" s="3"/>
      <c r="G846" s="3"/>
      <c r="H846" s="3"/>
      <c r="I846" s="3"/>
    </row>
    <row r="847">
      <c r="A847" s="4" t="s">
        <v>2151</v>
      </c>
      <c r="B847" s="13" t="s">
        <v>43</v>
      </c>
      <c r="D847" s="3"/>
      <c r="E847" s="3"/>
      <c r="F847" s="3"/>
      <c r="G847" s="3"/>
      <c r="H847" s="3"/>
      <c r="I847" s="3"/>
    </row>
    <row r="848">
      <c r="A848" s="4" t="s">
        <v>2152</v>
      </c>
      <c r="B848" s="13" t="s">
        <v>48</v>
      </c>
      <c r="C848" s="4">
        <v>1.0</v>
      </c>
      <c r="D848" s="3"/>
      <c r="E848" s="3"/>
      <c r="F848" s="4">
        <v>9.0</v>
      </c>
      <c r="G848" s="3"/>
      <c r="H848" s="3"/>
      <c r="I848" s="3"/>
    </row>
    <row r="849">
      <c r="A849" s="4" t="s">
        <v>2153</v>
      </c>
      <c r="B849" s="13" t="s">
        <v>48</v>
      </c>
      <c r="C849" s="4">
        <v>1.0</v>
      </c>
      <c r="D849" s="3"/>
      <c r="E849" s="3"/>
      <c r="F849" s="4">
        <v>9.0</v>
      </c>
      <c r="G849" s="3"/>
      <c r="H849" s="3"/>
      <c r="I849" s="3"/>
    </row>
    <row r="850">
      <c r="A850" s="4" t="s">
        <v>2154</v>
      </c>
      <c r="B850" s="13" t="s">
        <v>43</v>
      </c>
      <c r="D850" s="3"/>
      <c r="E850" s="3"/>
      <c r="F850" s="3"/>
      <c r="G850" s="3"/>
      <c r="H850" s="3"/>
      <c r="I850" s="3"/>
    </row>
    <row r="851">
      <c r="A851" s="4" t="s">
        <v>2155</v>
      </c>
      <c r="B851" s="13" t="s">
        <v>43</v>
      </c>
      <c r="D851" s="3"/>
      <c r="E851" s="3"/>
      <c r="F851" s="3"/>
      <c r="G851" s="3"/>
      <c r="H851" s="3"/>
      <c r="I851" s="3"/>
    </row>
    <row r="852">
      <c r="A852" s="4" t="s">
        <v>2156</v>
      </c>
      <c r="B852" s="13" t="s">
        <v>43</v>
      </c>
      <c r="D852" s="3"/>
      <c r="E852" s="3"/>
      <c r="F852" s="3"/>
      <c r="G852" s="3"/>
      <c r="H852" s="3"/>
      <c r="I852" s="3"/>
    </row>
    <row r="853">
      <c r="A853" s="4" t="s">
        <v>2157</v>
      </c>
      <c r="B853" s="13" t="s">
        <v>43</v>
      </c>
      <c r="D853" s="3"/>
      <c r="E853" s="3"/>
      <c r="F853" s="3"/>
      <c r="G853" s="3"/>
      <c r="H853" s="3"/>
      <c r="I853" s="3"/>
    </row>
    <row r="854">
      <c r="A854" s="4" t="s">
        <v>2158</v>
      </c>
      <c r="B854" s="13" t="s">
        <v>43</v>
      </c>
      <c r="D854" s="3"/>
      <c r="E854" s="3"/>
      <c r="F854" s="3"/>
      <c r="G854" s="3"/>
      <c r="H854" s="3"/>
      <c r="I854" s="3"/>
    </row>
    <row r="855">
      <c r="A855" s="4" t="s">
        <v>2159</v>
      </c>
      <c r="B855" s="13" t="s">
        <v>43</v>
      </c>
      <c r="D855" s="3"/>
      <c r="E855" s="3"/>
      <c r="F855" s="3"/>
      <c r="G855" s="3"/>
      <c r="H855" s="3"/>
      <c r="I855" s="3"/>
    </row>
    <row r="856">
      <c r="A856" s="4" t="s">
        <v>2160</v>
      </c>
      <c r="B856" s="13" t="s">
        <v>43</v>
      </c>
      <c r="D856" s="3"/>
      <c r="E856" s="3"/>
      <c r="F856" s="3"/>
      <c r="G856" s="3"/>
      <c r="H856" s="3"/>
      <c r="I856" s="3"/>
    </row>
    <row r="857">
      <c r="A857" s="4" t="s">
        <v>2161</v>
      </c>
      <c r="B857" s="13" t="s">
        <v>43</v>
      </c>
      <c r="D857" s="3"/>
      <c r="E857" s="3"/>
      <c r="F857" s="3"/>
      <c r="G857" s="3"/>
      <c r="H857" s="3"/>
      <c r="I857" s="3"/>
    </row>
    <row r="858">
      <c r="A858" s="4" t="s">
        <v>2162</v>
      </c>
      <c r="B858" s="13" t="s">
        <v>43</v>
      </c>
      <c r="D858" s="3"/>
      <c r="E858" s="3"/>
      <c r="F858" s="3"/>
      <c r="G858" s="3"/>
      <c r="H858" s="3"/>
      <c r="I858" s="3"/>
    </row>
    <row r="859">
      <c r="A859" s="4" t="s">
        <v>2163</v>
      </c>
      <c r="B859" s="13" t="s">
        <v>43</v>
      </c>
      <c r="D859" s="3"/>
      <c r="E859" s="3"/>
      <c r="F859" s="3"/>
      <c r="G859" s="3"/>
      <c r="H859" s="3"/>
      <c r="I859" s="3"/>
    </row>
    <row r="860">
      <c r="A860" s="4" t="s">
        <v>2164</v>
      </c>
      <c r="B860" s="13" t="s">
        <v>43</v>
      </c>
      <c r="D860" s="3"/>
      <c r="E860" s="3"/>
      <c r="F860" s="3"/>
      <c r="G860" s="3"/>
      <c r="H860" s="3"/>
      <c r="I860" s="3"/>
    </row>
    <row r="861">
      <c r="A861" s="4" t="s">
        <v>2165</v>
      </c>
      <c r="B861" s="13" t="s">
        <v>43</v>
      </c>
      <c r="D861" s="3"/>
      <c r="E861" s="3"/>
      <c r="F861" s="3"/>
      <c r="G861" s="3"/>
      <c r="H861" s="3"/>
      <c r="I861" s="3"/>
    </row>
    <row r="862">
      <c r="A862" s="4" t="s">
        <v>2166</v>
      </c>
      <c r="B862" s="13" t="s">
        <v>43</v>
      </c>
      <c r="D862" s="3"/>
      <c r="E862" s="3"/>
      <c r="F862" s="3"/>
      <c r="G862" s="3"/>
      <c r="H862" s="3"/>
      <c r="I862" s="3"/>
    </row>
    <row r="863">
      <c r="A863" s="4" t="s">
        <v>2167</v>
      </c>
      <c r="B863" s="13" t="s">
        <v>48</v>
      </c>
      <c r="C863" s="4">
        <v>1.0</v>
      </c>
      <c r="D863" s="3"/>
      <c r="E863" s="3"/>
      <c r="F863" s="4">
        <v>9.0</v>
      </c>
      <c r="G863" s="3"/>
      <c r="H863" s="3"/>
      <c r="I863" s="3"/>
    </row>
    <row r="864">
      <c r="A864" s="4" t="s">
        <v>2168</v>
      </c>
      <c r="B864" s="13" t="s">
        <v>48</v>
      </c>
      <c r="C864" s="4">
        <v>1.0</v>
      </c>
      <c r="D864" s="3"/>
      <c r="E864" s="3"/>
      <c r="F864" s="4">
        <v>9.0</v>
      </c>
      <c r="G864" s="3"/>
      <c r="H864" s="3"/>
      <c r="I864" s="3"/>
    </row>
    <row r="865">
      <c r="A865" s="4" t="s">
        <v>2169</v>
      </c>
      <c r="B865" s="13" t="s">
        <v>48</v>
      </c>
      <c r="C865" s="4">
        <v>1.0</v>
      </c>
      <c r="D865" s="3"/>
      <c r="E865" s="3"/>
      <c r="F865" s="4">
        <v>9.0</v>
      </c>
      <c r="G865" s="3"/>
      <c r="H865" s="3"/>
      <c r="I865" s="3"/>
    </row>
    <row r="866">
      <c r="A866" s="4" t="s">
        <v>2170</v>
      </c>
      <c r="B866" s="13" t="s">
        <v>48</v>
      </c>
      <c r="C866" s="4">
        <v>1.0</v>
      </c>
      <c r="D866" s="3"/>
      <c r="E866" s="3"/>
      <c r="F866" s="4">
        <v>9.0</v>
      </c>
      <c r="G866" s="3"/>
      <c r="H866" s="3"/>
      <c r="I866" s="3"/>
    </row>
    <row r="867">
      <c r="A867" s="4" t="s">
        <v>2171</v>
      </c>
      <c r="B867" s="13" t="s">
        <v>48</v>
      </c>
      <c r="C867" s="4">
        <v>1.0</v>
      </c>
      <c r="D867" s="3"/>
      <c r="E867" s="3"/>
      <c r="F867" s="4">
        <v>9.0</v>
      </c>
      <c r="G867" s="3"/>
      <c r="H867" s="3"/>
      <c r="I867" s="3"/>
    </row>
    <row r="868">
      <c r="A868" s="4" t="s">
        <v>2172</v>
      </c>
      <c r="B868" s="13" t="s">
        <v>48</v>
      </c>
      <c r="C868" s="4">
        <v>1.0</v>
      </c>
      <c r="D868" s="3"/>
      <c r="E868" s="3"/>
      <c r="F868" s="4">
        <v>9.0</v>
      </c>
      <c r="G868" s="3"/>
      <c r="H868" s="3"/>
      <c r="I868" s="3"/>
    </row>
    <row r="869">
      <c r="A869" s="4" t="s">
        <v>2173</v>
      </c>
      <c r="B869" s="13" t="s">
        <v>48</v>
      </c>
      <c r="C869" s="4">
        <v>1.0</v>
      </c>
      <c r="D869" s="3"/>
      <c r="E869" s="3"/>
      <c r="F869" s="4">
        <v>9.0</v>
      </c>
      <c r="G869" s="3"/>
      <c r="H869" s="3"/>
      <c r="I869" s="3"/>
    </row>
    <row r="870">
      <c r="A870" s="4" t="s">
        <v>2174</v>
      </c>
      <c r="B870" s="13" t="s">
        <v>48</v>
      </c>
      <c r="C870" s="4">
        <v>1.0</v>
      </c>
      <c r="D870" s="3"/>
      <c r="E870" s="3"/>
      <c r="F870" s="4">
        <v>9.0</v>
      </c>
      <c r="G870" s="3"/>
      <c r="H870" s="3"/>
      <c r="I870" s="3"/>
    </row>
    <row r="871">
      <c r="A871" s="4" t="s">
        <v>2175</v>
      </c>
      <c r="B871" s="13" t="s">
        <v>48</v>
      </c>
      <c r="C871" s="4">
        <v>1.0</v>
      </c>
      <c r="D871" s="3"/>
      <c r="E871" s="3"/>
      <c r="F871" s="4">
        <v>9.0</v>
      </c>
      <c r="G871" s="3"/>
      <c r="H871" s="3"/>
      <c r="I871" s="3"/>
    </row>
    <row r="872">
      <c r="A872" s="4" t="s">
        <v>2176</v>
      </c>
      <c r="B872" s="13" t="s">
        <v>48</v>
      </c>
      <c r="C872" s="4">
        <v>1.0</v>
      </c>
      <c r="D872" s="3"/>
      <c r="E872" s="3"/>
      <c r="F872" s="4">
        <v>9.0</v>
      </c>
      <c r="G872" s="3"/>
      <c r="H872" s="3"/>
      <c r="I872" s="3"/>
    </row>
    <row r="873">
      <c r="A873" s="4" t="s">
        <v>2177</v>
      </c>
      <c r="B873" s="13" t="s">
        <v>48</v>
      </c>
      <c r="C873" s="4">
        <v>1.0</v>
      </c>
      <c r="D873" s="3"/>
      <c r="E873" s="3"/>
      <c r="F873" s="4">
        <v>9.0</v>
      </c>
      <c r="G873" s="3"/>
      <c r="H873" s="3"/>
      <c r="I873" s="3"/>
    </row>
    <row r="874">
      <c r="A874" s="4" t="s">
        <v>2178</v>
      </c>
      <c r="B874" s="13" t="s">
        <v>48</v>
      </c>
      <c r="C874" s="4">
        <v>1.0</v>
      </c>
      <c r="D874" s="3"/>
      <c r="E874" s="3"/>
      <c r="F874" s="4">
        <v>9.0</v>
      </c>
      <c r="G874" s="3"/>
      <c r="H874" s="3"/>
      <c r="I874" s="3"/>
    </row>
    <row r="875">
      <c r="A875" s="4" t="s">
        <v>2179</v>
      </c>
      <c r="B875" s="13" t="s">
        <v>48</v>
      </c>
      <c r="C875" s="4">
        <v>1.0</v>
      </c>
      <c r="D875" s="3"/>
      <c r="E875" s="3"/>
      <c r="F875" s="4">
        <v>9.0</v>
      </c>
      <c r="G875" s="3"/>
      <c r="H875" s="3"/>
      <c r="I875" s="3"/>
      <c r="J875" s="4" t="s">
        <v>1757</v>
      </c>
    </row>
    <row r="876">
      <c r="A876" s="4" t="s">
        <v>2180</v>
      </c>
      <c r="B876" s="13" t="s">
        <v>48</v>
      </c>
      <c r="C876" s="4">
        <v>1.0</v>
      </c>
      <c r="D876" s="3"/>
      <c r="E876" s="3"/>
      <c r="F876" s="4">
        <v>9.0</v>
      </c>
      <c r="G876" s="3"/>
      <c r="H876" s="3"/>
      <c r="I876" s="3"/>
      <c r="J876" s="4" t="s">
        <v>1757</v>
      </c>
    </row>
    <row r="877">
      <c r="A877" s="4" t="s">
        <v>2181</v>
      </c>
      <c r="B877" s="13" t="s">
        <v>48</v>
      </c>
      <c r="C877" s="4">
        <v>1.0</v>
      </c>
      <c r="D877" s="3"/>
      <c r="E877" s="3"/>
      <c r="F877" s="4">
        <v>9.0</v>
      </c>
      <c r="G877" s="3"/>
      <c r="H877" s="3"/>
      <c r="I877" s="3"/>
      <c r="J877" s="4" t="s">
        <v>1757</v>
      </c>
    </row>
    <row r="878">
      <c r="A878" s="4" t="s">
        <v>2182</v>
      </c>
      <c r="B878" s="13" t="s">
        <v>48</v>
      </c>
      <c r="C878" s="4">
        <v>1.0</v>
      </c>
      <c r="D878" s="3"/>
      <c r="E878" s="3"/>
      <c r="F878" s="4">
        <v>9.0</v>
      </c>
      <c r="G878" s="3"/>
      <c r="H878" s="3"/>
      <c r="I878" s="3"/>
      <c r="J878" s="4" t="s">
        <v>1757</v>
      </c>
    </row>
    <row r="879">
      <c r="A879" s="4" t="s">
        <v>2183</v>
      </c>
      <c r="B879" s="13" t="s">
        <v>48</v>
      </c>
      <c r="C879" s="4">
        <v>1.0</v>
      </c>
      <c r="D879" s="3"/>
      <c r="E879" s="3"/>
      <c r="F879" s="4">
        <v>9.0</v>
      </c>
      <c r="G879" s="3"/>
      <c r="H879" s="3"/>
      <c r="I879" s="3"/>
      <c r="J879" s="4" t="s">
        <v>1757</v>
      </c>
    </row>
    <row r="880">
      <c r="A880" s="4" t="s">
        <v>2184</v>
      </c>
      <c r="B880" s="13" t="s">
        <v>48</v>
      </c>
      <c r="C880" s="4">
        <v>1.0</v>
      </c>
      <c r="D880" s="3"/>
      <c r="E880" s="3"/>
      <c r="F880" s="4">
        <v>9.0</v>
      </c>
      <c r="G880" s="3"/>
      <c r="H880" s="3"/>
      <c r="I880" s="3"/>
      <c r="J880" s="4" t="s">
        <v>1757</v>
      </c>
    </row>
    <row r="881">
      <c r="A881" s="4" t="s">
        <v>2185</v>
      </c>
      <c r="B881" s="13" t="s">
        <v>48</v>
      </c>
      <c r="C881" s="4">
        <v>1.0</v>
      </c>
      <c r="D881" s="3"/>
      <c r="E881" s="3"/>
      <c r="F881" s="4">
        <v>9.0</v>
      </c>
      <c r="G881" s="3"/>
      <c r="H881" s="3"/>
      <c r="I881" s="3"/>
      <c r="J881" s="4" t="s">
        <v>1757</v>
      </c>
    </row>
    <row r="882">
      <c r="A882" s="4" t="s">
        <v>2186</v>
      </c>
      <c r="B882" s="13" t="s">
        <v>48</v>
      </c>
      <c r="C882" s="4">
        <v>1.0</v>
      </c>
      <c r="D882" s="3"/>
      <c r="E882" s="3"/>
      <c r="F882" s="4">
        <v>9.0</v>
      </c>
      <c r="G882" s="3"/>
      <c r="H882" s="3"/>
      <c r="I882" s="3"/>
      <c r="J882" s="4" t="s">
        <v>1757</v>
      </c>
    </row>
    <row r="883">
      <c r="A883" s="4" t="s">
        <v>2187</v>
      </c>
      <c r="B883" s="13" t="s">
        <v>48</v>
      </c>
      <c r="C883" s="4">
        <v>1.0</v>
      </c>
      <c r="D883" s="3"/>
      <c r="E883" s="3"/>
      <c r="F883" s="4">
        <v>9.0</v>
      </c>
      <c r="G883" s="3"/>
      <c r="H883" s="3"/>
      <c r="I883" s="3"/>
      <c r="J883" s="4" t="s">
        <v>1757</v>
      </c>
    </row>
    <row r="884">
      <c r="A884" s="4" t="s">
        <v>2188</v>
      </c>
      <c r="B884" s="13" t="s">
        <v>48</v>
      </c>
      <c r="C884" s="4">
        <v>1.0</v>
      </c>
      <c r="D884" s="3"/>
      <c r="E884" s="3"/>
      <c r="F884" s="4">
        <v>9.0</v>
      </c>
      <c r="G884" s="3"/>
      <c r="H884" s="3"/>
      <c r="I884" s="3"/>
      <c r="J884" s="4" t="s">
        <v>1757</v>
      </c>
    </row>
    <row r="885">
      <c r="A885" s="4" t="s">
        <v>2189</v>
      </c>
      <c r="B885" s="13" t="s">
        <v>48</v>
      </c>
      <c r="C885" s="4">
        <v>1.0</v>
      </c>
      <c r="D885" s="3"/>
      <c r="E885" s="3"/>
      <c r="F885" s="4">
        <v>9.0</v>
      </c>
      <c r="G885" s="3"/>
      <c r="H885" s="3"/>
      <c r="I885" s="3"/>
      <c r="J885" s="4" t="s">
        <v>1757</v>
      </c>
    </row>
    <row r="886">
      <c r="A886" s="4" t="s">
        <v>2190</v>
      </c>
      <c r="B886" s="13" t="s">
        <v>48</v>
      </c>
      <c r="C886" s="4">
        <v>1.0</v>
      </c>
      <c r="D886" s="3"/>
      <c r="E886" s="3"/>
      <c r="F886" s="4">
        <v>9.0</v>
      </c>
      <c r="G886" s="3"/>
      <c r="H886" s="3"/>
      <c r="I886" s="3"/>
      <c r="J886" s="4" t="s">
        <v>1757</v>
      </c>
    </row>
    <row r="887">
      <c r="A887" s="4" t="s">
        <v>2191</v>
      </c>
      <c r="B887" s="13" t="s">
        <v>48</v>
      </c>
      <c r="C887" s="4">
        <v>1.0</v>
      </c>
      <c r="D887" s="3"/>
      <c r="E887" s="3"/>
      <c r="F887" s="4">
        <v>9.0</v>
      </c>
      <c r="G887" s="3"/>
      <c r="H887" s="3"/>
      <c r="I887" s="3"/>
      <c r="J887" s="4" t="s">
        <v>1757</v>
      </c>
    </row>
    <row r="888">
      <c r="A888" s="4" t="s">
        <v>2192</v>
      </c>
      <c r="B888" s="13" t="s">
        <v>48</v>
      </c>
      <c r="C888" s="4">
        <v>1.0</v>
      </c>
      <c r="D888" s="3"/>
      <c r="E888" s="3"/>
      <c r="F888" s="4">
        <v>9.0</v>
      </c>
      <c r="G888" s="3"/>
      <c r="H888" s="3"/>
      <c r="I888" s="3"/>
      <c r="J888" s="4" t="s">
        <v>1757</v>
      </c>
    </row>
    <row r="889">
      <c r="A889" s="4" t="s">
        <v>2193</v>
      </c>
      <c r="B889" s="13" t="s">
        <v>48</v>
      </c>
      <c r="C889" s="4">
        <v>1.0</v>
      </c>
      <c r="D889" s="3"/>
      <c r="E889" s="3"/>
      <c r="F889" s="4">
        <v>9.0</v>
      </c>
      <c r="G889" s="3"/>
      <c r="H889" s="3"/>
      <c r="I889" s="3"/>
      <c r="J889" s="4" t="s">
        <v>1757</v>
      </c>
    </row>
    <row r="890">
      <c r="A890" s="4" t="s">
        <v>2194</v>
      </c>
      <c r="B890" s="13" t="s">
        <v>48</v>
      </c>
      <c r="C890" s="4">
        <v>1.0</v>
      </c>
      <c r="D890" s="3"/>
      <c r="E890" s="3"/>
      <c r="F890" s="4">
        <v>9.0</v>
      </c>
      <c r="G890" s="3"/>
      <c r="H890" s="3"/>
      <c r="I890" s="3"/>
      <c r="J890" s="4" t="s">
        <v>1757</v>
      </c>
    </row>
    <row r="891">
      <c r="A891" s="4" t="s">
        <v>2195</v>
      </c>
      <c r="B891" s="13" t="s">
        <v>48</v>
      </c>
      <c r="C891" s="4">
        <v>1.0</v>
      </c>
      <c r="D891" s="3"/>
      <c r="E891" s="3"/>
      <c r="F891" s="4">
        <v>9.0</v>
      </c>
      <c r="G891" s="3"/>
      <c r="H891" s="3"/>
      <c r="I891" s="3"/>
      <c r="J891" s="4" t="s">
        <v>1757</v>
      </c>
    </row>
    <row r="892">
      <c r="A892" s="4" t="s">
        <v>2196</v>
      </c>
      <c r="B892" s="13" t="s">
        <v>48</v>
      </c>
      <c r="C892" s="4">
        <v>1.0</v>
      </c>
      <c r="D892" s="3"/>
      <c r="E892" s="3"/>
      <c r="F892" s="4">
        <v>9.0</v>
      </c>
      <c r="G892" s="3"/>
      <c r="H892" s="3"/>
      <c r="I892" s="3"/>
      <c r="J892" s="4" t="s">
        <v>1757</v>
      </c>
    </row>
    <row r="893">
      <c r="A893" s="4" t="s">
        <v>2197</v>
      </c>
      <c r="B893" s="13" t="s">
        <v>48</v>
      </c>
      <c r="C893" s="4">
        <v>1.0</v>
      </c>
      <c r="D893" s="3"/>
      <c r="E893" s="3"/>
      <c r="F893" s="4">
        <v>9.0</v>
      </c>
      <c r="G893" s="3"/>
      <c r="H893" s="3"/>
      <c r="I893" s="3"/>
      <c r="J893" s="4" t="s">
        <v>1757</v>
      </c>
    </row>
    <row r="894">
      <c r="A894" s="4" t="s">
        <v>2198</v>
      </c>
      <c r="B894" s="13" t="s">
        <v>48</v>
      </c>
      <c r="C894" s="4">
        <v>1.0</v>
      </c>
      <c r="D894" s="3"/>
      <c r="E894" s="3"/>
      <c r="F894" s="4">
        <v>9.0</v>
      </c>
      <c r="G894" s="3"/>
      <c r="H894" s="3"/>
      <c r="I894" s="3"/>
      <c r="J894" s="4" t="s">
        <v>1757</v>
      </c>
    </row>
    <row r="895">
      <c r="A895" s="4" t="s">
        <v>2199</v>
      </c>
      <c r="B895" s="13" t="s">
        <v>43</v>
      </c>
      <c r="D895" s="3"/>
      <c r="E895" s="3"/>
      <c r="F895" s="3"/>
      <c r="G895" s="3"/>
      <c r="H895" s="3"/>
      <c r="I895" s="3"/>
      <c r="J895" s="4" t="s">
        <v>1757</v>
      </c>
    </row>
    <row r="896">
      <c r="A896" s="4" t="s">
        <v>2200</v>
      </c>
      <c r="B896" s="13" t="s">
        <v>43</v>
      </c>
      <c r="D896" s="3"/>
      <c r="E896" s="3"/>
      <c r="F896" s="3"/>
      <c r="G896" s="3"/>
      <c r="H896" s="3"/>
      <c r="I896" s="3"/>
      <c r="J896" s="4" t="s">
        <v>1757</v>
      </c>
    </row>
    <row r="897">
      <c r="A897" s="4" t="s">
        <v>2201</v>
      </c>
      <c r="B897" s="13" t="s">
        <v>43</v>
      </c>
      <c r="D897" s="3"/>
      <c r="E897" s="3"/>
      <c r="F897" s="3"/>
      <c r="G897" s="3"/>
      <c r="H897" s="3"/>
      <c r="I897" s="3"/>
      <c r="J897" s="4" t="s">
        <v>1757</v>
      </c>
    </row>
    <row r="898">
      <c r="A898" s="4" t="s">
        <v>2202</v>
      </c>
      <c r="B898" s="13" t="s">
        <v>43</v>
      </c>
      <c r="D898" s="3"/>
      <c r="E898" s="3"/>
      <c r="F898" s="3"/>
      <c r="G898" s="3"/>
      <c r="H898" s="3"/>
      <c r="I898" s="3"/>
      <c r="J898" s="4" t="s">
        <v>1757</v>
      </c>
    </row>
    <row r="899">
      <c r="A899" s="4" t="s">
        <v>2203</v>
      </c>
      <c r="B899" s="13" t="s">
        <v>43</v>
      </c>
      <c r="D899" s="3"/>
      <c r="E899" s="3"/>
      <c r="F899" s="3"/>
      <c r="G899" s="3"/>
      <c r="H899" s="3"/>
      <c r="I899" s="3"/>
      <c r="J899" s="4" t="s">
        <v>1757</v>
      </c>
    </row>
    <row r="900">
      <c r="A900" s="4" t="s">
        <v>2204</v>
      </c>
      <c r="B900" s="13" t="s">
        <v>43</v>
      </c>
      <c r="D900" s="3"/>
      <c r="E900" s="3"/>
      <c r="F900" s="3"/>
      <c r="G900" s="3"/>
      <c r="H900" s="3"/>
      <c r="I900" s="3"/>
    </row>
    <row r="901">
      <c r="A901" s="4" t="s">
        <v>2205</v>
      </c>
      <c r="B901" s="13" t="s">
        <v>43</v>
      </c>
      <c r="D901" s="3"/>
      <c r="E901" s="3"/>
      <c r="F901" s="3"/>
      <c r="G901" s="3"/>
      <c r="H901" s="3"/>
      <c r="I901" s="3"/>
    </row>
    <row r="902">
      <c r="A902" s="4" t="s">
        <v>2206</v>
      </c>
      <c r="B902" s="13" t="s">
        <v>43</v>
      </c>
      <c r="D902" s="3"/>
      <c r="E902" s="3"/>
      <c r="F902" s="3"/>
      <c r="G902" s="3"/>
      <c r="H902" s="3"/>
      <c r="I902" s="3"/>
    </row>
    <row r="903">
      <c r="A903" s="4" t="s">
        <v>2207</v>
      </c>
      <c r="B903" s="13" t="s">
        <v>43</v>
      </c>
      <c r="D903" s="3"/>
      <c r="E903" s="3"/>
      <c r="F903" s="3"/>
      <c r="G903" s="3"/>
      <c r="H903" s="3"/>
      <c r="I903" s="3"/>
    </row>
    <row r="904">
      <c r="A904" s="4" t="s">
        <v>2208</v>
      </c>
      <c r="B904" s="13" t="s">
        <v>43</v>
      </c>
      <c r="D904" s="3"/>
      <c r="E904" s="3"/>
      <c r="F904" s="3"/>
      <c r="G904" s="3"/>
      <c r="H904" s="3"/>
      <c r="I904" s="3"/>
    </row>
    <row r="905">
      <c r="A905" s="4" t="s">
        <v>2209</v>
      </c>
      <c r="B905" s="13" t="s">
        <v>43</v>
      </c>
      <c r="D905" s="3"/>
      <c r="E905" s="3"/>
      <c r="F905" s="3"/>
      <c r="G905" s="3"/>
      <c r="H905" s="3"/>
      <c r="I905" s="3"/>
    </row>
    <row r="906">
      <c r="A906" s="4" t="s">
        <v>2210</v>
      </c>
      <c r="B906" s="13" t="s">
        <v>43</v>
      </c>
      <c r="D906" s="3"/>
      <c r="E906" s="3"/>
      <c r="F906" s="3"/>
      <c r="G906" s="3"/>
      <c r="H906" s="3"/>
      <c r="I906" s="3"/>
    </row>
    <row r="907">
      <c r="A907" s="4" t="s">
        <v>2211</v>
      </c>
      <c r="B907" s="13" t="s">
        <v>43</v>
      </c>
      <c r="D907" s="3"/>
      <c r="E907" s="3"/>
      <c r="F907" s="3"/>
      <c r="G907" s="3"/>
      <c r="H907" s="3"/>
      <c r="I907" s="3"/>
    </row>
    <row r="908">
      <c r="A908" s="4" t="s">
        <v>2212</v>
      </c>
      <c r="B908" s="13" t="s">
        <v>43</v>
      </c>
      <c r="D908" s="3"/>
      <c r="E908" s="3"/>
      <c r="F908" s="3"/>
      <c r="G908" s="3"/>
      <c r="H908" s="3"/>
      <c r="I908" s="3"/>
    </row>
    <row r="909">
      <c r="A909" s="4" t="s">
        <v>2213</v>
      </c>
      <c r="B909" s="13" t="s">
        <v>43</v>
      </c>
      <c r="D909" s="3"/>
      <c r="E909" s="3"/>
      <c r="F909" s="3"/>
      <c r="G909" s="3"/>
      <c r="H909" s="3"/>
      <c r="I909" s="3"/>
    </row>
    <row r="910">
      <c r="A910" s="4" t="s">
        <v>2214</v>
      </c>
      <c r="B910" s="13" t="s">
        <v>43</v>
      </c>
      <c r="D910" s="3"/>
      <c r="E910" s="3"/>
      <c r="F910" s="3"/>
      <c r="G910" s="3"/>
      <c r="H910" s="3"/>
      <c r="I910" s="3"/>
    </row>
    <row r="911">
      <c r="A911" s="4" t="s">
        <v>2215</v>
      </c>
      <c r="B911" s="13" t="s">
        <v>43</v>
      </c>
      <c r="D911" s="3"/>
      <c r="E911" s="3"/>
      <c r="F911" s="3"/>
      <c r="G911" s="3"/>
      <c r="H911" s="3"/>
      <c r="I911" s="3"/>
    </row>
    <row r="912">
      <c r="A912" s="4" t="s">
        <v>2216</v>
      </c>
      <c r="B912" s="13" t="s">
        <v>43</v>
      </c>
      <c r="D912" s="3"/>
      <c r="E912" s="3"/>
      <c r="F912" s="3"/>
      <c r="G912" s="3"/>
      <c r="H912" s="3"/>
      <c r="I912" s="3"/>
    </row>
    <row r="913">
      <c r="A913" s="4" t="s">
        <v>2217</v>
      </c>
      <c r="B913" s="13" t="s">
        <v>43</v>
      </c>
      <c r="D913" s="3"/>
      <c r="E913" s="3"/>
      <c r="F913" s="3"/>
      <c r="G913" s="3"/>
      <c r="H913" s="3"/>
      <c r="I913" s="3"/>
    </row>
    <row r="914">
      <c r="A914" s="4" t="s">
        <v>2218</v>
      </c>
      <c r="B914" s="13" t="s">
        <v>43</v>
      </c>
      <c r="D914" s="3"/>
      <c r="E914" s="3"/>
      <c r="F914" s="3"/>
      <c r="G914" s="3"/>
      <c r="H914" s="3"/>
      <c r="I914" s="3"/>
    </row>
    <row r="915">
      <c r="A915" s="4" t="s">
        <v>2219</v>
      </c>
      <c r="B915" s="13" t="s">
        <v>43</v>
      </c>
      <c r="D915" s="3"/>
      <c r="E915" s="3"/>
      <c r="F915" s="3"/>
      <c r="G915" s="3"/>
      <c r="H915" s="3"/>
      <c r="I915" s="3"/>
    </row>
    <row r="916">
      <c r="A916" s="4" t="s">
        <v>2220</v>
      </c>
      <c r="B916" s="13" t="s">
        <v>43</v>
      </c>
      <c r="D916" s="3"/>
      <c r="E916" s="3"/>
      <c r="F916" s="3"/>
      <c r="G916" s="3"/>
      <c r="H916" s="3"/>
      <c r="I916" s="3"/>
    </row>
    <row r="917">
      <c r="A917" s="4" t="s">
        <v>2221</v>
      </c>
      <c r="B917" s="13" t="s">
        <v>43</v>
      </c>
      <c r="D917" s="3"/>
      <c r="E917" s="3"/>
      <c r="F917" s="3"/>
      <c r="G917" s="3"/>
      <c r="H917" s="3"/>
      <c r="I917" s="3"/>
    </row>
    <row r="918">
      <c r="A918" s="4" t="s">
        <v>2222</v>
      </c>
      <c r="B918" s="13" t="s">
        <v>43</v>
      </c>
      <c r="D918" s="3"/>
      <c r="E918" s="3"/>
      <c r="F918" s="3"/>
      <c r="G918" s="3"/>
      <c r="H918" s="3"/>
      <c r="I918" s="3"/>
    </row>
    <row r="919">
      <c r="A919" s="4" t="s">
        <v>2223</v>
      </c>
      <c r="B919" s="13" t="s">
        <v>43</v>
      </c>
      <c r="D919" s="3"/>
      <c r="E919" s="3"/>
      <c r="F919" s="3"/>
      <c r="G919" s="3"/>
      <c r="H919" s="3"/>
      <c r="I919" s="3"/>
    </row>
    <row r="920">
      <c r="A920" s="4" t="s">
        <v>2224</v>
      </c>
      <c r="B920" s="13" t="s">
        <v>43</v>
      </c>
      <c r="D920" s="3"/>
      <c r="E920" s="3"/>
      <c r="F920" s="3"/>
      <c r="G920" s="3"/>
      <c r="H920" s="3"/>
      <c r="I920" s="3"/>
    </row>
    <row r="921">
      <c r="A921" s="4" t="s">
        <v>2225</v>
      </c>
      <c r="B921" s="13" t="s">
        <v>43</v>
      </c>
      <c r="D921" s="3"/>
      <c r="E921" s="3"/>
      <c r="F921" s="3"/>
      <c r="G921" s="3"/>
      <c r="H921" s="3"/>
      <c r="I921" s="3"/>
    </row>
    <row r="922">
      <c r="A922" s="4" t="s">
        <v>2226</v>
      </c>
      <c r="B922" s="13" t="s">
        <v>43</v>
      </c>
      <c r="D922" s="3"/>
      <c r="E922" s="3"/>
      <c r="F922" s="3"/>
      <c r="G922" s="3"/>
      <c r="H922" s="3"/>
      <c r="I922" s="3"/>
    </row>
    <row r="923">
      <c r="A923" s="4" t="s">
        <v>2227</v>
      </c>
      <c r="B923" s="13" t="s">
        <v>48</v>
      </c>
      <c r="C923" s="4">
        <v>1.0</v>
      </c>
      <c r="D923" s="4">
        <v>1.0</v>
      </c>
      <c r="E923" s="3"/>
      <c r="F923" s="3"/>
      <c r="G923" s="3"/>
      <c r="H923" s="3"/>
      <c r="I923" s="3"/>
    </row>
    <row r="924">
      <c r="A924" s="4" t="s">
        <v>2228</v>
      </c>
      <c r="B924" s="13" t="s">
        <v>43</v>
      </c>
      <c r="D924" s="3"/>
      <c r="E924" s="3"/>
      <c r="F924" s="3"/>
      <c r="G924" s="3"/>
      <c r="H924" s="3"/>
      <c r="I924" s="3"/>
    </row>
    <row r="925">
      <c r="A925" s="4" t="s">
        <v>2229</v>
      </c>
      <c r="B925" s="13" t="s">
        <v>48</v>
      </c>
      <c r="C925" s="4">
        <v>1.0</v>
      </c>
      <c r="D925" s="4">
        <v>1.0</v>
      </c>
      <c r="E925" s="3"/>
      <c r="F925" s="3"/>
      <c r="G925" s="3"/>
      <c r="H925" s="3"/>
      <c r="I925" s="3"/>
    </row>
    <row r="926">
      <c r="A926" s="4" t="s">
        <v>2230</v>
      </c>
      <c r="B926" s="13" t="s">
        <v>48</v>
      </c>
      <c r="C926" s="4">
        <v>1.0</v>
      </c>
      <c r="D926" s="4">
        <v>1.0</v>
      </c>
      <c r="E926" s="3"/>
      <c r="F926" s="3"/>
      <c r="G926" s="3"/>
      <c r="H926" s="3"/>
      <c r="I926" s="3"/>
    </row>
    <row r="927">
      <c r="A927" s="4" t="s">
        <v>2231</v>
      </c>
      <c r="B927" s="13" t="s">
        <v>48</v>
      </c>
      <c r="C927" s="4">
        <v>1.0</v>
      </c>
      <c r="D927" s="4">
        <v>1.0</v>
      </c>
      <c r="E927" s="3"/>
      <c r="F927" s="3"/>
      <c r="G927" s="3"/>
      <c r="H927" s="3"/>
      <c r="I927" s="3"/>
    </row>
    <row r="928">
      <c r="A928" s="4" t="s">
        <v>2232</v>
      </c>
      <c r="B928" s="13" t="s">
        <v>43</v>
      </c>
      <c r="D928" s="3"/>
      <c r="E928" s="3"/>
      <c r="F928" s="3"/>
      <c r="G928" s="3"/>
      <c r="H928" s="3"/>
      <c r="I928" s="3"/>
    </row>
    <row r="929">
      <c r="A929" s="4" t="s">
        <v>2233</v>
      </c>
      <c r="B929" s="13" t="s">
        <v>43</v>
      </c>
      <c r="D929" s="3"/>
      <c r="E929" s="3"/>
      <c r="F929" s="3"/>
      <c r="G929" s="3"/>
      <c r="H929" s="3"/>
      <c r="I929" s="3"/>
    </row>
    <row r="930">
      <c r="A930" s="4" t="s">
        <v>2234</v>
      </c>
      <c r="B930" s="13" t="s">
        <v>43</v>
      </c>
      <c r="D930" s="3"/>
      <c r="E930" s="3"/>
      <c r="F930" s="3"/>
      <c r="G930" s="3"/>
      <c r="H930" s="3"/>
      <c r="I930" s="3"/>
    </row>
    <row r="931">
      <c r="A931" s="4" t="s">
        <v>2235</v>
      </c>
      <c r="B931" s="13" t="s">
        <v>43</v>
      </c>
      <c r="D931" s="3"/>
      <c r="E931" s="3"/>
      <c r="F931" s="3"/>
      <c r="G931" s="3"/>
      <c r="H931" s="3"/>
      <c r="I931" s="3"/>
    </row>
    <row r="932">
      <c r="A932" s="4" t="s">
        <v>2236</v>
      </c>
      <c r="B932" s="13" t="s">
        <v>43</v>
      </c>
      <c r="D932" s="3"/>
      <c r="E932" s="3"/>
      <c r="F932" s="3"/>
      <c r="G932" s="3"/>
      <c r="H932" s="3"/>
      <c r="I932" s="3"/>
    </row>
    <row r="933">
      <c r="A933" s="4" t="s">
        <v>2237</v>
      </c>
      <c r="B933" s="13" t="s">
        <v>48</v>
      </c>
      <c r="C933" s="4">
        <v>1.0</v>
      </c>
      <c r="D933" s="4">
        <v>1.0</v>
      </c>
      <c r="E933" s="3"/>
      <c r="F933" s="3"/>
      <c r="G933" s="3"/>
      <c r="H933" s="3"/>
      <c r="I933" s="3"/>
    </row>
    <row r="934">
      <c r="A934" s="4" t="s">
        <v>2238</v>
      </c>
      <c r="B934" s="13" t="s">
        <v>48</v>
      </c>
      <c r="C934" s="4">
        <v>1.0</v>
      </c>
      <c r="D934" s="4">
        <v>1.0</v>
      </c>
      <c r="E934" s="3"/>
      <c r="F934" s="3"/>
      <c r="G934" s="3"/>
      <c r="H934" s="3"/>
      <c r="I934" s="3"/>
    </row>
    <row r="935">
      <c r="A935" s="4" t="s">
        <v>2239</v>
      </c>
      <c r="B935" s="13" t="s">
        <v>48</v>
      </c>
      <c r="C935" s="4">
        <v>1.0</v>
      </c>
      <c r="D935" s="4">
        <v>1.0</v>
      </c>
      <c r="E935" s="3"/>
      <c r="F935" s="3"/>
      <c r="G935" s="3"/>
      <c r="H935" s="3"/>
      <c r="I935" s="3"/>
    </row>
    <row r="936">
      <c r="A936" s="4" t="s">
        <v>2240</v>
      </c>
      <c r="B936" s="13" t="s">
        <v>48</v>
      </c>
      <c r="C936" s="4">
        <v>1.0</v>
      </c>
      <c r="D936" s="4">
        <v>1.0</v>
      </c>
      <c r="E936" s="3"/>
      <c r="F936" s="3"/>
      <c r="G936" s="3"/>
      <c r="H936" s="3"/>
      <c r="I936" s="3"/>
    </row>
    <row r="937">
      <c r="A937" s="4" t="s">
        <v>2241</v>
      </c>
      <c r="B937" s="13" t="s">
        <v>48</v>
      </c>
      <c r="C937" s="4">
        <v>1.0</v>
      </c>
      <c r="D937" s="4">
        <v>1.0</v>
      </c>
      <c r="E937" s="3"/>
      <c r="F937" s="3"/>
      <c r="G937" s="3"/>
      <c r="H937" s="3"/>
      <c r="I937" s="3"/>
    </row>
    <row r="938">
      <c r="A938" s="4" t="s">
        <v>2242</v>
      </c>
      <c r="B938" s="13" t="s">
        <v>48</v>
      </c>
      <c r="C938" s="4">
        <v>1.0</v>
      </c>
      <c r="D938" s="4">
        <v>1.0</v>
      </c>
      <c r="E938" s="3"/>
      <c r="F938" s="3"/>
      <c r="G938" s="3"/>
      <c r="H938" s="3"/>
      <c r="I938" s="3"/>
    </row>
    <row r="939">
      <c r="A939" s="4" t="s">
        <v>2243</v>
      </c>
      <c r="B939" s="13" t="s">
        <v>48</v>
      </c>
      <c r="C939" s="4">
        <v>1.0</v>
      </c>
      <c r="D939" s="4">
        <v>1.0</v>
      </c>
      <c r="E939" s="3"/>
      <c r="F939" s="3"/>
      <c r="G939" s="3"/>
      <c r="H939" s="3"/>
      <c r="I939" s="3"/>
    </row>
    <row r="940">
      <c r="A940" s="4" t="s">
        <v>2244</v>
      </c>
      <c r="B940" s="13" t="s">
        <v>48</v>
      </c>
      <c r="C940" s="4">
        <v>1.0</v>
      </c>
      <c r="D940" s="4">
        <v>1.0</v>
      </c>
      <c r="E940" s="3"/>
      <c r="F940" s="3"/>
      <c r="G940" s="3"/>
      <c r="H940" s="3"/>
      <c r="I940" s="3"/>
    </row>
    <row r="941">
      <c r="A941" s="4" t="s">
        <v>2245</v>
      </c>
      <c r="B941" s="13" t="s">
        <v>48</v>
      </c>
      <c r="C941" s="4">
        <v>1.0</v>
      </c>
      <c r="D941" s="4">
        <v>1.0</v>
      </c>
      <c r="E941" s="3"/>
      <c r="F941" s="3"/>
      <c r="G941" s="3"/>
      <c r="H941" s="3"/>
      <c r="I941" s="3"/>
    </row>
    <row r="942">
      <c r="A942" s="4" t="s">
        <v>2246</v>
      </c>
      <c r="B942" s="13" t="s">
        <v>48</v>
      </c>
      <c r="C942" s="4">
        <v>1.0</v>
      </c>
      <c r="D942" s="4">
        <v>1.0</v>
      </c>
      <c r="E942" s="3"/>
      <c r="F942" s="3"/>
      <c r="G942" s="3"/>
      <c r="H942" s="3"/>
      <c r="I942" s="3"/>
    </row>
    <row r="943">
      <c r="A943" s="4" t="s">
        <v>2247</v>
      </c>
      <c r="B943" s="13" t="s">
        <v>48</v>
      </c>
      <c r="C943" s="4">
        <v>1.0</v>
      </c>
      <c r="D943" s="4">
        <v>1.0</v>
      </c>
      <c r="E943" s="3"/>
      <c r="F943" s="3"/>
      <c r="G943" s="3"/>
      <c r="H943" s="3"/>
      <c r="I943" s="3"/>
    </row>
    <row r="944">
      <c r="A944" s="4" t="s">
        <v>2248</v>
      </c>
      <c r="B944" s="13" t="s">
        <v>48</v>
      </c>
      <c r="C944" s="4">
        <v>1.0</v>
      </c>
      <c r="D944" s="4">
        <v>1.0</v>
      </c>
      <c r="E944" s="3"/>
      <c r="F944" s="3"/>
      <c r="G944" s="3"/>
      <c r="H944" s="3"/>
      <c r="I944" s="3"/>
    </row>
    <row r="945">
      <c r="A945" s="4" t="s">
        <v>2249</v>
      </c>
      <c r="B945" s="13" t="s">
        <v>48</v>
      </c>
      <c r="C945" s="4">
        <v>1.0</v>
      </c>
      <c r="D945" s="4">
        <v>1.0</v>
      </c>
      <c r="E945" s="3"/>
      <c r="F945" s="3"/>
      <c r="G945" s="3"/>
      <c r="H945" s="3"/>
      <c r="I945" s="3"/>
    </row>
    <row r="946">
      <c r="A946" s="4" t="s">
        <v>2250</v>
      </c>
      <c r="B946" s="13" t="s">
        <v>48</v>
      </c>
      <c r="C946" s="4">
        <v>1.0</v>
      </c>
      <c r="D946" s="4">
        <v>1.0</v>
      </c>
      <c r="E946" s="3"/>
      <c r="F946" s="3"/>
      <c r="G946" s="3"/>
      <c r="H946" s="3"/>
      <c r="I946" s="3"/>
    </row>
    <row r="947">
      <c r="A947" s="4" t="s">
        <v>2251</v>
      </c>
      <c r="B947" s="13" t="s">
        <v>48</v>
      </c>
      <c r="C947" s="4">
        <v>1.0</v>
      </c>
      <c r="D947" s="4">
        <v>1.0</v>
      </c>
      <c r="E947" s="3"/>
      <c r="F947" s="3"/>
      <c r="G947" s="3"/>
      <c r="H947" s="3"/>
      <c r="I947" s="3"/>
    </row>
    <row r="948">
      <c r="A948" s="4" t="s">
        <v>2252</v>
      </c>
      <c r="B948" s="13" t="s">
        <v>48</v>
      </c>
      <c r="C948" s="4">
        <v>1.0</v>
      </c>
      <c r="D948" s="4">
        <v>1.0</v>
      </c>
      <c r="E948" s="3"/>
      <c r="F948" s="3"/>
      <c r="G948" s="3"/>
      <c r="H948" s="3"/>
      <c r="I948" s="3"/>
    </row>
    <row r="949">
      <c r="A949" s="4" t="s">
        <v>2253</v>
      </c>
      <c r="B949" s="13" t="s">
        <v>48</v>
      </c>
      <c r="C949" s="4">
        <v>1.0</v>
      </c>
      <c r="D949" s="4">
        <v>1.0</v>
      </c>
      <c r="E949" s="3"/>
      <c r="F949" s="3"/>
      <c r="G949" s="3"/>
      <c r="H949" s="3"/>
      <c r="I949" s="3"/>
    </row>
    <row r="950">
      <c r="A950" s="4" t="s">
        <v>2254</v>
      </c>
      <c r="B950" s="13" t="s">
        <v>48</v>
      </c>
      <c r="C950" s="4">
        <v>1.0</v>
      </c>
      <c r="D950" s="4">
        <v>1.0</v>
      </c>
      <c r="E950" s="3"/>
      <c r="F950" s="3"/>
      <c r="G950" s="3"/>
      <c r="H950" s="3"/>
      <c r="I950" s="3"/>
    </row>
    <row r="951">
      <c r="A951" s="4" t="s">
        <v>2255</v>
      </c>
      <c r="B951" s="13" t="s">
        <v>48</v>
      </c>
      <c r="C951" s="4">
        <v>1.0</v>
      </c>
      <c r="D951" s="4">
        <v>1.0</v>
      </c>
      <c r="E951" s="3"/>
      <c r="F951" s="3"/>
      <c r="G951" s="3"/>
      <c r="H951" s="3"/>
      <c r="I951" s="3"/>
    </row>
    <row r="952">
      <c r="A952" s="4" t="s">
        <v>2256</v>
      </c>
      <c r="B952" s="13" t="s">
        <v>48</v>
      </c>
      <c r="C952" s="4">
        <v>1.0</v>
      </c>
      <c r="D952" s="4">
        <v>1.0</v>
      </c>
      <c r="E952" s="3"/>
      <c r="F952" s="3"/>
      <c r="G952" s="3"/>
      <c r="H952" s="3"/>
      <c r="I952" s="3"/>
    </row>
    <row r="953">
      <c r="A953" s="4" t="s">
        <v>2257</v>
      </c>
      <c r="B953" s="13" t="s">
        <v>48</v>
      </c>
      <c r="C953" s="4">
        <v>1.0</v>
      </c>
      <c r="D953" s="4">
        <v>1.0</v>
      </c>
      <c r="E953" s="3"/>
      <c r="F953" s="3"/>
      <c r="G953" s="3"/>
      <c r="H953" s="3"/>
      <c r="I953" s="3"/>
    </row>
    <row r="954">
      <c r="A954" s="4" t="s">
        <v>2258</v>
      </c>
      <c r="B954" s="13" t="s">
        <v>48</v>
      </c>
      <c r="C954" s="4">
        <v>1.0</v>
      </c>
      <c r="D954" s="4">
        <v>1.0</v>
      </c>
      <c r="E954" s="3"/>
      <c r="F954" s="3"/>
      <c r="G954" s="3"/>
      <c r="H954" s="3"/>
      <c r="I954" s="3"/>
    </row>
    <row r="955">
      <c r="A955" s="4" t="s">
        <v>2259</v>
      </c>
      <c r="B955" s="13" t="s">
        <v>48</v>
      </c>
      <c r="C955" s="4">
        <v>1.0</v>
      </c>
      <c r="D955" s="4">
        <v>1.0</v>
      </c>
      <c r="E955" s="3"/>
      <c r="F955" s="3"/>
      <c r="G955" s="3"/>
      <c r="H955" s="3"/>
      <c r="I955" s="3"/>
    </row>
    <row r="956">
      <c r="A956" s="4" t="s">
        <v>2260</v>
      </c>
      <c r="B956" s="13" t="s">
        <v>48</v>
      </c>
      <c r="C956" s="4">
        <v>1.0</v>
      </c>
      <c r="D956" s="4">
        <v>1.0</v>
      </c>
      <c r="E956" s="3"/>
      <c r="F956" s="3"/>
      <c r="G956" s="3"/>
      <c r="H956" s="3"/>
      <c r="I956" s="3"/>
    </row>
    <row r="957">
      <c r="A957" s="4" t="s">
        <v>2261</v>
      </c>
      <c r="B957" s="13" t="s">
        <v>48</v>
      </c>
      <c r="C957" s="4">
        <v>1.0</v>
      </c>
      <c r="D957" s="4">
        <v>1.0</v>
      </c>
      <c r="E957" s="3"/>
      <c r="F957" s="3"/>
      <c r="G957" s="3"/>
      <c r="H957" s="3"/>
      <c r="I957" s="3"/>
    </row>
    <row r="958">
      <c r="A958" s="4" t="s">
        <v>2262</v>
      </c>
      <c r="B958" s="13" t="s">
        <v>48</v>
      </c>
      <c r="C958" s="4">
        <v>1.0</v>
      </c>
      <c r="D958" s="4">
        <v>1.0</v>
      </c>
      <c r="E958" s="3"/>
      <c r="F958" s="3"/>
      <c r="G958" s="3"/>
      <c r="H958" s="3"/>
      <c r="I958" s="3"/>
    </row>
    <row r="959">
      <c r="A959" s="4" t="s">
        <v>2263</v>
      </c>
      <c r="B959" s="13" t="s">
        <v>48</v>
      </c>
      <c r="C959" s="4">
        <v>1.0</v>
      </c>
      <c r="D959" s="4">
        <v>1.0</v>
      </c>
      <c r="E959" s="3"/>
      <c r="F959" s="3"/>
      <c r="G959" s="3"/>
      <c r="H959" s="3"/>
      <c r="I959" s="3"/>
    </row>
    <row r="960">
      <c r="A960" s="4" t="s">
        <v>2264</v>
      </c>
      <c r="B960" s="13" t="s">
        <v>48</v>
      </c>
      <c r="C960" s="4">
        <v>1.0</v>
      </c>
      <c r="D960" s="4">
        <v>1.0</v>
      </c>
      <c r="E960" s="3"/>
      <c r="F960" s="3"/>
      <c r="G960" s="3"/>
      <c r="H960" s="3"/>
      <c r="I960" s="3"/>
    </row>
    <row r="961">
      <c r="A961" s="4" t="s">
        <v>2265</v>
      </c>
      <c r="B961" s="13" t="s">
        <v>48</v>
      </c>
      <c r="C961" s="4">
        <v>1.0</v>
      </c>
      <c r="D961" s="4">
        <v>1.0</v>
      </c>
      <c r="E961" s="3"/>
      <c r="F961" s="3"/>
      <c r="G961" s="3"/>
      <c r="H961" s="3"/>
      <c r="I961" s="3"/>
    </row>
    <row r="962">
      <c r="A962" s="4" t="s">
        <v>2266</v>
      </c>
      <c r="B962" s="13" t="s">
        <v>48</v>
      </c>
      <c r="C962" s="4">
        <v>1.0</v>
      </c>
      <c r="D962" s="4">
        <v>1.0</v>
      </c>
      <c r="E962" s="3"/>
      <c r="F962" s="3"/>
      <c r="G962" s="3"/>
      <c r="H962" s="3"/>
      <c r="I962" s="3"/>
    </row>
    <row r="963">
      <c r="A963" s="4" t="s">
        <v>2267</v>
      </c>
      <c r="B963" s="13" t="s">
        <v>48</v>
      </c>
      <c r="C963" s="4">
        <v>1.0</v>
      </c>
      <c r="D963" s="4">
        <v>1.0</v>
      </c>
      <c r="E963" s="3"/>
      <c r="F963" s="3"/>
      <c r="G963" s="3"/>
      <c r="H963" s="3"/>
      <c r="I963" s="3"/>
      <c r="J963" s="4" t="s">
        <v>1757</v>
      </c>
    </row>
    <row r="964">
      <c r="A964" s="4" t="s">
        <v>2268</v>
      </c>
      <c r="B964" s="13" t="s">
        <v>48</v>
      </c>
      <c r="C964" s="4">
        <v>1.0</v>
      </c>
      <c r="D964" s="4">
        <v>1.0</v>
      </c>
      <c r="E964" s="3"/>
      <c r="F964" s="3"/>
      <c r="G964" s="3"/>
      <c r="H964" s="3"/>
      <c r="I964" s="3"/>
      <c r="J964" s="4" t="s">
        <v>1757</v>
      </c>
    </row>
    <row r="965">
      <c r="A965" s="4" t="s">
        <v>2269</v>
      </c>
      <c r="B965" s="13" t="s">
        <v>48</v>
      </c>
      <c r="C965" s="4">
        <v>1.0</v>
      </c>
      <c r="D965" s="4">
        <v>1.0</v>
      </c>
      <c r="E965" s="3"/>
      <c r="F965" s="3"/>
      <c r="G965" s="3"/>
      <c r="H965" s="3"/>
      <c r="I965" s="3"/>
      <c r="J965" s="4" t="s">
        <v>1757</v>
      </c>
    </row>
    <row r="966">
      <c r="A966" s="4" t="s">
        <v>2270</v>
      </c>
      <c r="B966" s="13" t="s">
        <v>48</v>
      </c>
      <c r="C966" s="4">
        <v>1.0</v>
      </c>
      <c r="D966" s="4">
        <v>1.0</v>
      </c>
      <c r="E966" s="3"/>
      <c r="F966" s="3"/>
      <c r="G966" s="3"/>
      <c r="H966" s="3"/>
      <c r="I966" s="3"/>
      <c r="J966" s="4" t="s">
        <v>1757</v>
      </c>
    </row>
    <row r="967">
      <c r="A967" s="4" t="s">
        <v>2271</v>
      </c>
      <c r="B967" s="13" t="s">
        <v>48</v>
      </c>
      <c r="C967" s="4">
        <v>1.0</v>
      </c>
      <c r="D967" s="4">
        <v>1.0</v>
      </c>
      <c r="E967" s="3"/>
      <c r="F967" s="3"/>
      <c r="G967" s="3"/>
      <c r="H967" s="3"/>
      <c r="I967" s="3"/>
      <c r="J967" s="4" t="s">
        <v>1757</v>
      </c>
    </row>
    <row r="968">
      <c r="A968" s="4" t="s">
        <v>2272</v>
      </c>
      <c r="B968" s="13" t="s">
        <v>48</v>
      </c>
      <c r="C968" s="4">
        <v>1.0</v>
      </c>
      <c r="D968" s="4">
        <v>1.0</v>
      </c>
      <c r="E968" s="3"/>
      <c r="F968" s="3"/>
      <c r="G968" s="3"/>
      <c r="H968" s="3"/>
      <c r="I968" s="3"/>
      <c r="J968" s="4" t="s">
        <v>1757</v>
      </c>
    </row>
    <row r="969">
      <c r="A969" s="4" t="s">
        <v>2273</v>
      </c>
      <c r="B969" s="13" t="s">
        <v>48</v>
      </c>
      <c r="C969" s="4">
        <v>1.0</v>
      </c>
      <c r="D969" s="4">
        <v>1.0</v>
      </c>
      <c r="E969" s="3"/>
      <c r="F969" s="3"/>
      <c r="G969" s="3"/>
      <c r="H969" s="3"/>
      <c r="I969" s="3"/>
      <c r="J969" s="4" t="s">
        <v>1757</v>
      </c>
    </row>
    <row r="970">
      <c r="A970" s="4" t="s">
        <v>2274</v>
      </c>
      <c r="B970" s="13" t="s">
        <v>48</v>
      </c>
      <c r="C970" s="4">
        <v>1.0</v>
      </c>
      <c r="D970" s="4">
        <v>1.0</v>
      </c>
      <c r="E970" s="3"/>
      <c r="F970" s="3"/>
      <c r="G970" s="3"/>
      <c r="H970" s="3"/>
      <c r="I970" s="3"/>
      <c r="J970" s="4" t="s">
        <v>1757</v>
      </c>
    </row>
    <row r="971">
      <c r="A971" s="4" t="s">
        <v>2275</v>
      </c>
      <c r="B971" s="13" t="s">
        <v>48</v>
      </c>
      <c r="C971" s="4">
        <v>2.0</v>
      </c>
      <c r="D971" s="4">
        <v>1.0</v>
      </c>
      <c r="E971" s="3"/>
      <c r="F971" s="3"/>
      <c r="G971" s="3"/>
      <c r="H971" s="4">
        <v>13.0</v>
      </c>
      <c r="I971" s="3"/>
      <c r="J971" s="4" t="s">
        <v>1757</v>
      </c>
    </row>
    <row r="972">
      <c r="A972" s="4" t="s">
        <v>2276</v>
      </c>
      <c r="B972" s="13" t="s">
        <v>48</v>
      </c>
      <c r="C972" s="4">
        <v>2.0</v>
      </c>
      <c r="D972" s="4">
        <v>1.0</v>
      </c>
      <c r="E972" s="3"/>
      <c r="F972" s="3"/>
      <c r="G972" s="3"/>
      <c r="H972" s="4">
        <v>13.0</v>
      </c>
      <c r="I972" s="3"/>
      <c r="J972" s="4" t="s">
        <v>1757</v>
      </c>
    </row>
    <row r="973">
      <c r="A973" s="4" t="s">
        <v>2277</v>
      </c>
      <c r="B973" s="13" t="s">
        <v>48</v>
      </c>
      <c r="C973" s="4">
        <v>2.0</v>
      </c>
      <c r="D973" s="4">
        <v>1.0</v>
      </c>
      <c r="E973" s="3"/>
      <c r="F973" s="3"/>
      <c r="G973" s="3"/>
      <c r="H973" s="4">
        <v>13.0</v>
      </c>
      <c r="I973" s="3"/>
      <c r="J973" s="4" t="s">
        <v>1757</v>
      </c>
    </row>
    <row r="974">
      <c r="A974" s="4" t="s">
        <v>2278</v>
      </c>
      <c r="B974" s="13" t="s">
        <v>48</v>
      </c>
      <c r="C974" s="4">
        <v>2.0</v>
      </c>
      <c r="D974" s="4">
        <v>1.0</v>
      </c>
      <c r="E974" s="3"/>
      <c r="F974" s="3"/>
      <c r="G974" s="3"/>
      <c r="H974" s="4">
        <v>13.0</v>
      </c>
      <c r="I974" s="3"/>
      <c r="J974" s="4" t="s">
        <v>1757</v>
      </c>
    </row>
    <row r="975">
      <c r="A975" s="4" t="s">
        <v>2279</v>
      </c>
      <c r="B975" s="13" t="s">
        <v>48</v>
      </c>
      <c r="C975" s="4">
        <v>1.0</v>
      </c>
      <c r="D975" s="3"/>
      <c r="E975" s="3"/>
      <c r="F975" s="3"/>
      <c r="G975" s="3"/>
      <c r="H975" s="4">
        <v>13.0</v>
      </c>
      <c r="I975" s="3"/>
      <c r="J975" s="4" t="s">
        <v>1757</v>
      </c>
    </row>
    <row r="976">
      <c r="A976" s="4" t="s">
        <v>2280</v>
      </c>
      <c r="B976" s="13" t="s">
        <v>48</v>
      </c>
      <c r="C976" s="4">
        <v>3.0</v>
      </c>
      <c r="D976" s="3"/>
      <c r="E976" s="3"/>
      <c r="F976" s="4">
        <v>9.0</v>
      </c>
      <c r="G976" s="3"/>
      <c r="H976" s="4">
        <v>13.0</v>
      </c>
      <c r="I976" s="4">
        <v>15.0</v>
      </c>
      <c r="J976" s="4" t="s">
        <v>1757</v>
      </c>
    </row>
    <row r="977">
      <c r="A977" s="4" t="s">
        <v>2281</v>
      </c>
      <c r="B977" s="13" t="s">
        <v>48</v>
      </c>
      <c r="C977" s="4">
        <v>3.0</v>
      </c>
      <c r="D977" s="3"/>
      <c r="E977" s="3"/>
      <c r="F977" s="4">
        <v>9.0</v>
      </c>
      <c r="G977" s="3"/>
      <c r="H977" s="4">
        <v>13.0</v>
      </c>
      <c r="I977" s="4">
        <v>15.0</v>
      </c>
      <c r="J977" s="4" t="s">
        <v>1757</v>
      </c>
    </row>
    <row r="978">
      <c r="A978" s="4" t="s">
        <v>2282</v>
      </c>
      <c r="B978" s="13" t="s">
        <v>48</v>
      </c>
      <c r="C978" s="4">
        <v>3.0</v>
      </c>
      <c r="D978" s="3"/>
      <c r="E978" s="3"/>
      <c r="F978" s="4">
        <v>9.0</v>
      </c>
      <c r="G978" s="3"/>
      <c r="H978" s="4">
        <v>13.0</v>
      </c>
      <c r="I978" s="4">
        <v>15.0</v>
      </c>
      <c r="J978" s="4" t="s">
        <v>1757</v>
      </c>
    </row>
    <row r="979">
      <c r="A979" s="4" t="s">
        <v>2283</v>
      </c>
      <c r="B979" s="13" t="s">
        <v>48</v>
      </c>
      <c r="C979" s="4">
        <v>3.0</v>
      </c>
      <c r="D979" s="3"/>
      <c r="E979" s="3"/>
      <c r="F979" s="4">
        <v>9.0</v>
      </c>
      <c r="G979" s="3"/>
      <c r="H979" s="4">
        <v>13.0</v>
      </c>
      <c r="I979" s="4">
        <v>15.0</v>
      </c>
      <c r="J979" s="4" t="s">
        <v>1757</v>
      </c>
    </row>
    <row r="980">
      <c r="A980" s="4" t="s">
        <v>2284</v>
      </c>
      <c r="B980" s="13" t="s">
        <v>48</v>
      </c>
      <c r="C980" s="4">
        <v>3.0</v>
      </c>
      <c r="D980" s="3"/>
      <c r="E980" s="3"/>
      <c r="F980" s="4">
        <v>9.0</v>
      </c>
      <c r="G980" s="3"/>
      <c r="H980" s="4">
        <v>13.0</v>
      </c>
      <c r="I980" s="4">
        <v>15.0</v>
      </c>
      <c r="J980" s="4" t="s">
        <v>1757</v>
      </c>
    </row>
    <row r="981">
      <c r="A981" s="4" t="s">
        <v>2285</v>
      </c>
      <c r="B981" s="13" t="s">
        <v>48</v>
      </c>
      <c r="C981" s="4">
        <v>3.0</v>
      </c>
      <c r="D981" s="3"/>
      <c r="E981" s="3"/>
      <c r="F981" s="4">
        <v>9.0</v>
      </c>
      <c r="G981" s="3"/>
      <c r="H981" s="4">
        <v>13.0</v>
      </c>
      <c r="I981" s="4">
        <v>15.0</v>
      </c>
      <c r="J981" s="4" t="s">
        <v>1757</v>
      </c>
    </row>
    <row r="982">
      <c r="A982" s="4" t="s">
        <v>2286</v>
      </c>
      <c r="B982" s="13" t="s">
        <v>48</v>
      </c>
      <c r="C982" s="4">
        <v>3.0</v>
      </c>
      <c r="D982" s="3"/>
      <c r="E982" s="3"/>
      <c r="F982" s="4">
        <v>9.0</v>
      </c>
      <c r="G982" s="3"/>
      <c r="H982" s="4">
        <v>13.0</v>
      </c>
      <c r="I982" s="4">
        <v>15.0</v>
      </c>
      <c r="J982" s="4" t="s">
        <v>1757</v>
      </c>
    </row>
    <row r="983">
      <c r="A983" s="4" t="s">
        <v>2287</v>
      </c>
      <c r="B983" s="13" t="s">
        <v>48</v>
      </c>
      <c r="C983" s="4">
        <v>3.0</v>
      </c>
      <c r="D983" s="3"/>
      <c r="E983" s="3"/>
      <c r="F983" s="4">
        <v>9.0</v>
      </c>
      <c r="G983" s="3"/>
      <c r="H983" s="4">
        <v>13.0</v>
      </c>
      <c r="I983" s="4">
        <v>15.0</v>
      </c>
      <c r="J983" s="4" t="s">
        <v>1757</v>
      </c>
    </row>
    <row r="984">
      <c r="A984" s="4" t="s">
        <v>2288</v>
      </c>
      <c r="B984" s="13" t="s">
        <v>48</v>
      </c>
      <c r="C984" s="4">
        <v>4.0</v>
      </c>
      <c r="D984" s="3"/>
      <c r="E984" s="4">
        <v>2.0</v>
      </c>
      <c r="F984" s="4">
        <v>9.0</v>
      </c>
      <c r="G984" s="3"/>
      <c r="H984" s="4">
        <v>13.0</v>
      </c>
      <c r="I984" s="4">
        <v>15.0</v>
      </c>
      <c r="J984" s="4" t="s">
        <v>1757</v>
      </c>
    </row>
    <row r="985">
      <c r="A985" s="4" t="s">
        <v>2289</v>
      </c>
      <c r="B985" s="13" t="s">
        <v>48</v>
      </c>
      <c r="C985" s="4">
        <v>4.0</v>
      </c>
      <c r="D985" s="3"/>
      <c r="E985" s="4">
        <v>2.0</v>
      </c>
      <c r="F985" s="4">
        <v>9.0</v>
      </c>
      <c r="G985" s="3"/>
      <c r="H985" s="4">
        <v>13.0</v>
      </c>
      <c r="I985" s="4">
        <v>15.0</v>
      </c>
      <c r="J985" s="4" t="s">
        <v>1757</v>
      </c>
    </row>
    <row r="986">
      <c r="A986" s="4" t="s">
        <v>2290</v>
      </c>
      <c r="B986" s="13" t="s">
        <v>48</v>
      </c>
      <c r="C986" s="4">
        <v>4.0</v>
      </c>
      <c r="D986" s="3"/>
      <c r="E986" s="4">
        <v>2.0</v>
      </c>
      <c r="F986" s="4">
        <v>9.0</v>
      </c>
      <c r="G986" s="3"/>
      <c r="H986" s="4">
        <v>13.0</v>
      </c>
      <c r="I986" s="4">
        <v>15.0</v>
      </c>
      <c r="J986" s="4" t="s">
        <v>1757</v>
      </c>
      <c r="K986" s="4" t="s">
        <v>1757</v>
      </c>
    </row>
    <row r="987">
      <c r="A987" s="4" t="s">
        <v>2291</v>
      </c>
      <c r="B987" s="13" t="s">
        <v>48</v>
      </c>
      <c r="C987" s="4">
        <v>4.0</v>
      </c>
      <c r="D987" s="3"/>
      <c r="E987" s="4">
        <v>2.0</v>
      </c>
      <c r="F987" s="4">
        <v>9.0</v>
      </c>
      <c r="G987" s="3"/>
      <c r="H987" s="4">
        <v>13.0</v>
      </c>
      <c r="I987" s="4">
        <v>15.0</v>
      </c>
      <c r="J987" s="4" t="s">
        <v>1757</v>
      </c>
      <c r="K987" s="4" t="s">
        <v>1757</v>
      </c>
    </row>
    <row r="988">
      <c r="A988" s="4" t="s">
        <v>2292</v>
      </c>
      <c r="B988" s="13" t="s">
        <v>48</v>
      </c>
      <c r="C988" s="4">
        <v>4.0</v>
      </c>
      <c r="D988" s="3"/>
      <c r="E988" s="4">
        <v>2.0</v>
      </c>
      <c r="F988" s="4">
        <v>9.0</v>
      </c>
      <c r="G988" s="3"/>
      <c r="H988" s="4">
        <v>13.0</v>
      </c>
      <c r="I988" s="4">
        <v>15.0</v>
      </c>
      <c r="J988" s="4" t="s">
        <v>1757</v>
      </c>
      <c r="K988" s="4" t="s">
        <v>1757</v>
      </c>
    </row>
    <row r="989">
      <c r="A989" s="4" t="s">
        <v>2293</v>
      </c>
      <c r="B989" s="13" t="s">
        <v>48</v>
      </c>
      <c r="C989" s="4">
        <v>4.0</v>
      </c>
      <c r="D989" s="3"/>
      <c r="E989" s="4">
        <v>2.0</v>
      </c>
      <c r="F989" s="4">
        <v>9.0</v>
      </c>
      <c r="G989" s="3"/>
      <c r="H989" s="4">
        <v>13.0</v>
      </c>
      <c r="I989" s="4">
        <v>15.0</v>
      </c>
      <c r="J989" s="4" t="s">
        <v>1757</v>
      </c>
      <c r="K989" s="4" t="s">
        <v>1757</v>
      </c>
    </row>
    <row r="990">
      <c r="A990" s="4" t="s">
        <v>2294</v>
      </c>
      <c r="B990" s="13" t="s">
        <v>48</v>
      </c>
      <c r="C990" s="4">
        <v>4.0</v>
      </c>
      <c r="D990" s="3"/>
      <c r="E990" s="4">
        <v>2.0</v>
      </c>
      <c r="F990" s="4">
        <v>9.0</v>
      </c>
      <c r="G990" s="3"/>
      <c r="H990" s="4">
        <v>13.0</v>
      </c>
      <c r="I990" s="4">
        <v>15.0</v>
      </c>
      <c r="J990" s="4" t="s">
        <v>1757</v>
      </c>
      <c r="K990" s="4" t="s">
        <v>1757</v>
      </c>
    </row>
    <row r="991">
      <c r="A991" s="4" t="s">
        <v>2295</v>
      </c>
      <c r="B991" s="13" t="s">
        <v>48</v>
      </c>
      <c r="C991" s="4">
        <v>4.0</v>
      </c>
      <c r="D991" s="3"/>
      <c r="E991" s="4">
        <v>2.0</v>
      </c>
      <c r="F991" s="4">
        <v>9.0</v>
      </c>
      <c r="G991" s="3"/>
      <c r="H991" s="4">
        <v>13.0</v>
      </c>
      <c r="I991" s="4">
        <v>15.0</v>
      </c>
      <c r="J991" s="4" t="s">
        <v>1757</v>
      </c>
      <c r="K991" s="4" t="s">
        <v>1757</v>
      </c>
    </row>
    <row r="992">
      <c r="A992" s="4" t="s">
        <v>2296</v>
      </c>
      <c r="B992" s="13" t="s">
        <v>48</v>
      </c>
      <c r="C992" s="4">
        <v>4.0</v>
      </c>
      <c r="D992" s="3"/>
      <c r="E992" s="4">
        <v>2.0</v>
      </c>
      <c r="F992" s="4">
        <v>9.0</v>
      </c>
      <c r="G992" s="3"/>
      <c r="H992" s="4">
        <v>13.0</v>
      </c>
      <c r="I992" s="4">
        <v>15.0</v>
      </c>
      <c r="J992" s="4" t="s">
        <v>1757</v>
      </c>
      <c r="K992" s="4" t="s">
        <v>1757</v>
      </c>
    </row>
    <row r="993">
      <c r="A993" s="4" t="s">
        <v>2297</v>
      </c>
      <c r="B993" s="13" t="s">
        <v>48</v>
      </c>
      <c r="C993" s="4">
        <v>4.0</v>
      </c>
      <c r="D993" s="3"/>
      <c r="E993" s="4">
        <v>2.0</v>
      </c>
      <c r="F993" s="4">
        <v>9.0</v>
      </c>
      <c r="G993" s="3"/>
      <c r="H993" s="4">
        <v>13.0</v>
      </c>
      <c r="I993" s="4">
        <v>15.0</v>
      </c>
      <c r="J993" s="4" t="s">
        <v>1757</v>
      </c>
      <c r="K993" s="4" t="s">
        <v>1757</v>
      </c>
    </row>
    <row r="994">
      <c r="A994" s="4" t="s">
        <v>2298</v>
      </c>
      <c r="B994" s="13" t="s">
        <v>48</v>
      </c>
      <c r="C994" s="4">
        <v>4.0</v>
      </c>
      <c r="D994" s="3"/>
      <c r="E994" s="4">
        <v>2.0</v>
      </c>
      <c r="F994" s="4">
        <v>9.0</v>
      </c>
      <c r="G994" s="3"/>
      <c r="H994" s="4">
        <v>13.0</v>
      </c>
      <c r="I994" s="4">
        <v>15.0</v>
      </c>
      <c r="J994" s="4" t="s">
        <v>1757</v>
      </c>
      <c r="K994" s="4" t="s">
        <v>1757</v>
      </c>
    </row>
    <row r="995">
      <c r="A995" s="4" t="s">
        <v>2299</v>
      </c>
      <c r="B995" s="13" t="s">
        <v>48</v>
      </c>
      <c r="C995" s="4">
        <v>4.0</v>
      </c>
      <c r="D995" s="3"/>
      <c r="E995" s="4">
        <v>2.0</v>
      </c>
      <c r="F995" s="4">
        <v>9.0</v>
      </c>
      <c r="G995" s="3"/>
      <c r="H995" s="4">
        <v>13.0</v>
      </c>
      <c r="I995" s="4">
        <v>15.0</v>
      </c>
      <c r="J995" s="4" t="s">
        <v>1757</v>
      </c>
      <c r="K995" s="4" t="s">
        <v>1757</v>
      </c>
    </row>
    <row r="996">
      <c r="A996" s="4" t="s">
        <v>2300</v>
      </c>
      <c r="B996" s="13" t="s">
        <v>48</v>
      </c>
      <c r="C996" s="4">
        <v>4.0</v>
      </c>
      <c r="D996" s="3"/>
      <c r="E996" s="4">
        <v>2.0</v>
      </c>
      <c r="F996" s="4">
        <v>9.0</v>
      </c>
      <c r="G996" s="3"/>
      <c r="H996" s="4">
        <v>13.0</v>
      </c>
      <c r="I996" s="4">
        <v>15.0</v>
      </c>
      <c r="J996" s="4" t="s">
        <v>1757</v>
      </c>
      <c r="K996" s="4" t="s">
        <v>1757</v>
      </c>
    </row>
    <row r="997">
      <c r="A997" s="4" t="s">
        <v>2301</v>
      </c>
      <c r="B997" s="13" t="s">
        <v>48</v>
      </c>
      <c r="C997" s="4">
        <v>4.0</v>
      </c>
      <c r="D997" s="3"/>
      <c r="E997" s="4">
        <v>2.0</v>
      </c>
      <c r="F997" s="4">
        <v>9.0</v>
      </c>
      <c r="G997" s="3"/>
      <c r="H997" s="4">
        <v>13.0</v>
      </c>
      <c r="I997" s="4">
        <v>15.0</v>
      </c>
      <c r="J997" s="4" t="s">
        <v>1757</v>
      </c>
      <c r="K997" s="4" t="s">
        <v>1757</v>
      </c>
    </row>
    <row r="998">
      <c r="A998" s="4" t="s">
        <v>2302</v>
      </c>
      <c r="B998" s="13" t="s">
        <v>48</v>
      </c>
      <c r="C998" s="4">
        <v>3.0</v>
      </c>
      <c r="D998" s="3"/>
      <c r="E998" s="4">
        <v>2.0</v>
      </c>
      <c r="F998" s="4">
        <v>9.0</v>
      </c>
      <c r="G998" s="3"/>
      <c r="H998" s="4">
        <v>13.0</v>
      </c>
      <c r="I998" s="3"/>
      <c r="J998" s="4" t="s">
        <v>1757</v>
      </c>
    </row>
    <row r="999">
      <c r="A999" s="4" t="s">
        <v>2303</v>
      </c>
      <c r="B999" s="13" t="s">
        <v>48</v>
      </c>
      <c r="C999" s="4">
        <v>3.0</v>
      </c>
      <c r="D999" s="3"/>
      <c r="E999" s="4">
        <v>2.0</v>
      </c>
      <c r="F999" s="4">
        <v>9.0</v>
      </c>
      <c r="G999" s="3"/>
      <c r="H999" s="4">
        <v>13.0</v>
      </c>
      <c r="I999" s="3"/>
      <c r="J999" s="4" t="s">
        <v>1757</v>
      </c>
    </row>
    <row r="1000">
      <c r="A1000" s="4" t="s">
        <v>2304</v>
      </c>
      <c r="B1000" s="13" t="s">
        <v>48</v>
      </c>
      <c r="C1000" s="4">
        <v>3.0</v>
      </c>
      <c r="D1000" s="3"/>
      <c r="E1000" s="4">
        <v>2.0</v>
      </c>
      <c r="F1000" s="4">
        <v>9.0</v>
      </c>
      <c r="G1000" s="3"/>
      <c r="H1000" s="4">
        <v>13.0</v>
      </c>
      <c r="I1000" s="3"/>
      <c r="J1000" s="4" t="s">
        <v>1757</v>
      </c>
    </row>
    <row r="1001">
      <c r="A1001" s="4" t="s">
        <v>2305</v>
      </c>
      <c r="B1001" s="13" t="s">
        <v>48</v>
      </c>
      <c r="C1001" s="4">
        <v>3.0</v>
      </c>
      <c r="D1001" s="3"/>
      <c r="E1001" s="4">
        <v>2.0</v>
      </c>
      <c r="F1001" s="4">
        <v>9.0</v>
      </c>
      <c r="G1001" s="3"/>
      <c r="H1001" s="4">
        <v>13.0</v>
      </c>
      <c r="I1001" s="3"/>
      <c r="J1001" s="4" t="s">
        <v>1757</v>
      </c>
    </row>
    <row r="1002">
      <c r="A1002" s="4" t="s">
        <v>2306</v>
      </c>
      <c r="B1002" s="13" t="s">
        <v>48</v>
      </c>
      <c r="C1002" s="4">
        <v>2.0</v>
      </c>
      <c r="D1002" s="3"/>
      <c r="E1002" s="4">
        <v>2.0</v>
      </c>
      <c r="F1002" s="3"/>
      <c r="G1002" s="3"/>
      <c r="H1002" s="4">
        <v>13.0</v>
      </c>
      <c r="I1002" s="3"/>
      <c r="J1002" s="4" t="s">
        <v>1757</v>
      </c>
    </row>
    <row r="1003">
      <c r="A1003" s="4" t="s">
        <v>2307</v>
      </c>
      <c r="B1003" s="13" t="s">
        <v>48</v>
      </c>
      <c r="C1003" s="4">
        <v>2.0</v>
      </c>
      <c r="D1003" s="3"/>
      <c r="E1003" s="4">
        <v>2.0</v>
      </c>
      <c r="F1003" s="3"/>
      <c r="G1003" s="3"/>
      <c r="H1003" s="4">
        <v>13.0</v>
      </c>
      <c r="I1003" s="3"/>
      <c r="J1003" s="4" t="s">
        <v>1757</v>
      </c>
    </row>
    <row r="1004">
      <c r="A1004" s="4" t="s">
        <v>2308</v>
      </c>
      <c r="B1004" s="13" t="s">
        <v>48</v>
      </c>
      <c r="C1004" s="4">
        <v>2.0</v>
      </c>
      <c r="D1004" s="3"/>
      <c r="E1004" s="4">
        <v>2.0</v>
      </c>
      <c r="F1004" s="3"/>
      <c r="G1004" s="3"/>
      <c r="H1004" s="4">
        <v>13.0</v>
      </c>
      <c r="I1004" s="3"/>
      <c r="J1004" s="4" t="s">
        <v>1757</v>
      </c>
    </row>
    <row r="1005">
      <c r="A1005" s="4" t="s">
        <v>2309</v>
      </c>
      <c r="B1005" s="13" t="s">
        <v>48</v>
      </c>
      <c r="C1005" s="4">
        <v>2.0</v>
      </c>
      <c r="D1005" s="3"/>
      <c r="E1005" s="4">
        <v>2.0</v>
      </c>
      <c r="F1005" s="3"/>
      <c r="G1005" s="3"/>
      <c r="H1005" s="4">
        <v>13.0</v>
      </c>
      <c r="I1005" s="3"/>
      <c r="J1005" s="4" t="s">
        <v>1757</v>
      </c>
    </row>
    <row r="1006">
      <c r="A1006" s="4" t="s">
        <v>2310</v>
      </c>
      <c r="B1006" s="13" t="s">
        <v>48</v>
      </c>
      <c r="C1006" s="4">
        <v>2.0</v>
      </c>
      <c r="D1006" s="3"/>
      <c r="E1006" s="4">
        <v>2.0</v>
      </c>
      <c r="F1006" s="3"/>
      <c r="G1006" s="3"/>
      <c r="H1006" s="4">
        <v>13.0</v>
      </c>
      <c r="I1006" s="3"/>
      <c r="J1006" s="4" t="s">
        <v>1757</v>
      </c>
    </row>
    <row r="1007">
      <c r="A1007" s="4" t="s">
        <v>2311</v>
      </c>
      <c r="B1007" s="13" t="s">
        <v>48</v>
      </c>
      <c r="C1007" s="4">
        <v>2.0</v>
      </c>
      <c r="D1007" s="3"/>
      <c r="E1007" s="4">
        <v>2.0</v>
      </c>
      <c r="F1007" s="3"/>
      <c r="G1007" s="3"/>
      <c r="H1007" s="4">
        <v>13.0</v>
      </c>
      <c r="I1007" s="3"/>
      <c r="J1007" s="4" t="s">
        <v>1757</v>
      </c>
    </row>
    <row r="1008">
      <c r="A1008" s="4" t="s">
        <v>2312</v>
      </c>
      <c r="B1008" s="13" t="s">
        <v>48</v>
      </c>
      <c r="C1008" s="4">
        <v>2.0</v>
      </c>
      <c r="D1008" s="3"/>
      <c r="E1008" s="4">
        <v>2.0</v>
      </c>
      <c r="F1008" s="3"/>
      <c r="G1008" s="3"/>
      <c r="H1008" s="4">
        <v>13.0</v>
      </c>
      <c r="I1008" s="3"/>
      <c r="J1008" s="4" t="s">
        <v>1757</v>
      </c>
    </row>
    <row r="1009">
      <c r="A1009" s="4" t="s">
        <v>2313</v>
      </c>
      <c r="B1009" s="13" t="s">
        <v>48</v>
      </c>
      <c r="C1009" s="4">
        <v>2.0</v>
      </c>
      <c r="D1009" s="3"/>
      <c r="E1009" s="4">
        <v>2.0</v>
      </c>
      <c r="F1009" s="3"/>
      <c r="G1009" s="3"/>
      <c r="H1009" s="4">
        <v>13.0</v>
      </c>
      <c r="I1009" s="3"/>
      <c r="J1009" s="4" t="s">
        <v>1757</v>
      </c>
    </row>
    <row r="1010">
      <c r="A1010" s="4" t="s">
        <v>2314</v>
      </c>
      <c r="B1010" s="13" t="s">
        <v>48</v>
      </c>
      <c r="C1010" s="4">
        <v>2.0</v>
      </c>
      <c r="D1010" s="3"/>
      <c r="E1010" s="4">
        <v>2.0</v>
      </c>
      <c r="F1010" s="3"/>
      <c r="G1010" s="3"/>
      <c r="H1010" s="4">
        <v>13.0</v>
      </c>
      <c r="I1010" s="3"/>
      <c r="J1010" s="4" t="s">
        <v>1757</v>
      </c>
    </row>
    <row r="1011">
      <c r="A1011" s="4" t="s">
        <v>2315</v>
      </c>
      <c r="B1011" s="13" t="s">
        <v>48</v>
      </c>
      <c r="C1011" s="4">
        <v>2.0</v>
      </c>
      <c r="D1011" s="3"/>
      <c r="E1011" s="4">
        <v>2.0</v>
      </c>
      <c r="F1011" s="3"/>
      <c r="G1011" s="3"/>
      <c r="H1011" s="4">
        <v>13.0</v>
      </c>
      <c r="I1011" s="3"/>
      <c r="J1011" s="4" t="s">
        <v>1757</v>
      </c>
    </row>
    <row r="1012">
      <c r="A1012" s="4" t="s">
        <v>2316</v>
      </c>
      <c r="B1012" s="13" t="s">
        <v>48</v>
      </c>
      <c r="C1012" s="4">
        <v>3.0</v>
      </c>
      <c r="D1012" s="4">
        <v>1.0</v>
      </c>
      <c r="E1012" s="4">
        <v>2.0</v>
      </c>
      <c r="F1012" s="3"/>
      <c r="G1012" s="3"/>
      <c r="H1012" s="4">
        <v>13.0</v>
      </c>
      <c r="I1012" s="3"/>
      <c r="J1012" s="4" t="s">
        <v>1757</v>
      </c>
    </row>
    <row r="1013">
      <c r="A1013" s="4" t="s">
        <v>2317</v>
      </c>
      <c r="B1013" s="13" t="s">
        <v>48</v>
      </c>
      <c r="C1013" s="4">
        <v>2.0</v>
      </c>
      <c r="D1013" s="4">
        <v>1.0</v>
      </c>
      <c r="E1013" s="3"/>
      <c r="F1013" s="3"/>
      <c r="G1013" s="3"/>
      <c r="H1013" s="4">
        <v>13.0</v>
      </c>
      <c r="I1013" s="3"/>
      <c r="J1013" s="4" t="s">
        <v>1757</v>
      </c>
    </row>
    <row r="1014">
      <c r="A1014" s="4" t="s">
        <v>2318</v>
      </c>
      <c r="B1014" s="13" t="s">
        <v>48</v>
      </c>
      <c r="C1014" s="4">
        <v>2.0</v>
      </c>
      <c r="D1014" s="4">
        <v>1.0</v>
      </c>
      <c r="E1014" s="3"/>
      <c r="F1014" s="3"/>
      <c r="G1014" s="3"/>
      <c r="H1014" s="4">
        <v>13.0</v>
      </c>
      <c r="I1014" s="3"/>
      <c r="J1014" s="4" t="s">
        <v>1757</v>
      </c>
    </row>
    <row r="1015">
      <c r="A1015" s="4" t="s">
        <v>2319</v>
      </c>
      <c r="B1015" s="13" t="s">
        <v>48</v>
      </c>
      <c r="C1015" s="4">
        <v>2.0</v>
      </c>
      <c r="D1015" s="4">
        <v>1.0</v>
      </c>
      <c r="E1015" s="3"/>
      <c r="F1015" s="3"/>
      <c r="G1015" s="3"/>
      <c r="H1015" s="4">
        <v>13.0</v>
      </c>
      <c r="I1015" s="3"/>
      <c r="J1015" s="4" t="s">
        <v>1757</v>
      </c>
    </row>
    <row r="1016">
      <c r="A1016" s="4" t="s">
        <v>2320</v>
      </c>
      <c r="B1016" s="13" t="s">
        <v>48</v>
      </c>
      <c r="C1016" s="4">
        <v>2.0</v>
      </c>
      <c r="D1016" s="4">
        <v>1.0</v>
      </c>
      <c r="E1016" s="3"/>
      <c r="F1016" s="3"/>
      <c r="G1016" s="3"/>
      <c r="H1016" s="4">
        <v>13.0</v>
      </c>
      <c r="I1016" s="3"/>
      <c r="J1016" s="4" t="s">
        <v>1757</v>
      </c>
    </row>
    <row r="1017">
      <c r="A1017" s="4" t="s">
        <v>2321</v>
      </c>
      <c r="B1017" s="13" t="s">
        <v>48</v>
      </c>
      <c r="C1017" s="4">
        <v>1.0</v>
      </c>
      <c r="D1017" s="4">
        <v>1.0</v>
      </c>
      <c r="E1017" s="3"/>
      <c r="F1017" s="3"/>
      <c r="G1017" s="3"/>
      <c r="H1017" s="3"/>
      <c r="I1017" s="3"/>
      <c r="J1017" s="4" t="s">
        <v>1757</v>
      </c>
    </row>
    <row r="1018">
      <c r="A1018" s="4" t="s">
        <v>2322</v>
      </c>
      <c r="B1018" s="13" t="s">
        <v>48</v>
      </c>
      <c r="C1018" s="4">
        <v>1.0</v>
      </c>
      <c r="D1018" s="4">
        <v>1.0</v>
      </c>
      <c r="E1018" s="3"/>
      <c r="F1018" s="3"/>
      <c r="G1018" s="3"/>
      <c r="H1018" s="3"/>
      <c r="I1018" s="3"/>
      <c r="J1018" s="4" t="s">
        <v>1757</v>
      </c>
    </row>
    <row r="1019">
      <c r="A1019" s="4" t="s">
        <v>2323</v>
      </c>
      <c r="B1019" s="13" t="s">
        <v>48</v>
      </c>
      <c r="C1019" s="4">
        <v>1.0</v>
      </c>
      <c r="D1019" s="4">
        <v>1.0</v>
      </c>
      <c r="E1019" s="3"/>
      <c r="F1019" s="3"/>
      <c r="G1019" s="3"/>
      <c r="H1019" s="3"/>
      <c r="I1019" s="3"/>
      <c r="J1019" s="4" t="s">
        <v>1757</v>
      </c>
    </row>
    <row r="1020">
      <c r="A1020" s="4" t="s">
        <v>2324</v>
      </c>
      <c r="B1020" s="13" t="s">
        <v>48</v>
      </c>
      <c r="C1020" s="4">
        <v>1.0</v>
      </c>
      <c r="D1020" s="4">
        <v>1.0</v>
      </c>
      <c r="E1020" s="3"/>
      <c r="F1020" s="3"/>
      <c r="G1020" s="3"/>
      <c r="H1020" s="3"/>
      <c r="I1020" s="3"/>
      <c r="J1020" s="4" t="s">
        <v>1757</v>
      </c>
    </row>
    <row r="1021">
      <c r="A1021" s="4" t="s">
        <v>2325</v>
      </c>
      <c r="B1021" s="13" t="s">
        <v>48</v>
      </c>
      <c r="C1021" s="4">
        <v>1.0</v>
      </c>
      <c r="D1021" s="4">
        <v>1.0</v>
      </c>
      <c r="E1021" s="3"/>
      <c r="F1021" s="3"/>
      <c r="G1021" s="3"/>
      <c r="H1021" s="3"/>
      <c r="I1021" s="3"/>
      <c r="J1021" s="4" t="s">
        <v>1757</v>
      </c>
    </row>
    <row r="1022">
      <c r="A1022" s="4" t="s">
        <v>2326</v>
      </c>
      <c r="B1022" s="13" t="s">
        <v>48</v>
      </c>
      <c r="C1022" s="4">
        <v>2.0</v>
      </c>
      <c r="D1022" s="4">
        <v>1.0</v>
      </c>
      <c r="E1022" s="3"/>
      <c r="F1022" s="3"/>
      <c r="G1022" s="3"/>
      <c r="H1022" s="4">
        <v>13.0</v>
      </c>
      <c r="I1022" s="3"/>
      <c r="J1022" s="4" t="s">
        <v>1757</v>
      </c>
    </row>
    <row r="1023">
      <c r="A1023" s="4" t="s">
        <v>2327</v>
      </c>
      <c r="B1023" s="13" t="s">
        <v>48</v>
      </c>
      <c r="C1023" s="4">
        <v>2.0</v>
      </c>
      <c r="D1023" s="4">
        <v>1.0</v>
      </c>
      <c r="E1023" s="3"/>
      <c r="F1023" s="3"/>
      <c r="G1023" s="3"/>
      <c r="H1023" s="4">
        <v>13.0</v>
      </c>
      <c r="I1023" s="3"/>
      <c r="J1023" s="4" t="s">
        <v>1757</v>
      </c>
    </row>
    <row r="1024">
      <c r="A1024" s="4" t="s">
        <v>2328</v>
      </c>
      <c r="B1024" s="13" t="s">
        <v>48</v>
      </c>
      <c r="C1024" s="4">
        <v>2.0</v>
      </c>
      <c r="D1024" s="4">
        <v>1.0</v>
      </c>
      <c r="E1024" s="3"/>
      <c r="F1024" s="3"/>
      <c r="G1024" s="3"/>
      <c r="H1024" s="4">
        <v>13.0</v>
      </c>
      <c r="I1024" s="3"/>
      <c r="J1024" s="4" t="s">
        <v>1757</v>
      </c>
    </row>
    <row r="1025">
      <c r="A1025" s="4" t="s">
        <v>2329</v>
      </c>
      <c r="B1025" s="13" t="s">
        <v>48</v>
      </c>
      <c r="C1025" s="4">
        <v>2.0</v>
      </c>
      <c r="D1025" s="4">
        <v>1.0</v>
      </c>
      <c r="E1025" s="3"/>
      <c r="F1025" s="3"/>
      <c r="G1025" s="3"/>
      <c r="H1025" s="4">
        <v>13.0</v>
      </c>
      <c r="I1025" s="3"/>
      <c r="J1025" s="4" t="s">
        <v>1757</v>
      </c>
    </row>
    <row r="1026">
      <c r="A1026" s="4" t="s">
        <v>2330</v>
      </c>
      <c r="B1026" s="13" t="s">
        <v>48</v>
      </c>
      <c r="C1026" s="4">
        <v>2.0</v>
      </c>
      <c r="D1026" s="4">
        <v>1.0</v>
      </c>
      <c r="E1026" s="3"/>
      <c r="F1026" s="3"/>
      <c r="G1026" s="3"/>
      <c r="H1026" s="4">
        <v>13.0</v>
      </c>
      <c r="I1026" s="3"/>
      <c r="J1026" s="4" t="s">
        <v>1757</v>
      </c>
    </row>
    <row r="1027">
      <c r="A1027" s="4" t="s">
        <v>2331</v>
      </c>
      <c r="B1027" s="13" t="s">
        <v>48</v>
      </c>
      <c r="C1027" s="4">
        <v>2.0</v>
      </c>
      <c r="D1027" s="4">
        <v>1.0</v>
      </c>
      <c r="E1027" s="3"/>
      <c r="F1027" s="3"/>
      <c r="G1027" s="3"/>
      <c r="H1027" s="4">
        <v>13.0</v>
      </c>
      <c r="I1027" s="3"/>
      <c r="J1027" s="4" t="s">
        <v>1757</v>
      </c>
    </row>
    <row r="1028">
      <c r="A1028" s="4" t="s">
        <v>2332</v>
      </c>
      <c r="B1028" s="13" t="s">
        <v>48</v>
      </c>
      <c r="C1028" s="4">
        <v>2.0</v>
      </c>
      <c r="D1028" s="4">
        <v>1.0</v>
      </c>
      <c r="E1028" s="3"/>
      <c r="F1028" s="3"/>
      <c r="G1028" s="3"/>
      <c r="H1028" s="4">
        <v>13.0</v>
      </c>
      <c r="I1028" s="3"/>
      <c r="J1028" s="4" t="s">
        <v>1757</v>
      </c>
    </row>
    <row r="1029">
      <c r="A1029" s="4" t="s">
        <v>2333</v>
      </c>
      <c r="B1029" s="13" t="s">
        <v>48</v>
      </c>
      <c r="C1029" s="4">
        <v>2.0</v>
      </c>
      <c r="D1029" s="4">
        <v>1.0</v>
      </c>
      <c r="E1029" s="3"/>
      <c r="F1029" s="3"/>
      <c r="G1029" s="3"/>
      <c r="H1029" s="4">
        <v>13.0</v>
      </c>
      <c r="I1029" s="3"/>
      <c r="J1029" s="4" t="s">
        <v>1757</v>
      </c>
    </row>
    <row r="1030">
      <c r="A1030" s="4" t="s">
        <v>2334</v>
      </c>
      <c r="B1030" s="13" t="s">
        <v>48</v>
      </c>
      <c r="C1030" s="4">
        <v>2.0</v>
      </c>
      <c r="D1030" s="4">
        <v>1.0</v>
      </c>
      <c r="E1030" s="3"/>
      <c r="F1030" s="3"/>
      <c r="G1030" s="3"/>
      <c r="H1030" s="4">
        <v>13.0</v>
      </c>
      <c r="I1030" s="3"/>
      <c r="J1030" s="4" t="s">
        <v>1757</v>
      </c>
    </row>
    <row r="1031">
      <c r="A1031" s="4" t="s">
        <v>2335</v>
      </c>
      <c r="B1031" s="13" t="s">
        <v>48</v>
      </c>
      <c r="C1031" s="4">
        <v>2.0</v>
      </c>
      <c r="D1031" s="4">
        <v>1.0</v>
      </c>
      <c r="E1031" s="3"/>
      <c r="F1031" s="3"/>
      <c r="G1031" s="3"/>
      <c r="H1031" s="4">
        <v>13.0</v>
      </c>
      <c r="I1031" s="3"/>
      <c r="J1031" s="4" t="s">
        <v>1757</v>
      </c>
    </row>
    <row r="1032">
      <c r="A1032" s="4" t="s">
        <v>2336</v>
      </c>
      <c r="B1032" s="13" t="s">
        <v>48</v>
      </c>
      <c r="C1032" s="4">
        <v>3.0</v>
      </c>
      <c r="D1032" s="4">
        <v>1.0</v>
      </c>
      <c r="E1032" s="3"/>
      <c r="F1032" s="3"/>
      <c r="G1032" s="3"/>
      <c r="H1032" s="4">
        <v>13.0</v>
      </c>
      <c r="I1032" s="4">
        <v>15.0</v>
      </c>
      <c r="J1032" s="4" t="s">
        <v>1757</v>
      </c>
    </row>
    <row r="1033">
      <c r="A1033" s="4" t="s">
        <v>2337</v>
      </c>
      <c r="B1033" s="13" t="s">
        <v>48</v>
      </c>
      <c r="C1033" s="4">
        <v>4.0</v>
      </c>
      <c r="D1033" s="4">
        <v>1.0</v>
      </c>
      <c r="E1033" s="3"/>
      <c r="F1033" s="4">
        <v>9.0</v>
      </c>
      <c r="G1033" s="3"/>
      <c r="H1033" s="4">
        <v>13.0</v>
      </c>
      <c r="I1033" s="4">
        <v>15.0</v>
      </c>
      <c r="J1033" s="4" t="s">
        <v>1757</v>
      </c>
    </row>
    <row r="1034">
      <c r="A1034" s="4" t="s">
        <v>2338</v>
      </c>
      <c r="B1034" s="13" t="s">
        <v>48</v>
      </c>
      <c r="C1034" s="4">
        <v>4.0</v>
      </c>
      <c r="D1034" s="4">
        <v>1.0</v>
      </c>
      <c r="E1034" s="3"/>
      <c r="F1034" s="4">
        <v>9.0</v>
      </c>
      <c r="G1034" s="3"/>
      <c r="H1034" s="4">
        <v>13.0</v>
      </c>
      <c r="I1034" s="4">
        <v>15.0</v>
      </c>
      <c r="J1034" s="4" t="s">
        <v>1757</v>
      </c>
    </row>
    <row r="1035">
      <c r="A1035" s="4" t="s">
        <v>2339</v>
      </c>
      <c r="B1035" s="13" t="s">
        <v>48</v>
      </c>
      <c r="C1035" s="4">
        <v>4.0</v>
      </c>
      <c r="D1035" s="4">
        <v>1.0</v>
      </c>
      <c r="E1035" s="3"/>
      <c r="F1035" s="4">
        <v>9.0</v>
      </c>
      <c r="G1035" s="3"/>
      <c r="H1035" s="4">
        <v>13.0</v>
      </c>
      <c r="I1035" s="4">
        <v>15.0</v>
      </c>
      <c r="J1035" s="4" t="s">
        <v>1757</v>
      </c>
    </row>
    <row r="1036">
      <c r="A1036" s="4" t="s">
        <v>2340</v>
      </c>
      <c r="B1036" s="13" t="s">
        <v>48</v>
      </c>
      <c r="C1036" s="4">
        <v>3.0</v>
      </c>
      <c r="D1036" s="3"/>
      <c r="E1036" s="3"/>
      <c r="F1036" s="4">
        <v>9.0</v>
      </c>
      <c r="G1036" s="3"/>
      <c r="H1036" s="4">
        <v>13.0</v>
      </c>
      <c r="I1036" s="4">
        <v>15.0</v>
      </c>
      <c r="J1036" s="4" t="s">
        <v>1757</v>
      </c>
    </row>
    <row r="1037">
      <c r="A1037" s="4" t="s">
        <v>2341</v>
      </c>
      <c r="B1037" s="13" t="s">
        <v>48</v>
      </c>
      <c r="C1037" s="4">
        <v>3.0</v>
      </c>
      <c r="D1037" s="3"/>
      <c r="E1037" s="3"/>
      <c r="F1037" s="4">
        <v>9.0</v>
      </c>
      <c r="G1037" s="3"/>
      <c r="H1037" s="4">
        <v>13.0</v>
      </c>
      <c r="I1037" s="4">
        <v>15.0</v>
      </c>
      <c r="J1037" s="4" t="s">
        <v>1757</v>
      </c>
    </row>
    <row r="1038">
      <c r="A1038" s="4" t="s">
        <v>2342</v>
      </c>
      <c r="B1038" s="13" t="s">
        <v>48</v>
      </c>
      <c r="C1038" s="4">
        <v>4.0</v>
      </c>
      <c r="D1038" s="4">
        <v>1.0</v>
      </c>
      <c r="E1038" s="3"/>
      <c r="F1038" s="4">
        <v>9.0</v>
      </c>
      <c r="G1038" s="3"/>
      <c r="H1038" s="4">
        <v>13.0</v>
      </c>
      <c r="I1038" s="4">
        <v>15.0</v>
      </c>
      <c r="J1038" s="4" t="s">
        <v>1757</v>
      </c>
    </row>
    <row r="1039">
      <c r="A1039" s="4" t="s">
        <v>2343</v>
      </c>
      <c r="B1039" s="13" t="s">
        <v>48</v>
      </c>
      <c r="C1039" s="4">
        <v>3.0</v>
      </c>
      <c r="D1039" s="4">
        <v>1.0</v>
      </c>
      <c r="E1039" s="3"/>
      <c r="F1039" s="3"/>
      <c r="G1039" s="3"/>
      <c r="H1039" s="4">
        <v>13.0</v>
      </c>
      <c r="I1039" s="4">
        <v>15.0</v>
      </c>
      <c r="J1039" s="4" t="s">
        <v>1757</v>
      </c>
    </row>
    <row r="1040">
      <c r="A1040" s="4" t="s">
        <v>2344</v>
      </c>
      <c r="B1040" s="13" t="s">
        <v>48</v>
      </c>
      <c r="C1040" s="4">
        <v>4.0</v>
      </c>
      <c r="D1040" s="4">
        <v>1.0</v>
      </c>
      <c r="E1040" s="3"/>
      <c r="F1040" s="4">
        <v>9.0</v>
      </c>
      <c r="G1040" s="3"/>
      <c r="H1040" s="4">
        <v>13.0</v>
      </c>
      <c r="I1040" s="4">
        <v>15.0</v>
      </c>
      <c r="J1040" s="4" t="s">
        <v>1757</v>
      </c>
    </row>
    <row r="1041">
      <c r="A1041" s="4" t="s">
        <v>2345</v>
      </c>
      <c r="B1041" s="13" t="s">
        <v>48</v>
      </c>
      <c r="C1041" s="4">
        <v>3.0</v>
      </c>
      <c r="D1041" s="3"/>
      <c r="E1041" s="3"/>
      <c r="F1041" s="4">
        <v>9.0</v>
      </c>
      <c r="G1041" s="3"/>
      <c r="H1041" s="4">
        <v>13.0</v>
      </c>
      <c r="I1041" s="4">
        <v>15.0</v>
      </c>
      <c r="J1041" s="4" t="s">
        <v>1757</v>
      </c>
    </row>
    <row r="1042">
      <c r="A1042" s="4" t="s">
        <v>2346</v>
      </c>
      <c r="B1042" s="13" t="s">
        <v>48</v>
      </c>
      <c r="C1042" s="4">
        <v>3.0</v>
      </c>
      <c r="D1042" s="3"/>
      <c r="E1042" s="3"/>
      <c r="F1042" s="4">
        <v>9.0</v>
      </c>
      <c r="G1042" s="3"/>
      <c r="H1042" s="4">
        <v>13.0</v>
      </c>
      <c r="I1042" s="4">
        <v>15.0</v>
      </c>
      <c r="J1042" s="4" t="s">
        <v>1757</v>
      </c>
    </row>
    <row r="1043">
      <c r="A1043" s="4" t="s">
        <v>2347</v>
      </c>
      <c r="B1043" s="13" t="s">
        <v>48</v>
      </c>
      <c r="C1043" s="4">
        <v>2.0</v>
      </c>
      <c r="D1043" s="3"/>
      <c r="E1043" s="3"/>
      <c r="F1043" s="3"/>
      <c r="G1043" s="3"/>
      <c r="H1043" s="4">
        <v>13.0</v>
      </c>
      <c r="I1043" s="4">
        <v>15.0</v>
      </c>
      <c r="J1043" s="4" t="s">
        <v>1757</v>
      </c>
    </row>
    <row r="1044">
      <c r="A1044" s="4" t="s">
        <v>2348</v>
      </c>
      <c r="B1044" s="13" t="s">
        <v>48</v>
      </c>
      <c r="C1044" s="4">
        <v>1.0</v>
      </c>
      <c r="D1044" s="3"/>
      <c r="E1044" s="3"/>
      <c r="F1044" s="3"/>
      <c r="G1044" s="3"/>
      <c r="H1044" s="3"/>
      <c r="I1044" s="4">
        <v>15.0</v>
      </c>
      <c r="J1044" s="4" t="s">
        <v>1757</v>
      </c>
    </row>
    <row r="1045">
      <c r="A1045" s="4" t="s">
        <v>2349</v>
      </c>
      <c r="B1045" s="13" t="s">
        <v>48</v>
      </c>
      <c r="C1045" s="4">
        <v>1.0</v>
      </c>
      <c r="D1045" s="3"/>
      <c r="E1045" s="3"/>
      <c r="F1045" s="3"/>
      <c r="G1045" s="3"/>
      <c r="H1045" s="3"/>
      <c r="I1045" s="4">
        <v>15.0</v>
      </c>
      <c r="J1045" s="4" t="s">
        <v>1757</v>
      </c>
    </row>
    <row r="1046">
      <c r="A1046" s="4" t="s">
        <v>2350</v>
      </c>
      <c r="B1046" s="13" t="s">
        <v>48</v>
      </c>
      <c r="C1046" s="4">
        <v>1.0</v>
      </c>
      <c r="D1046" s="3"/>
      <c r="E1046" s="3"/>
      <c r="F1046" s="3"/>
      <c r="G1046" s="3"/>
      <c r="H1046" s="3"/>
      <c r="I1046" s="4">
        <v>15.0</v>
      </c>
      <c r="J1046" s="4" t="s">
        <v>1757</v>
      </c>
    </row>
    <row r="1047">
      <c r="A1047" s="4" t="s">
        <v>2351</v>
      </c>
      <c r="B1047" s="13" t="s">
        <v>48</v>
      </c>
      <c r="C1047" s="4">
        <v>1.0</v>
      </c>
      <c r="D1047" s="3"/>
      <c r="E1047" s="3"/>
      <c r="F1047" s="3"/>
      <c r="G1047" s="3"/>
      <c r="H1047" s="3"/>
      <c r="I1047" s="4">
        <v>15.0</v>
      </c>
      <c r="J1047" s="4" t="s">
        <v>1757</v>
      </c>
    </row>
    <row r="1048">
      <c r="A1048" s="4" t="s">
        <v>2352</v>
      </c>
      <c r="B1048" s="13" t="s">
        <v>48</v>
      </c>
      <c r="C1048" s="4">
        <v>1.0</v>
      </c>
      <c r="D1048" s="3"/>
      <c r="E1048" s="3"/>
      <c r="F1048" s="3"/>
      <c r="G1048" s="3"/>
      <c r="H1048" s="3"/>
      <c r="I1048" s="4">
        <v>15.0</v>
      </c>
      <c r="J1048" s="4" t="s">
        <v>1757</v>
      </c>
    </row>
    <row r="1049">
      <c r="A1049" s="4" t="s">
        <v>2353</v>
      </c>
      <c r="B1049" s="13" t="s">
        <v>48</v>
      </c>
      <c r="C1049" s="4">
        <v>1.0</v>
      </c>
      <c r="D1049" s="3"/>
      <c r="E1049" s="3"/>
      <c r="F1049" s="3"/>
      <c r="G1049" s="3"/>
      <c r="H1049" s="3"/>
      <c r="I1049" s="4">
        <v>15.0</v>
      </c>
      <c r="J1049" s="4" t="s">
        <v>1757</v>
      </c>
    </row>
    <row r="1050">
      <c r="A1050" s="4" t="s">
        <v>2354</v>
      </c>
      <c r="B1050" s="13" t="s">
        <v>48</v>
      </c>
      <c r="C1050" s="4">
        <v>1.0</v>
      </c>
      <c r="D1050" s="3"/>
      <c r="E1050" s="3"/>
      <c r="F1050" s="3"/>
      <c r="G1050" s="3"/>
      <c r="H1050" s="3"/>
      <c r="I1050" s="4">
        <v>15.0</v>
      </c>
      <c r="J1050" s="4" t="s">
        <v>1757</v>
      </c>
    </row>
    <row r="1051">
      <c r="A1051" s="4" t="s">
        <v>2355</v>
      </c>
      <c r="B1051" s="13" t="s">
        <v>48</v>
      </c>
      <c r="C1051" s="4">
        <v>1.0</v>
      </c>
      <c r="D1051" s="3"/>
      <c r="E1051" s="3"/>
      <c r="F1051" s="3"/>
      <c r="G1051" s="3"/>
      <c r="H1051" s="3"/>
      <c r="I1051" s="4">
        <v>15.0</v>
      </c>
      <c r="J1051" s="4" t="s">
        <v>1757</v>
      </c>
    </row>
    <row r="1052">
      <c r="A1052" s="4" t="s">
        <v>2356</v>
      </c>
      <c r="B1052" s="13" t="s">
        <v>48</v>
      </c>
      <c r="C1052" s="4">
        <v>1.0</v>
      </c>
      <c r="D1052" s="3"/>
      <c r="E1052" s="3"/>
      <c r="F1052" s="3"/>
      <c r="G1052" s="3"/>
      <c r="H1052" s="3"/>
      <c r="I1052" s="4">
        <v>15.0</v>
      </c>
      <c r="J1052" s="4" t="s">
        <v>1757</v>
      </c>
    </row>
    <row r="1053">
      <c r="A1053" s="4" t="s">
        <v>2357</v>
      </c>
      <c r="B1053" s="13" t="s">
        <v>48</v>
      </c>
      <c r="C1053" s="4">
        <v>1.0</v>
      </c>
      <c r="D1053" s="3"/>
      <c r="E1053" s="3"/>
      <c r="F1053" s="3"/>
      <c r="G1053" s="3"/>
      <c r="H1053" s="3"/>
      <c r="I1053" s="4">
        <v>15.0</v>
      </c>
      <c r="J1053" s="4" t="s">
        <v>1757</v>
      </c>
    </row>
    <row r="1054">
      <c r="A1054" s="4" t="s">
        <v>2358</v>
      </c>
      <c r="B1054" s="13" t="s">
        <v>48</v>
      </c>
      <c r="C1054" s="4">
        <v>1.0</v>
      </c>
      <c r="D1054" s="3"/>
      <c r="E1054" s="3"/>
      <c r="F1054" s="3"/>
      <c r="G1054" s="3"/>
      <c r="H1054" s="3"/>
      <c r="I1054" s="4">
        <v>15.0</v>
      </c>
    </row>
    <row r="1055">
      <c r="A1055" s="4" t="s">
        <v>2359</v>
      </c>
      <c r="B1055" s="13" t="s">
        <v>48</v>
      </c>
      <c r="C1055" s="4">
        <v>1.0</v>
      </c>
      <c r="D1055" s="3"/>
      <c r="E1055" s="3"/>
      <c r="F1055" s="3"/>
      <c r="G1055" s="3"/>
      <c r="H1055" s="3"/>
      <c r="I1055" s="4">
        <v>15.0</v>
      </c>
      <c r="J1055" s="4" t="s">
        <v>1757</v>
      </c>
      <c r="K1055" s="4" t="s">
        <v>1757</v>
      </c>
    </row>
    <row r="1056">
      <c r="A1056" s="4" t="s">
        <v>2360</v>
      </c>
      <c r="B1056" s="13" t="s">
        <v>48</v>
      </c>
      <c r="C1056" s="4">
        <v>1.0</v>
      </c>
      <c r="D1056" s="3"/>
      <c r="E1056" s="3"/>
      <c r="F1056" s="3"/>
      <c r="G1056" s="3"/>
      <c r="H1056" s="3"/>
      <c r="I1056" s="4">
        <v>15.0</v>
      </c>
      <c r="J1056" s="4" t="s">
        <v>1757</v>
      </c>
    </row>
    <row r="1057">
      <c r="A1057" s="4" t="s">
        <v>2361</v>
      </c>
      <c r="B1057" s="13" t="s">
        <v>48</v>
      </c>
      <c r="C1057" s="4">
        <v>1.0</v>
      </c>
      <c r="D1057" s="3"/>
      <c r="E1057" s="3"/>
      <c r="F1057" s="3"/>
      <c r="G1057" s="3"/>
      <c r="H1057" s="3"/>
      <c r="I1057" s="4">
        <v>15.0</v>
      </c>
      <c r="J1057" s="4" t="s">
        <v>1757</v>
      </c>
    </row>
    <row r="1058">
      <c r="A1058" s="4" t="s">
        <v>2362</v>
      </c>
      <c r="B1058" s="13" t="s">
        <v>48</v>
      </c>
      <c r="C1058" s="4">
        <v>1.0</v>
      </c>
      <c r="D1058" s="3"/>
      <c r="E1058" s="3"/>
      <c r="F1058" s="3"/>
      <c r="G1058" s="3"/>
      <c r="H1058" s="3"/>
      <c r="I1058" s="4">
        <v>15.0</v>
      </c>
      <c r="J1058" s="4" t="s">
        <v>1757</v>
      </c>
    </row>
    <row r="1059">
      <c r="A1059" s="4" t="s">
        <v>2363</v>
      </c>
      <c r="B1059" s="13" t="s">
        <v>48</v>
      </c>
      <c r="C1059" s="4">
        <v>1.0</v>
      </c>
      <c r="D1059" s="3"/>
      <c r="E1059" s="3"/>
      <c r="F1059" s="3"/>
      <c r="G1059" s="3"/>
      <c r="H1059" s="3"/>
      <c r="I1059" s="4">
        <v>15.0</v>
      </c>
      <c r="J1059" s="4" t="s">
        <v>1757</v>
      </c>
    </row>
    <row r="1060">
      <c r="A1060" s="4" t="s">
        <v>2364</v>
      </c>
      <c r="B1060" s="13" t="s">
        <v>48</v>
      </c>
      <c r="C1060" s="4">
        <v>1.0</v>
      </c>
      <c r="D1060" s="3"/>
      <c r="E1060" s="3"/>
      <c r="F1060" s="3"/>
      <c r="G1060" s="3"/>
      <c r="H1060" s="3"/>
      <c r="I1060" s="4">
        <v>15.0</v>
      </c>
      <c r="J1060" s="4" t="s">
        <v>1757</v>
      </c>
    </row>
    <row r="1061">
      <c r="A1061" s="4" t="s">
        <v>2365</v>
      </c>
      <c r="B1061" s="13" t="s">
        <v>48</v>
      </c>
      <c r="C1061" s="4">
        <v>1.0</v>
      </c>
      <c r="D1061" s="3"/>
      <c r="E1061" s="3"/>
      <c r="F1061" s="3"/>
      <c r="G1061" s="3"/>
      <c r="H1061" s="3"/>
      <c r="I1061" s="4">
        <v>15.0</v>
      </c>
      <c r="J1061" s="4" t="s">
        <v>1757</v>
      </c>
    </row>
    <row r="1062">
      <c r="A1062" s="4" t="s">
        <v>2366</v>
      </c>
      <c r="B1062" s="13" t="s">
        <v>48</v>
      </c>
      <c r="C1062" s="4">
        <v>1.0</v>
      </c>
      <c r="D1062" s="3"/>
      <c r="E1062" s="3"/>
      <c r="F1062" s="3"/>
      <c r="G1062" s="3"/>
      <c r="H1062" s="3"/>
      <c r="I1062" s="4">
        <v>15.0</v>
      </c>
      <c r="J1062" s="4" t="s">
        <v>1757</v>
      </c>
    </row>
    <row r="1063">
      <c r="A1063" s="4" t="s">
        <v>2367</v>
      </c>
      <c r="B1063" s="13" t="s">
        <v>48</v>
      </c>
      <c r="C1063" s="4">
        <v>1.0</v>
      </c>
      <c r="D1063" s="3"/>
      <c r="E1063" s="3"/>
      <c r="F1063" s="3"/>
      <c r="G1063" s="3"/>
      <c r="H1063" s="3"/>
      <c r="I1063" s="4">
        <v>15.0</v>
      </c>
      <c r="J1063" s="4" t="s">
        <v>1757</v>
      </c>
    </row>
    <row r="1064">
      <c r="A1064" s="4" t="s">
        <v>2368</v>
      </c>
      <c r="B1064" s="13" t="s">
        <v>48</v>
      </c>
      <c r="C1064" s="4">
        <v>1.0</v>
      </c>
      <c r="D1064" s="3"/>
      <c r="E1064" s="3"/>
      <c r="F1064" s="3"/>
      <c r="G1064" s="3"/>
      <c r="H1064" s="3"/>
      <c r="I1064" s="4">
        <v>15.0</v>
      </c>
      <c r="J1064" s="4" t="s">
        <v>1757</v>
      </c>
    </row>
    <row r="1065">
      <c r="A1065" s="4" t="s">
        <v>2369</v>
      </c>
      <c r="B1065" s="13" t="s">
        <v>48</v>
      </c>
      <c r="C1065" s="4">
        <v>1.0</v>
      </c>
      <c r="D1065" s="3"/>
      <c r="E1065" s="3"/>
      <c r="F1065" s="3"/>
      <c r="G1065" s="3"/>
      <c r="H1065" s="3"/>
      <c r="I1065" s="4">
        <v>15.0</v>
      </c>
      <c r="J1065" s="4" t="s">
        <v>1757</v>
      </c>
      <c r="K1065" s="4" t="s">
        <v>1757</v>
      </c>
    </row>
    <row r="1066">
      <c r="A1066" s="4" t="s">
        <v>2370</v>
      </c>
      <c r="B1066" s="13" t="s">
        <v>48</v>
      </c>
      <c r="C1066" s="4">
        <v>1.0</v>
      </c>
      <c r="D1066" s="3"/>
      <c r="E1066" s="3"/>
      <c r="F1066" s="3"/>
      <c r="G1066" s="3"/>
      <c r="H1066" s="3"/>
      <c r="I1066" s="4">
        <v>15.0</v>
      </c>
      <c r="J1066" s="4" t="s">
        <v>1757</v>
      </c>
      <c r="K1066" s="4" t="s">
        <v>1757</v>
      </c>
    </row>
    <row r="1067">
      <c r="A1067" s="4" t="s">
        <v>2371</v>
      </c>
      <c r="B1067" s="13" t="s">
        <v>48</v>
      </c>
      <c r="C1067" s="4">
        <v>1.0</v>
      </c>
      <c r="D1067" s="3"/>
      <c r="E1067" s="3"/>
      <c r="F1067" s="3"/>
      <c r="G1067" s="3"/>
      <c r="H1067" s="3"/>
      <c r="I1067" s="4">
        <v>15.0</v>
      </c>
      <c r="J1067" s="4" t="s">
        <v>1757</v>
      </c>
      <c r="K1067" s="4" t="s">
        <v>1757</v>
      </c>
    </row>
    <row r="1068">
      <c r="A1068" s="4" t="s">
        <v>2372</v>
      </c>
      <c r="B1068" s="13" t="s">
        <v>48</v>
      </c>
      <c r="C1068" s="4">
        <v>1.0</v>
      </c>
      <c r="D1068" s="3"/>
      <c r="E1068" s="3"/>
      <c r="F1068" s="3"/>
      <c r="G1068" s="3"/>
      <c r="H1068" s="3"/>
      <c r="I1068" s="4">
        <v>15.0</v>
      </c>
      <c r="J1068" s="4" t="s">
        <v>1757</v>
      </c>
      <c r="K1068" s="4" t="s">
        <v>1757</v>
      </c>
    </row>
    <row r="1069">
      <c r="A1069" s="4" t="s">
        <v>2373</v>
      </c>
      <c r="B1069" s="13" t="s">
        <v>48</v>
      </c>
      <c r="C1069" s="4">
        <v>1.0</v>
      </c>
      <c r="D1069" s="3"/>
      <c r="E1069" s="3"/>
      <c r="F1069" s="3"/>
      <c r="G1069" s="3"/>
      <c r="H1069" s="3"/>
      <c r="I1069" s="4">
        <v>15.0</v>
      </c>
      <c r="J1069" s="4" t="s">
        <v>1757</v>
      </c>
      <c r="K1069" s="4" t="s">
        <v>1757</v>
      </c>
    </row>
    <row r="1070">
      <c r="A1070" s="4" t="s">
        <v>2374</v>
      </c>
      <c r="B1070" s="13" t="s">
        <v>48</v>
      </c>
      <c r="C1070" s="4">
        <v>1.0</v>
      </c>
      <c r="D1070" s="3"/>
      <c r="E1070" s="3"/>
      <c r="F1070" s="3"/>
      <c r="G1070" s="3"/>
      <c r="H1070" s="3"/>
      <c r="I1070" s="4">
        <v>15.0</v>
      </c>
      <c r="J1070" s="4" t="s">
        <v>1757</v>
      </c>
      <c r="K1070" s="4" t="s">
        <v>1757</v>
      </c>
    </row>
    <row r="1071">
      <c r="A1071" s="4" t="s">
        <v>2375</v>
      </c>
      <c r="B1071" s="13" t="s">
        <v>48</v>
      </c>
      <c r="C1071" s="4">
        <v>1.0</v>
      </c>
      <c r="D1071" s="3"/>
      <c r="E1071" s="3"/>
      <c r="F1071" s="3"/>
      <c r="G1071" s="3"/>
      <c r="H1071" s="3"/>
      <c r="I1071" s="4">
        <v>15.0</v>
      </c>
      <c r="J1071" s="4" t="s">
        <v>1757</v>
      </c>
      <c r="K1071" s="4" t="s">
        <v>1757</v>
      </c>
    </row>
    <row r="1072">
      <c r="A1072" s="4" t="s">
        <v>2376</v>
      </c>
      <c r="B1072" s="13" t="s">
        <v>48</v>
      </c>
      <c r="C1072" s="4">
        <v>1.0</v>
      </c>
      <c r="D1072" s="3"/>
      <c r="E1072" s="3"/>
      <c r="F1072" s="3"/>
      <c r="G1072" s="3"/>
      <c r="H1072" s="3"/>
      <c r="I1072" s="4">
        <v>15.0</v>
      </c>
      <c r="J1072" s="4" t="s">
        <v>1757</v>
      </c>
      <c r="K1072" s="4" t="s">
        <v>1757</v>
      </c>
    </row>
    <row r="1073">
      <c r="A1073" s="4" t="s">
        <v>2377</v>
      </c>
      <c r="B1073" s="13" t="s">
        <v>48</v>
      </c>
      <c r="C1073" s="4">
        <v>1.0</v>
      </c>
      <c r="D1073" s="3"/>
      <c r="E1073" s="3"/>
      <c r="F1073" s="3"/>
      <c r="G1073" s="3"/>
      <c r="H1073" s="3"/>
      <c r="I1073" s="4">
        <v>15.0</v>
      </c>
      <c r="J1073" s="4" t="s">
        <v>1757</v>
      </c>
      <c r="K1073" s="4" t="s">
        <v>1757</v>
      </c>
    </row>
    <row r="1074">
      <c r="A1074" s="4" t="s">
        <v>2378</v>
      </c>
      <c r="B1074" s="13" t="s">
        <v>48</v>
      </c>
      <c r="C1074" s="4">
        <v>1.0</v>
      </c>
      <c r="D1074" s="3"/>
      <c r="E1074" s="3"/>
      <c r="F1074" s="3"/>
      <c r="G1074" s="3"/>
      <c r="H1074" s="3"/>
      <c r="I1074" s="4">
        <v>15.0</v>
      </c>
      <c r="J1074" s="4" t="s">
        <v>1757</v>
      </c>
    </row>
    <row r="1075">
      <c r="A1075" s="4" t="s">
        <v>2379</v>
      </c>
      <c r="B1075" s="13" t="s">
        <v>48</v>
      </c>
      <c r="C1075" s="4">
        <v>1.0</v>
      </c>
      <c r="D1075" s="3"/>
      <c r="E1075" s="3"/>
      <c r="F1075" s="3"/>
      <c r="G1075" s="3"/>
      <c r="H1075" s="3"/>
      <c r="I1075" s="4">
        <v>15.0</v>
      </c>
      <c r="J1075" s="4" t="s">
        <v>1757</v>
      </c>
      <c r="K1075" s="4" t="s">
        <v>1757</v>
      </c>
    </row>
    <row r="1076">
      <c r="A1076" s="4" t="s">
        <v>2380</v>
      </c>
      <c r="B1076" s="13" t="s">
        <v>48</v>
      </c>
      <c r="C1076" s="4">
        <v>1.0</v>
      </c>
      <c r="D1076" s="3"/>
      <c r="E1076" s="3"/>
      <c r="F1076" s="3"/>
      <c r="G1076" s="3"/>
      <c r="H1076" s="3"/>
      <c r="I1076" s="4">
        <v>15.0</v>
      </c>
      <c r="J1076" s="4" t="s">
        <v>1757</v>
      </c>
      <c r="K1076" s="4" t="s">
        <v>1757</v>
      </c>
    </row>
    <row r="1077">
      <c r="A1077" s="4" t="s">
        <v>2381</v>
      </c>
      <c r="B1077" s="13" t="s">
        <v>48</v>
      </c>
      <c r="C1077" s="4">
        <v>1.0</v>
      </c>
      <c r="D1077" s="3"/>
      <c r="E1077" s="3"/>
      <c r="F1077" s="3"/>
      <c r="G1077" s="3"/>
      <c r="H1077" s="3"/>
      <c r="I1077" s="4">
        <v>15.0</v>
      </c>
      <c r="J1077" s="4" t="s">
        <v>1757</v>
      </c>
      <c r="K1077" s="4" t="s">
        <v>1757</v>
      </c>
    </row>
    <row r="1078">
      <c r="A1078" s="4" t="s">
        <v>2382</v>
      </c>
      <c r="B1078" s="13" t="s">
        <v>48</v>
      </c>
      <c r="C1078" s="4">
        <v>1.0</v>
      </c>
      <c r="D1078" s="3"/>
      <c r="E1078" s="3"/>
      <c r="F1078" s="3"/>
      <c r="G1078" s="3"/>
      <c r="H1078" s="3"/>
      <c r="I1078" s="4">
        <v>15.0</v>
      </c>
      <c r="J1078" s="4" t="s">
        <v>1757</v>
      </c>
      <c r="K1078" s="4" t="s">
        <v>1757</v>
      </c>
    </row>
    <row r="1079">
      <c r="A1079" s="4" t="s">
        <v>2383</v>
      </c>
      <c r="B1079" s="13" t="s">
        <v>48</v>
      </c>
      <c r="C1079" s="4">
        <v>1.0</v>
      </c>
      <c r="D1079" s="3"/>
      <c r="E1079" s="3"/>
      <c r="F1079" s="3"/>
      <c r="G1079" s="3"/>
      <c r="H1079" s="3"/>
      <c r="I1079" s="4">
        <v>15.0</v>
      </c>
      <c r="J1079" s="4" t="s">
        <v>1757</v>
      </c>
      <c r="K1079" s="4" t="s">
        <v>1757</v>
      </c>
    </row>
    <row r="1080">
      <c r="A1080" s="4" t="s">
        <v>2384</v>
      </c>
      <c r="B1080" s="13" t="s">
        <v>43</v>
      </c>
      <c r="D1080" s="3"/>
      <c r="E1080" s="3"/>
      <c r="F1080" s="3"/>
      <c r="G1080" s="3"/>
      <c r="H1080" s="3"/>
      <c r="I1080" s="3"/>
      <c r="J1080" s="4" t="s">
        <v>1757</v>
      </c>
      <c r="K1080" s="4" t="s">
        <v>1757</v>
      </c>
    </row>
    <row r="1081">
      <c r="A1081" s="4" t="s">
        <v>2385</v>
      </c>
      <c r="B1081" s="13" t="s">
        <v>43</v>
      </c>
      <c r="D1081" s="3"/>
      <c r="E1081" s="3"/>
      <c r="F1081" s="3"/>
      <c r="G1081" s="3"/>
      <c r="H1081" s="3"/>
      <c r="I1081" s="3"/>
      <c r="J1081" s="4" t="s">
        <v>1757</v>
      </c>
      <c r="K1081" s="4" t="s">
        <v>1757</v>
      </c>
    </row>
    <row r="1082">
      <c r="A1082" s="4" t="s">
        <v>2386</v>
      </c>
      <c r="B1082" s="13" t="s">
        <v>43</v>
      </c>
      <c r="D1082" s="3"/>
      <c r="E1082" s="3"/>
      <c r="F1082" s="3"/>
      <c r="G1082" s="3"/>
      <c r="H1082" s="3"/>
      <c r="I1082" s="3"/>
      <c r="J1082" s="4" t="s">
        <v>1757</v>
      </c>
      <c r="K1082" s="4" t="s">
        <v>1757</v>
      </c>
    </row>
    <row r="1083">
      <c r="A1083" s="4" t="s">
        <v>2387</v>
      </c>
      <c r="B1083" s="13" t="s">
        <v>43</v>
      </c>
      <c r="D1083" s="3"/>
      <c r="E1083" s="3"/>
      <c r="F1083" s="3"/>
      <c r="G1083" s="3"/>
      <c r="H1083" s="3"/>
      <c r="I1083" s="3"/>
      <c r="J1083" s="4" t="s">
        <v>1757</v>
      </c>
    </row>
    <row r="1084">
      <c r="A1084" s="4" t="s">
        <v>2388</v>
      </c>
      <c r="B1084" s="13" t="s">
        <v>43</v>
      </c>
      <c r="D1084" s="3"/>
      <c r="E1084" s="3"/>
      <c r="F1084" s="3"/>
      <c r="G1084" s="3"/>
      <c r="H1084" s="3"/>
      <c r="I1084" s="3"/>
      <c r="J1084" s="4" t="s">
        <v>1757</v>
      </c>
    </row>
    <row r="1085">
      <c r="A1085" s="4" t="s">
        <v>2389</v>
      </c>
      <c r="B1085" s="13" t="s">
        <v>43</v>
      </c>
      <c r="D1085" s="3"/>
      <c r="E1085" s="3"/>
      <c r="F1085" s="3"/>
      <c r="G1085" s="3"/>
      <c r="H1085" s="3"/>
      <c r="I1085" s="3"/>
      <c r="J1085" s="4" t="s">
        <v>1757</v>
      </c>
    </row>
    <row r="1086">
      <c r="A1086" s="4" t="s">
        <v>2390</v>
      </c>
      <c r="B1086" s="13" t="s">
        <v>43</v>
      </c>
      <c r="D1086" s="3"/>
      <c r="E1086" s="3"/>
      <c r="F1086" s="3"/>
      <c r="G1086" s="3"/>
      <c r="H1086" s="3"/>
      <c r="I1086" s="3"/>
      <c r="J1086" s="4" t="s">
        <v>1757</v>
      </c>
    </row>
    <row r="1087">
      <c r="A1087" s="4" t="s">
        <v>2391</v>
      </c>
      <c r="B1087" s="13" t="s">
        <v>43</v>
      </c>
      <c r="D1087" s="3"/>
      <c r="E1087" s="3"/>
      <c r="F1087" s="3"/>
      <c r="G1087" s="3"/>
      <c r="H1087" s="3"/>
      <c r="I1087" s="3"/>
      <c r="J1087" s="4" t="s">
        <v>1757</v>
      </c>
    </row>
    <row r="1088">
      <c r="A1088" s="4" t="s">
        <v>2392</v>
      </c>
      <c r="B1088" s="13" t="s">
        <v>43</v>
      </c>
      <c r="D1088" s="3"/>
      <c r="E1088" s="3"/>
      <c r="F1088" s="3"/>
      <c r="G1088" s="3"/>
      <c r="H1088" s="3"/>
      <c r="I1088" s="3"/>
      <c r="J1088" s="4" t="s">
        <v>1757</v>
      </c>
    </row>
    <row r="1089">
      <c r="A1089" s="4" t="s">
        <v>2393</v>
      </c>
      <c r="B1089" s="19" t="s">
        <v>48</v>
      </c>
      <c r="C1089" s="4">
        <v>1.0</v>
      </c>
      <c r="D1089" s="3"/>
      <c r="E1089" s="3"/>
      <c r="F1089" s="4">
        <v>9.0</v>
      </c>
      <c r="G1089" s="3"/>
      <c r="H1089" s="3"/>
      <c r="I1089" s="3"/>
      <c r="J1089" s="4" t="s">
        <v>1757</v>
      </c>
    </row>
    <row r="1090">
      <c r="A1090" s="4" t="s">
        <v>2394</v>
      </c>
      <c r="B1090" s="19" t="s">
        <v>48</v>
      </c>
      <c r="C1090" s="4">
        <v>1.0</v>
      </c>
      <c r="D1090" s="3"/>
      <c r="E1090" s="3"/>
      <c r="F1090" s="4">
        <v>9.0</v>
      </c>
      <c r="G1090" s="3"/>
      <c r="H1090" s="3"/>
      <c r="I1090" s="3"/>
      <c r="J1090" s="4" t="s">
        <v>1757</v>
      </c>
    </row>
    <row r="1091">
      <c r="A1091" s="4" t="s">
        <v>2395</v>
      </c>
      <c r="B1091" s="19" t="s">
        <v>48</v>
      </c>
      <c r="C1091" s="4">
        <v>1.0</v>
      </c>
      <c r="D1091" s="3"/>
      <c r="E1091" s="3"/>
      <c r="F1091" s="4">
        <v>9.0</v>
      </c>
      <c r="G1091" s="3"/>
      <c r="H1091" s="3"/>
      <c r="I1091" s="3"/>
      <c r="J1091" s="4" t="s">
        <v>1757</v>
      </c>
    </row>
    <row r="1092">
      <c r="A1092" s="4" t="s">
        <v>2396</v>
      </c>
      <c r="B1092" s="19" t="s">
        <v>48</v>
      </c>
      <c r="C1092" s="4">
        <v>1.0</v>
      </c>
      <c r="D1092" s="3"/>
      <c r="E1092" s="3"/>
      <c r="F1092" s="4">
        <v>9.0</v>
      </c>
      <c r="G1092" s="3"/>
      <c r="H1092" s="3"/>
      <c r="I1092" s="3"/>
      <c r="J1092" s="4" t="s">
        <v>1757</v>
      </c>
    </row>
    <row r="1093">
      <c r="A1093" s="4" t="s">
        <v>2397</v>
      </c>
      <c r="B1093" s="19" t="s">
        <v>48</v>
      </c>
      <c r="C1093" s="4">
        <v>1.0</v>
      </c>
      <c r="D1093" s="3"/>
      <c r="E1093" s="3"/>
      <c r="F1093" s="4">
        <v>9.0</v>
      </c>
      <c r="G1093" s="3"/>
      <c r="H1093" s="3"/>
      <c r="I1093" s="3"/>
      <c r="J1093" s="4" t="s">
        <v>1757</v>
      </c>
    </row>
    <row r="1094">
      <c r="A1094" s="4" t="s">
        <v>2398</v>
      </c>
      <c r="B1094" s="19" t="s">
        <v>48</v>
      </c>
      <c r="C1094" s="4">
        <v>1.0</v>
      </c>
      <c r="D1094" s="3"/>
      <c r="E1094" s="3"/>
      <c r="F1094" s="4">
        <v>9.0</v>
      </c>
      <c r="G1094" s="3"/>
      <c r="H1094" s="3"/>
      <c r="I1094" s="3"/>
      <c r="J1094" s="4" t="s">
        <v>1757</v>
      </c>
    </row>
    <row r="1095">
      <c r="A1095" s="4" t="s">
        <v>2399</v>
      </c>
      <c r="B1095" s="19" t="s">
        <v>48</v>
      </c>
      <c r="C1095" s="4">
        <v>1.0</v>
      </c>
      <c r="D1095" s="3"/>
      <c r="E1095" s="3"/>
      <c r="F1095" s="4">
        <v>9.0</v>
      </c>
      <c r="G1095" s="3"/>
      <c r="H1095" s="3"/>
      <c r="I1095" s="3"/>
      <c r="J1095" s="4" t="s">
        <v>1757</v>
      </c>
    </row>
    <row r="1096">
      <c r="A1096" s="4" t="s">
        <v>2400</v>
      </c>
      <c r="B1096" s="19" t="s">
        <v>48</v>
      </c>
      <c r="C1096" s="4">
        <v>1.0</v>
      </c>
      <c r="D1096" s="3"/>
      <c r="E1096" s="3"/>
      <c r="F1096" s="4">
        <v>9.0</v>
      </c>
      <c r="G1096" s="3"/>
      <c r="H1096" s="3"/>
      <c r="I1096" s="3"/>
      <c r="J1096" s="4" t="s">
        <v>1757</v>
      </c>
    </row>
    <row r="1097">
      <c r="A1097" s="4" t="s">
        <v>2401</v>
      </c>
      <c r="B1097" s="19" t="s">
        <v>48</v>
      </c>
      <c r="C1097" s="4">
        <v>1.0</v>
      </c>
      <c r="D1097" s="3"/>
      <c r="E1097" s="3"/>
      <c r="F1097" s="4">
        <v>9.0</v>
      </c>
      <c r="G1097" s="3"/>
      <c r="H1097" s="3"/>
      <c r="I1097" s="3"/>
      <c r="J1097" s="4" t="s">
        <v>1757</v>
      </c>
    </row>
    <row r="1098">
      <c r="A1098" s="4" t="s">
        <v>2402</v>
      </c>
      <c r="B1098" s="19" t="s">
        <v>48</v>
      </c>
      <c r="C1098" s="4">
        <v>1.0</v>
      </c>
      <c r="D1098" s="3"/>
      <c r="E1098" s="3"/>
      <c r="F1098" s="4">
        <v>9.0</v>
      </c>
      <c r="G1098" s="3"/>
      <c r="H1098" s="3"/>
      <c r="I1098" s="3"/>
      <c r="J1098" s="4" t="s">
        <v>1757</v>
      </c>
    </row>
    <row r="1099">
      <c r="A1099" s="4" t="s">
        <v>2403</v>
      </c>
      <c r="B1099" s="19" t="s">
        <v>48</v>
      </c>
      <c r="C1099" s="4">
        <v>1.0</v>
      </c>
      <c r="D1099" s="3"/>
      <c r="E1099" s="3"/>
      <c r="F1099" s="4">
        <v>9.0</v>
      </c>
      <c r="G1099" s="3"/>
      <c r="H1099" s="3"/>
      <c r="I1099" s="3"/>
      <c r="J1099" s="4" t="s">
        <v>1757</v>
      </c>
    </row>
    <row r="1100">
      <c r="A1100" s="4" t="s">
        <v>2404</v>
      </c>
      <c r="B1100" s="19" t="s">
        <v>48</v>
      </c>
      <c r="C1100" s="4">
        <v>1.0</v>
      </c>
      <c r="D1100" s="3"/>
      <c r="E1100" s="3"/>
      <c r="F1100" s="4">
        <v>9.0</v>
      </c>
      <c r="G1100" s="3"/>
      <c r="H1100" s="3"/>
      <c r="I1100" s="3"/>
      <c r="J1100" s="4" t="s">
        <v>1757</v>
      </c>
    </row>
    <row r="1101">
      <c r="A1101" s="4" t="s">
        <v>2405</v>
      </c>
      <c r="B1101" s="19" t="s">
        <v>48</v>
      </c>
      <c r="C1101" s="4">
        <v>1.0</v>
      </c>
      <c r="D1101" s="3"/>
      <c r="E1101" s="3"/>
      <c r="F1101" s="4">
        <v>9.0</v>
      </c>
      <c r="G1101" s="3"/>
      <c r="H1101" s="3"/>
      <c r="I1101" s="3"/>
      <c r="J1101" s="4" t="s">
        <v>1757</v>
      </c>
    </row>
    <row r="1102">
      <c r="A1102" s="4" t="s">
        <v>2406</v>
      </c>
      <c r="B1102" s="19" t="s">
        <v>48</v>
      </c>
      <c r="C1102" s="4">
        <v>1.0</v>
      </c>
      <c r="D1102" s="3"/>
      <c r="E1102" s="3"/>
      <c r="F1102" s="4">
        <v>9.0</v>
      </c>
      <c r="G1102" s="3"/>
      <c r="H1102" s="3"/>
      <c r="I1102" s="3"/>
      <c r="J1102" s="4" t="s">
        <v>1757</v>
      </c>
    </row>
    <row r="1103">
      <c r="A1103" s="4" t="s">
        <v>2407</v>
      </c>
      <c r="B1103" s="19" t="s">
        <v>48</v>
      </c>
      <c r="C1103" s="4">
        <v>1.0</v>
      </c>
      <c r="D1103" s="3"/>
      <c r="E1103" s="3"/>
      <c r="F1103" s="4">
        <v>9.0</v>
      </c>
      <c r="G1103" s="3"/>
      <c r="H1103" s="3"/>
      <c r="I1103" s="3"/>
      <c r="J1103" s="4" t="s">
        <v>1757</v>
      </c>
    </row>
    <row r="1104">
      <c r="A1104" s="4" t="s">
        <v>2408</v>
      </c>
      <c r="B1104" s="19" t="s">
        <v>48</v>
      </c>
      <c r="C1104" s="4">
        <v>1.0</v>
      </c>
      <c r="D1104" s="3"/>
      <c r="E1104" s="3"/>
      <c r="F1104" s="4">
        <v>9.0</v>
      </c>
      <c r="G1104" s="3"/>
      <c r="H1104" s="3"/>
      <c r="I1104" s="3"/>
      <c r="J1104" s="4" t="s">
        <v>1757</v>
      </c>
    </row>
    <row r="1105">
      <c r="A1105" s="4" t="s">
        <v>2409</v>
      </c>
      <c r="B1105" s="19" t="s">
        <v>48</v>
      </c>
      <c r="C1105" s="4">
        <v>1.0</v>
      </c>
      <c r="D1105" s="3"/>
      <c r="E1105" s="3"/>
      <c r="F1105" s="4">
        <v>9.0</v>
      </c>
      <c r="G1105" s="3"/>
      <c r="H1105" s="3"/>
      <c r="I1105" s="3"/>
      <c r="J1105" s="4" t="s">
        <v>1757</v>
      </c>
    </row>
    <row r="1106">
      <c r="A1106" s="4" t="s">
        <v>2410</v>
      </c>
      <c r="B1106" s="19" t="s">
        <v>48</v>
      </c>
      <c r="C1106" s="4">
        <v>1.0</v>
      </c>
      <c r="D1106" s="3"/>
      <c r="E1106" s="3"/>
      <c r="F1106" s="4">
        <v>9.0</v>
      </c>
      <c r="G1106" s="3"/>
      <c r="H1106" s="3"/>
      <c r="I1106" s="3"/>
      <c r="J1106" s="4" t="s">
        <v>1757</v>
      </c>
    </row>
    <row r="1107">
      <c r="A1107" s="4" t="s">
        <v>2411</v>
      </c>
      <c r="B1107" s="19" t="s">
        <v>48</v>
      </c>
      <c r="C1107" s="4">
        <v>1.0</v>
      </c>
      <c r="D1107" s="3"/>
      <c r="E1107" s="3"/>
      <c r="F1107" s="4">
        <v>9.0</v>
      </c>
      <c r="G1107" s="3"/>
      <c r="H1107" s="3"/>
      <c r="I1107" s="3"/>
    </row>
    <row r="1108">
      <c r="A1108" s="4" t="s">
        <v>2412</v>
      </c>
      <c r="B1108" s="19" t="s">
        <v>48</v>
      </c>
      <c r="C1108" s="4">
        <v>1.0</v>
      </c>
      <c r="D1108" s="3"/>
      <c r="E1108" s="3"/>
      <c r="F1108" s="4">
        <v>9.0</v>
      </c>
      <c r="G1108" s="3"/>
      <c r="H1108" s="3"/>
      <c r="I1108" s="3"/>
    </row>
    <row r="1109">
      <c r="A1109" s="4" t="s">
        <v>2413</v>
      </c>
      <c r="B1109" s="19" t="s">
        <v>48</v>
      </c>
      <c r="C1109" s="4">
        <v>1.0</v>
      </c>
      <c r="D1109" s="3"/>
      <c r="E1109" s="3"/>
      <c r="F1109" s="4">
        <v>9.0</v>
      </c>
      <c r="G1109" s="3"/>
      <c r="H1109" s="3"/>
      <c r="I1109" s="3"/>
    </row>
    <row r="1110">
      <c r="A1110" s="4" t="s">
        <v>2414</v>
      </c>
      <c r="B1110" s="19" t="s">
        <v>48</v>
      </c>
      <c r="C1110" s="4">
        <v>1.0</v>
      </c>
      <c r="D1110" s="3"/>
      <c r="E1110" s="3"/>
      <c r="F1110" s="4">
        <v>9.0</v>
      </c>
      <c r="G1110" s="3"/>
      <c r="H1110" s="3"/>
      <c r="I1110" s="3"/>
    </row>
    <row r="1111">
      <c r="A1111" s="4" t="s">
        <v>2415</v>
      </c>
      <c r="B1111" s="19" t="s">
        <v>48</v>
      </c>
      <c r="C1111" s="4">
        <v>1.0</v>
      </c>
      <c r="D1111" s="3"/>
      <c r="E1111" s="3"/>
      <c r="F1111" s="4">
        <v>9.0</v>
      </c>
      <c r="G1111" s="3"/>
      <c r="H1111" s="3"/>
      <c r="I1111" s="3"/>
    </row>
    <row r="1112">
      <c r="A1112" s="4" t="s">
        <v>2416</v>
      </c>
      <c r="B1112" s="19" t="s">
        <v>48</v>
      </c>
      <c r="C1112" s="4">
        <v>1.0</v>
      </c>
      <c r="D1112" s="3"/>
      <c r="E1112" s="3"/>
      <c r="F1112" s="4">
        <v>9.0</v>
      </c>
      <c r="G1112" s="3"/>
      <c r="H1112" s="3"/>
      <c r="I1112" s="3"/>
    </row>
    <row r="1113">
      <c r="A1113" s="4" t="s">
        <v>2417</v>
      </c>
      <c r="B1113" s="19" t="s">
        <v>48</v>
      </c>
      <c r="C1113" s="4">
        <v>1.0</v>
      </c>
      <c r="D1113" s="3"/>
      <c r="E1113" s="3"/>
      <c r="F1113" s="4">
        <v>9.0</v>
      </c>
      <c r="G1113" s="3"/>
      <c r="H1113" s="3"/>
      <c r="I1113" s="3"/>
    </row>
    <row r="1114">
      <c r="A1114" s="4" t="s">
        <v>2418</v>
      </c>
      <c r="B1114" s="19" t="s">
        <v>48</v>
      </c>
      <c r="C1114" s="4">
        <v>1.0</v>
      </c>
      <c r="D1114" s="3"/>
      <c r="E1114" s="3"/>
      <c r="F1114" s="4">
        <v>9.0</v>
      </c>
      <c r="G1114" s="3"/>
      <c r="H1114" s="3"/>
      <c r="I1114" s="3"/>
    </row>
    <row r="1115">
      <c r="A1115" s="4" t="s">
        <v>2419</v>
      </c>
      <c r="B1115" s="19" t="s">
        <v>48</v>
      </c>
      <c r="C1115" s="4">
        <v>1.0</v>
      </c>
      <c r="D1115" s="3"/>
      <c r="E1115" s="3"/>
      <c r="F1115" s="4">
        <v>9.0</v>
      </c>
      <c r="G1115" s="3"/>
      <c r="H1115" s="3"/>
      <c r="I1115" s="3"/>
    </row>
    <row r="1116">
      <c r="A1116" s="4" t="s">
        <v>2420</v>
      </c>
      <c r="B1116" s="19" t="s">
        <v>48</v>
      </c>
      <c r="C1116" s="4">
        <v>1.0</v>
      </c>
      <c r="D1116" s="3"/>
      <c r="E1116" s="3"/>
      <c r="F1116" s="4">
        <v>9.0</v>
      </c>
      <c r="G1116" s="3"/>
      <c r="H1116" s="3"/>
      <c r="I1116" s="3"/>
    </row>
    <row r="1117">
      <c r="A1117" s="4" t="s">
        <v>2421</v>
      </c>
      <c r="B1117" s="19" t="s">
        <v>48</v>
      </c>
      <c r="C1117" s="4">
        <v>1.0</v>
      </c>
      <c r="D1117" s="3"/>
      <c r="E1117" s="3"/>
      <c r="F1117" s="4">
        <v>9.0</v>
      </c>
      <c r="G1117" s="3"/>
      <c r="H1117" s="3"/>
      <c r="I1117" s="3"/>
    </row>
    <row r="1118">
      <c r="A1118" s="4" t="s">
        <v>2422</v>
      </c>
      <c r="B1118" s="13" t="s">
        <v>43</v>
      </c>
      <c r="D1118" s="3"/>
      <c r="E1118" s="3"/>
      <c r="F1118" s="3"/>
      <c r="G1118" s="3"/>
      <c r="H1118" s="3"/>
      <c r="I1118" s="3"/>
    </row>
    <row r="1119">
      <c r="A1119" s="4" t="s">
        <v>2423</v>
      </c>
      <c r="B1119" s="13" t="s">
        <v>43</v>
      </c>
      <c r="D1119" s="3"/>
      <c r="E1119" s="3"/>
      <c r="F1119" s="3"/>
      <c r="G1119" s="3"/>
      <c r="H1119" s="3"/>
      <c r="I1119" s="3"/>
    </row>
    <row r="1120">
      <c r="A1120" s="4" t="s">
        <v>2424</v>
      </c>
      <c r="B1120" s="13" t="s">
        <v>43</v>
      </c>
      <c r="D1120" s="3"/>
      <c r="E1120" s="3"/>
      <c r="F1120" s="3"/>
      <c r="G1120" s="3"/>
      <c r="H1120" s="3"/>
      <c r="I1120" s="3"/>
    </row>
    <row r="1121">
      <c r="A1121" s="4" t="s">
        <v>2425</v>
      </c>
      <c r="B1121" s="13" t="s">
        <v>43</v>
      </c>
      <c r="D1121" s="3"/>
      <c r="E1121" s="3"/>
      <c r="F1121" s="3"/>
      <c r="G1121" s="3"/>
      <c r="H1121" s="3"/>
      <c r="I1121" s="3"/>
    </row>
    <row r="1122">
      <c r="A1122" s="4" t="s">
        <v>2426</v>
      </c>
      <c r="B1122" s="13" t="s">
        <v>43</v>
      </c>
      <c r="D1122" s="3"/>
      <c r="E1122" s="3"/>
      <c r="F1122" s="3"/>
      <c r="G1122" s="3"/>
      <c r="H1122" s="3"/>
      <c r="I1122" s="3"/>
    </row>
    <row r="1123">
      <c r="A1123" s="4" t="s">
        <v>2427</v>
      </c>
      <c r="B1123" s="13" t="s">
        <v>43</v>
      </c>
      <c r="D1123" s="3"/>
      <c r="E1123" s="3"/>
      <c r="F1123" s="3"/>
      <c r="G1123" s="3"/>
      <c r="H1123" s="3"/>
      <c r="I1123" s="3"/>
    </row>
    <row r="1124">
      <c r="A1124" s="4" t="s">
        <v>2428</v>
      </c>
      <c r="B1124" s="13" t="s">
        <v>43</v>
      </c>
      <c r="D1124" s="3"/>
      <c r="E1124" s="3"/>
      <c r="F1124" s="3"/>
      <c r="G1124" s="3"/>
      <c r="H1124" s="3"/>
      <c r="I1124" s="3"/>
    </row>
    <row r="1125">
      <c r="A1125" s="4" t="s">
        <v>2429</v>
      </c>
      <c r="B1125" s="13" t="s">
        <v>43</v>
      </c>
      <c r="D1125" s="3"/>
      <c r="E1125" s="3"/>
      <c r="F1125" s="3"/>
      <c r="G1125" s="3"/>
      <c r="H1125" s="3"/>
      <c r="I1125" s="3"/>
    </row>
    <row r="1126">
      <c r="A1126" s="4" t="s">
        <v>2430</v>
      </c>
      <c r="B1126" s="13" t="s">
        <v>43</v>
      </c>
      <c r="D1126" s="3"/>
      <c r="E1126" s="3"/>
      <c r="F1126" s="3"/>
      <c r="G1126" s="3"/>
      <c r="H1126" s="3"/>
      <c r="I1126" s="3"/>
    </row>
    <row r="1127">
      <c r="A1127" s="4" t="s">
        <v>2431</v>
      </c>
      <c r="B1127" s="13" t="s">
        <v>43</v>
      </c>
      <c r="D1127" s="3"/>
      <c r="E1127" s="3"/>
      <c r="F1127" s="3"/>
      <c r="G1127" s="3"/>
      <c r="H1127" s="3"/>
      <c r="I1127" s="3"/>
    </row>
    <row r="1128">
      <c r="A1128" s="4" t="s">
        <v>2432</v>
      </c>
      <c r="B1128" s="13" t="s">
        <v>43</v>
      </c>
      <c r="D1128" s="3"/>
      <c r="E1128" s="3"/>
      <c r="F1128" s="3"/>
      <c r="G1128" s="3"/>
      <c r="H1128" s="3"/>
      <c r="I1128" s="3"/>
    </row>
    <row r="1129">
      <c r="A1129" s="4" t="s">
        <v>2433</v>
      </c>
      <c r="B1129" s="13" t="s">
        <v>43</v>
      </c>
      <c r="D1129" s="3"/>
      <c r="E1129" s="3"/>
      <c r="F1129" s="3"/>
      <c r="G1129" s="3"/>
      <c r="H1129" s="3"/>
      <c r="I1129" s="3"/>
    </row>
    <row r="1130">
      <c r="A1130" s="4" t="s">
        <v>2434</v>
      </c>
      <c r="B1130" s="13" t="s">
        <v>43</v>
      </c>
      <c r="D1130" s="3"/>
      <c r="E1130" s="3"/>
      <c r="F1130" s="3"/>
      <c r="G1130" s="3"/>
      <c r="H1130" s="3"/>
      <c r="I1130" s="3"/>
    </row>
    <row r="1131">
      <c r="A1131" s="4" t="s">
        <v>2435</v>
      </c>
      <c r="B1131" s="13" t="s">
        <v>48</v>
      </c>
      <c r="C1131" s="4">
        <v>1.0</v>
      </c>
      <c r="D1131" s="3"/>
      <c r="E1131" s="24">
        <v>2.0</v>
      </c>
      <c r="F1131" s="3"/>
      <c r="G1131" s="3"/>
      <c r="H1131" s="3"/>
      <c r="I1131" s="3"/>
    </row>
    <row r="1132">
      <c r="A1132" s="4" t="s">
        <v>2436</v>
      </c>
      <c r="B1132" s="13" t="s">
        <v>48</v>
      </c>
      <c r="C1132" s="4">
        <v>1.0</v>
      </c>
      <c r="D1132" s="3"/>
      <c r="E1132" s="24">
        <v>2.0</v>
      </c>
      <c r="F1132" s="3"/>
      <c r="G1132" s="3"/>
      <c r="H1132" s="3"/>
      <c r="I1132" s="3"/>
    </row>
    <row r="1133">
      <c r="A1133" s="4" t="s">
        <v>2437</v>
      </c>
      <c r="B1133" s="13" t="s">
        <v>48</v>
      </c>
      <c r="C1133" s="4">
        <v>1.0</v>
      </c>
      <c r="D1133" s="3"/>
      <c r="E1133" s="24">
        <v>2.0</v>
      </c>
      <c r="F1133" s="3"/>
      <c r="G1133" s="3"/>
      <c r="H1133" s="3"/>
      <c r="I1133" s="3"/>
    </row>
    <row r="1134">
      <c r="A1134" s="4" t="s">
        <v>2438</v>
      </c>
      <c r="B1134" s="13" t="s">
        <v>48</v>
      </c>
      <c r="C1134" s="4">
        <v>1.0</v>
      </c>
      <c r="D1134" s="3"/>
      <c r="E1134" s="24">
        <v>2.0</v>
      </c>
      <c r="F1134" s="3"/>
      <c r="G1134" s="3"/>
      <c r="H1134" s="3"/>
      <c r="I1134" s="3"/>
      <c r="J1134" s="4" t="s">
        <v>1757</v>
      </c>
    </row>
    <row r="1135">
      <c r="A1135" s="4" t="s">
        <v>2439</v>
      </c>
      <c r="B1135" s="13" t="s">
        <v>48</v>
      </c>
      <c r="C1135" s="4">
        <v>1.0</v>
      </c>
      <c r="D1135" s="3"/>
      <c r="E1135" s="24">
        <v>2.0</v>
      </c>
      <c r="F1135" s="3"/>
      <c r="G1135" s="3"/>
      <c r="H1135" s="3"/>
      <c r="I1135" s="3"/>
      <c r="J1135" s="4" t="s">
        <v>1757</v>
      </c>
    </row>
    <row r="1136">
      <c r="A1136" s="4" t="s">
        <v>2440</v>
      </c>
      <c r="B1136" s="13" t="s">
        <v>48</v>
      </c>
      <c r="C1136" s="4">
        <v>1.0</v>
      </c>
      <c r="D1136" s="3"/>
      <c r="E1136" s="24">
        <v>2.0</v>
      </c>
      <c r="F1136" s="3"/>
      <c r="G1136" s="3"/>
      <c r="H1136" s="3"/>
      <c r="I1136" s="3"/>
      <c r="J1136" s="4" t="s">
        <v>1757</v>
      </c>
    </row>
    <row r="1137">
      <c r="A1137" s="4" t="s">
        <v>2441</v>
      </c>
      <c r="B1137" s="13" t="s">
        <v>48</v>
      </c>
      <c r="C1137" s="4">
        <v>1.0</v>
      </c>
      <c r="D1137" s="3"/>
      <c r="E1137" s="24">
        <v>2.0</v>
      </c>
      <c r="F1137" s="3"/>
      <c r="G1137" s="3"/>
      <c r="H1137" s="3"/>
      <c r="I1137" s="3"/>
      <c r="J1137" s="4" t="s">
        <v>1757</v>
      </c>
    </row>
    <row r="1138">
      <c r="A1138" s="4" t="s">
        <v>2442</v>
      </c>
      <c r="B1138" s="13" t="s">
        <v>48</v>
      </c>
      <c r="C1138" s="4">
        <v>1.0</v>
      </c>
      <c r="D1138" s="3"/>
      <c r="E1138" s="24">
        <v>2.0</v>
      </c>
      <c r="F1138" s="3"/>
      <c r="G1138" s="3"/>
      <c r="H1138" s="3"/>
      <c r="I1138" s="3"/>
      <c r="J1138" s="4" t="s">
        <v>1757</v>
      </c>
    </row>
    <row r="1139">
      <c r="A1139" s="4" t="s">
        <v>2443</v>
      </c>
      <c r="B1139" s="13" t="s">
        <v>48</v>
      </c>
      <c r="C1139" s="4">
        <v>1.0</v>
      </c>
      <c r="D1139" s="3"/>
      <c r="E1139" s="24">
        <v>2.0</v>
      </c>
      <c r="F1139" s="3"/>
      <c r="G1139" s="3"/>
      <c r="H1139" s="3"/>
      <c r="I1139" s="3"/>
      <c r="J1139" s="4" t="s">
        <v>1757</v>
      </c>
    </row>
    <row r="1140">
      <c r="A1140" s="4" t="s">
        <v>2444</v>
      </c>
      <c r="B1140" s="13" t="s">
        <v>48</v>
      </c>
      <c r="C1140" s="4">
        <v>1.0</v>
      </c>
      <c r="D1140" s="3"/>
      <c r="E1140" s="24">
        <v>2.0</v>
      </c>
      <c r="F1140" s="3"/>
      <c r="G1140" s="3"/>
      <c r="H1140" s="3"/>
      <c r="I1140" s="3"/>
      <c r="J1140" s="4" t="s">
        <v>1757</v>
      </c>
    </row>
    <row r="1141">
      <c r="A1141" s="4" t="s">
        <v>2445</v>
      </c>
      <c r="B1141" s="13" t="s">
        <v>48</v>
      </c>
      <c r="C1141" s="4">
        <v>1.0</v>
      </c>
      <c r="D1141" s="3"/>
      <c r="E1141" s="24">
        <v>2.0</v>
      </c>
      <c r="F1141" s="3"/>
      <c r="G1141" s="3"/>
      <c r="H1141" s="3"/>
      <c r="I1141" s="3"/>
      <c r="J1141" s="4" t="s">
        <v>1757</v>
      </c>
    </row>
    <row r="1142">
      <c r="A1142" s="4" t="s">
        <v>2446</v>
      </c>
      <c r="B1142" s="13" t="s">
        <v>48</v>
      </c>
      <c r="C1142" s="4">
        <v>1.0</v>
      </c>
      <c r="D1142" s="3"/>
      <c r="E1142" s="24">
        <v>2.0</v>
      </c>
      <c r="F1142" s="3"/>
      <c r="G1142" s="3"/>
      <c r="H1142" s="3"/>
      <c r="I1142" s="3"/>
      <c r="J1142" s="4" t="s">
        <v>1757</v>
      </c>
    </row>
    <row r="1143">
      <c r="A1143" s="4" t="s">
        <v>2447</v>
      </c>
      <c r="B1143" s="13" t="s">
        <v>48</v>
      </c>
      <c r="C1143" s="4">
        <v>1.0</v>
      </c>
      <c r="D1143" s="3"/>
      <c r="E1143" s="24">
        <v>2.0</v>
      </c>
      <c r="F1143" s="3"/>
      <c r="G1143" s="3"/>
      <c r="H1143" s="3"/>
      <c r="I1143" s="3"/>
      <c r="J1143" s="4" t="s">
        <v>1757</v>
      </c>
    </row>
    <row r="1144">
      <c r="A1144" s="4" t="s">
        <v>2448</v>
      </c>
      <c r="B1144" s="13" t="s">
        <v>48</v>
      </c>
      <c r="C1144" s="4">
        <v>1.0</v>
      </c>
      <c r="D1144" s="3"/>
      <c r="E1144" s="24">
        <v>2.0</v>
      </c>
      <c r="F1144" s="3"/>
      <c r="G1144" s="3"/>
      <c r="H1144" s="3"/>
      <c r="I1144" s="3"/>
      <c r="J1144" s="4" t="s">
        <v>1757</v>
      </c>
    </row>
    <row r="1145">
      <c r="A1145" s="4" t="s">
        <v>2449</v>
      </c>
      <c r="B1145" s="13" t="s">
        <v>48</v>
      </c>
      <c r="C1145" s="4">
        <v>1.0</v>
      </c>
      <c r="D1145" s="3"/>
      <c r="E1145" s="24">
        <v>2.0</v>
      </c>
      <c r="F1145" s="3"/>
      <c r="G1145" s="3"/>
      <c r="H1145" s="3"/>
      <c r="I1145" s="3"/>
      <c r="J1145" s="4" t="s">
        <v>1757</v>
      </c>
    </row>
    <row r="1146">
      <c r="A1146" s="4" t="s">
        <v>2450</v>
      </c>
      <c r="B1146" s="13" t="s">
        <v>48</v>
      </c>
      <c r="C1146" s="4">
        <v>1.0</v>
      </c>
      <c r="D1146" s="3"/>
      <c r="E1146" s="24">
        <v>2.0</v>
      </c>
      <c r="F1146" s="3"/>
      <c r="G1146" s="3"/>
      <c r="H1146" s="3"/>
      <c r="I1146" s="3"/>
      <c r="J1146" s="4" t="s">
        <v>1757</v>
      </c>
    </row>
    <row r="1147">
      <c r="A1147" s="4" t="s">
        <v>2451</v>
      </c>
      <c r="B1147" s="13" t="s">
        <v>48</v>
      </c>
      <c r="C1147" s="4">
        <v>1.0</v>
      </c>
      <c r="D1147" s="3"/>
      <c r="E1147" s="24">
        <v>2.0</v>
      </c>
      <c r="F1147" s="3"/>
      <c r="G1147" s="3"/>
      <c r="H1147" s="3"/>
      <c r="I1147" s="3"/>
      <c r="J1147" s="4" t="s">
        <v>1757</v>
      </c>
    </row>
    <row r="1148">
      <c r="A1148" s="4" t="s">
        <v>2452</v>
      </c>
      <c r="B1148" s="13" t="s">
        <v>48</v>
      </c>
      <c r="C1148" s="4">
        <v>1.0</v>
      </c>
      <c r="D1148" s="3"/>
      <c r="E1148" s="24">
        <v>2.0</v>
      </c>
      <c r="F1148" s="3"/>
      <c r="G1148" s="3"/>
      <c r="H1148" s="3"/>
      <c r="I1148" s="3"/>
      <c r="J1148" s="4" t="s">
        <v>1757</v>
      </c>
    </row>
    <row r="1149">
      <c r="A1149" s="4" t="s">
        <v>2453</v>
      </c>
      <c r="B1149" s="13" t="s">
        <v>48</v>
      </c>
      <c r="C1149" s="4">
        <v>1.0</v>
      </c>
      <c r="D1149" s="3"/>
      <c r="E1149" s="24">
        <v>2.0</v>
      </c>
      <c r="F1149" s="3"/>
      <c r="G1149" s="3"/>
      <c r="H1149" s="3"/>
      <c r="I1149" s="3"/>
      <c r="J1149" s="4" t="s">
        <v>1757</v>
      </c>
    </row>
    <row r="1150">
      <c r="A1150" s="4" t="s">
        <v>2454</v>
      </c>
      <c r="B1150" s="13" t="s">
        <v>48</v>
      </c>
      <c r="C1150" s="4">
        <v>1.0</v>
      </c>
      <c r="D1150" s="3"/>
      <c r="E1150" s="24">
        <v>2.0</v>
      </c>
      <c r="F1150" s="3"/>
      <c r="G1150" s="3"/>
      <c r="H1150" s="3"/>
      <c r="I1150" s="3"/>
      <c r="J1150" s="4" t="s">
        <v>1757</v>
      </c>
    </row>
    <row r="1151">
      <c r="A1151" s="4" t="s">
        <v>2455</v>
      </c>
      <c r="B1151" s="13" t="s">
        <v>48</v>
      </c>
      <c r="C1151" s="4">
        <v>1.0</v>
      </c>
      <c r="D1151" s="3"/>
      <c r="E1151" s="24">
        <v>2.0</v>
      </c>
      <c r="F1151" s="3"/>
      <c r="G1151" s="3"/>
      <c r="H1151" s="3"/>
      <c r="I1151" s="3"/>
      <c r="J1151" s="4" t="s">
        <v>1757</v>
      </c>
    </row>
    <row r="1152">
      <c r="A1152" s="4" t="s">
        <v>2456</v>
      </c>
      <c r="B1152" s="13" t="s">
        <v>48</v>
      </c>
      <c r="C1152" s="4">
        <v>1.0</v>
      </c>
      <c r="D1152" s="3"/>
      <c r="E1152" s="24">
        <v>2.0</v>
      </c>
      <c r="F1152" s="3"/>
      <c r="G1152" s="3"/>
      <c r="H1152" s="3"/>
      <c r="I1152" s="3"/>
      <c r="J1152" s="4" t="s">
        <v>1757</v>
      </c>
    </row>
    <row r="1153">
      <c r="A1153" s="4" t="s">
        <v>2457</v>
      </c>
      <c r="B1153" s="13" t="s">
        <v>48</v>
      </c>
      <c r="C1153" s="4">
        <v>1.0</v>
      </c>
      <c r="D1153" s="3"/>
      <c r="E1153" s="24">
        <v>2.0</v>
      </c>
      <c r="F1153" s="3"/>
      <c r="G1153" s="3"/>
      <c r="H1153" s="3"/>
      <c r="I1153" s="3"/>
    </row>
    <row r="1154">
      <c r="A1154" s="4" t="s">
        <v>2458</v>
      </c>
      <c r="B1154" s="13" t="s">
        <v>48</v>
      </c>
      <c r="C1154" s="4">
        <v>1.0</v>
      </c>
      <c r="D1154" s="3"/>
      <c r="E1154" s="24">
        <v>2.0</v>
      </c>
      <c r="F1154" s="3"/>
      <c r="G1154" s="3"/>
      <c r="H1154" s="3"/>
      <c r="I1154" s="3"/>
    </row>
    <row r="1155">
      <c r="A1155" s="4" t="s">
        <v>2459</v>
      </c>
      <c r="B1155" s="13" t="s">
        <v>48</v>
      </c>
      <c r="C1155" s="4">
        <v>1.0</v>
      </c>
      <c r="D1155" s="3"/>
      <c r="E1155" s="24">
        <v>2.0</v>
      </c>
      <c r="F1155" s="3"/>
      <c r="G1155" s="3"/>
      <c r="H1155" s="3"/>
      <c r="I1155" s="3"/>
    </row>
    <row r="1156">
      <c r="A1156" s="4" t="s">
        <v>2460</v>
      </c>
      <c r="B1156" s="13" t="s">
        <v>48</v>
      </c>
      <c r="C1156" s="4">
        <v>2.0</v>
      </c>
      <c r="D1156" s="3"/>
      <c r="E1156" s="4">
        <v>2.0</v>
      </c>
      <c r="F1156" s="3"/>
      <c r="G1156" s="3"/>
      <c r="H1156" s="4">
        <v>13.0</v>
      </c>
      <c r="I1156" s="3"/>
    </row>
    <row r="1157">
      <c r="A1157" s="4" t="s">
        <v>2461</v>
      </c>
      <c r="B1157" s="13" t="s">
        <v>48</v>
      </c>
      <c r="C1157" s="4">
        <v>2.0</v>
      </c>
      <c r="D1157" s="3"/>
      <c r="E1157" s="4">
        <v>2.0</v>
      </c>
      <c r="F1157" s="3"/>
      <c r="G1157" s="3"/>
      <c r="H1157" s="4">
        <v>13.0</v>
      </c>
      <c r="I1157" s="3"/>
    </row>
    <row r="1158">
      <c r="A1158" s="4" t="s">
        <v>2462</v>
      </c>
      <c r="B1158" s="13" t="s">
        <v>48</v>
      </c>
      <c r="C1158" s="4">
        <v>2.0</v>
      </c>
      <c r="D1158" s="3"/>
      <c r="E1158" s="4">
        <v>2.0</v>
      </c>
      <c r="F1158" s="3"/>
      <c r="G1158" s="3"/>
      <c r="H1158" s="4">
        <v>13.0</v>
      </c>
      <c r="I1158" s="3"/>
    </row>
    <row r="1159">
      <c r="A1159" s="4" t="s">
        <v>2463</v>
      </c>
      <c r="B1159" s="13" t="s">
        <v>48</v>
      </c>
      <c r="C1159" s="4">
        <v>1.0</v>
      </c>
      <c r="D1159" s="3"/>
      <c r="E1159" s="24">
        <v>2.0</v>
      </c>
      <c r="F1159" s="3"/>
      <c r="G1159" s="3"/>
      <c r="H1159" s="3"/>
      <c r="I1159" s="3"/>
    </row>
    <row r="1160">
      <c r="A1160" s="4" t="s">
        <v>2464</v>
      </c>
      <c r="B1160" s="13" t="s">
        <v>48</v>
      </c>
      <c r="C1160" s="4">
        <v>1.0</v>
      </c>
      <c r="D1160" s="3"/>
      <c r="E1160" s="24">
        <v>2.0</v>
      </c>
      <c r="F1160" s="3"/>
      <c r="G1160" s="3"/>
      <c r="H1160" s="3"/>
      <c r="I1160" s="3"/>
    </row>
    <row r="1161">
      <c r="A1161" s="4" t="s">
        <v>2465</v>
      </c>
      <c r="B1161" s="13" t="s">
        <v>48</v>
      </c>
      <c r="C1161" s="4">
        <v>1.0</v>
      </c>
      <c r="D1161" s="3"/>
      <c r="E1161" s="24">
        <v>2.0</v>
      </c>
      <c r="F1161" s="3"/>
      <c r="G1161" s="3"/>
      <c r="H1161" s="3"/>
      <c r="I1161" s="3"/>
    </row>
    <row r="1162">
      <c r="A1162" s="4" t="s">
        <v>2466</v>
      </c>
      <c r="B1162" s="13" t="s">
        <v>48</v>
      </c>
      <c r="C1162" s="4">
        <v>1.0</v>
      </c>
      <c r="D1162" s="3"/>
      <c r="E1162" s="24">
        <v>2.0</v>
      </c>
      <c r="F1162" s="3"/>
      <c r="G1162" s="3"/>
      <c r="H1162" s="3"/>
      <c r="I1162" s="3"/>
    </row>
    <row r="1163">
      <c r="A1163" s="4" t="s">
        <v>2467</v>
      </c>
      <c r="B1163" s="13" t="s">
        <v>48</v>
      </c>
      <c r="C1163" s="4">
        <v>1.0</v>
      </c>
      <c r="D1163" s="3"/>
      <c r="E1163" s="24">
        <v>2.0</v>
      </c>
      <c r="F1163" s="3"/>
      <c r="G1163" s="3"/>
      <c r="H1163" s="3"/>
      <c r="I1163" s="3"/>
    </row>
    <row r="1164">
      <c r="A1164" s="4" t="s">
        <v>2468</v>
      </c>
      <c r="B1164" s="13" t="s">
        <v>48</v>
      </c>
      <c r="C1164" s="4">
        <v>1.0</v>
      </c>
      <c r="D1164" s="3"/>
      <c r="E1164" s="24">
        <v>2.0</v>
      </c>
      <c r="F1164" s="3"/>
      <c r="G1164" s="3"/>
      <c r="H1164" s="3"/>
      <c r="I1164" s="3"/>
    </row>
    <row r="1165">
      <c r="A1165" s="4" t="s">
        <v>2469</v>
      </c>
      <c r="B1165" s="13" t="s">
        <v>48</v>
      </c>
      <c r="C1165" s="4">
        <v>1.0</v>
      </c>
      <c r="D1165" s="3"/>
      <c r="E1165" s="24">
        <v>2.0</v>
      </c>
      <c r="F1165" s="3"/>
      <c r="G1165" s="3"/>
      <c r="H1165" s="3"/>
      <c r="I1165" s="3"/>
    </row>
    <row r="1166">
      <c r="A1166" s="4" t="s">
        <v>2470</v>
      </c>
      <c r="B1166" s="13" t="s">
        <v>48</v>
      </c>
      <c r="C1166" s="4">
        <v>2.0</v>
      </c>
      <c r="D1166" s="3"/>
      <c r="E1166" s="4">
        <v>2.0</v>
      </c>
      <c r="F1166" s="3"/>
      <c r="G1166" s="3"/>
      <c r="H1166" s="4">
        <v>13.0</v>
      </c>
      <c r="I1166" s="3"/>
    </row>
    <row r="1167">
      <c r="A1167" s="4" t="s">
        <v>2471</v>
      </c>
      <c r="B1167" s="13" t="s">
        <v>48</v>
      </c>
      <c r="C1167" s="4">
        <v>1.0</v>
      </c>
      <c r="D1167" s="3"/>
      <c r="E1167" s="24">
        <v>2.0</v>
      </c>
      <c r="F1167" s="3"/>
      <c r="G1167" s="3"/>
      <c r="H1167" s="3"/>
      <c r="I1167" s="3"/>
    </row>
    <row r="1168">
      <c r="A1168" s="4" t="s">
        <v>2472</v>
      </c>
      <c r="B1168" s="13" t="s">
        <v>48</v>
      </c>
      <c r="C1168" s="4">
        <v>1.0</v>
      </c>
      <c r="D1168" s="3"/>
      <c r="E1168" s="24">
        <v>2.0</v>
      </c>
      <c r="F1168" s="3"/>
      <c r="G1168" s="3"/>
      <c r="H1168" s="3"/>
      <c r="I1168" s="3"/>
    </row>
    <row r="1169">
      <c r="A1169" s="4" t="s">
        <v>2473</v>
      </c>
      <c r="B1169" s="13" t="s">
        <v>48</v>
      </c>
      <c r="C1169" s="4">
        <v>2.0</v>
      </c>
      <c r="D1169" s="3"/>
      <c r="E1169" s="4">
        <v>2.0</v>
      </c>
      <c r="F1169" s="3"/>
      <c r="G1169" s="3"/>
      <c r="H1169" s="4">
        <v>13.0</v>
      </c>
      <c r="I1169" s="3"/>
    </row>
    <row r="1170">
      <c r="A1170" s="4" t="s">
        <v>2474</v>
      </c>
      <c r="B1170" s="13" t="s">
        <v>48</v>
      </c>
      <c r="C1170" s="4">
        <v>2.0</v>
      </c>
      <c r="D1170" s="3"/>
      <c r="E1170" s="4">
        <v>2.0</v>
      </c>
      <c r="F1170" s="3"/>
      <c r="G1170" s="3"/>
      <c r="H1170" s="4">
        <v>13.0</v>
      </c>
      <c r="I1170" s="3"/>
    </row>
    <row r="1171">
      <c r="A1171" s="4" t="s">
        <v>2475</v>
      </c>
      <c r="B1171" s="13" t="s">
        <v>48</v>
      </c>
      <c r="C1171" s="4">
        <v>1.0</v>
      </c>
      <c r="D1171" s="3"/>
      <c r="E1171" s="3"/>
      <c r="F1171" s="3"/>
      <c r="G1171" s="3"/>
      <c r="H1171" s="4">
        <v>13.0</v>
      </c>
      <c r="I1171" s="3"/>
    </row>
    <row r="1172">
      <c r="A1172" s="4" t="s">
        <v>2476</v>
      </c>
      <c r="B1172" s="13" t="s">
        <v>48</v>
      </c>
      <c r="C1172" s="4">
        <v>1.0</v>
      </c>
      <c r="D1172" s="3"/>
      <c r="E1172" s="3"/>
      <c r="F1172" s="3"/>
      <c r="G1172" s="3"/>
      <c r="H1172" s="4">
        <v>13.0</v>
      </c>
      <c r="I1172" s="3"/>
    </row>
    <row r="1173">
      <c r="A1173" s="4" t="s">
        <v>2477</v>
      </c>
      <c r="B1173" s="13" t="s">
        <v>48</v>
      </c>
      <c r="C1173" s="4">
        <v>1.0</v>
      </c>
      <c r="D1173" s="3"/>
      <c r="E1173" s="3"/>
      <c r="F1173" s="3"/>
      <c r="G1173" s="3"/>
      <c r="H1173" s="4">
        <v>13.0</v>
      </c>
      <c r="I1173" s="3"/>
    </row>
    <row r="1174">
      <c r="A1174" s="4" t="s">
        <v>2478</v>
      </c>
      <c r="B1174" s="13" t="s">
        <v>48</v>
      </c>
      <c r="C1174" s="4">
        <v>1.0</v>
      </c>
      <c r="D1174" s="3"/>
      <c r="E1174" s="3"/>
      <c r="F1174" s="3"/>
      <c r="G1174" s="3"/>
      <c r="H1174" s="4">
        <v>13.0</v>
      </c>
      <c r="I1174" s="3"/>
    </row>
    <row r="1175">
      <c r="A1175" s="4" t="s">
        <v>2479</v>
      </c>
      <c r="B1175" s="13" t="s">
        <v>48</v>
      </c>
      <c r="C1175" s="4">
        <v>1.0</v>
      </c>
      <c r="D1175" s="3"/>
      <c r="E1175" s="3"/>
      <c r="F1175" s="3"/>
      <c r="G1175" s="3"/>
      <c r="H1175" s="4">
        <v>13.0</v>
      </c>
      <c r="I1175" s="3"/>
    </row>
    <row r="1176">
      <c r="A1176" s="4" t="s">
        <v>2480</v>
      </c>
      <c r="B1176" s="13" t="s">
        <v>48</v>
      </c>
      <c r="C1176" s="4">
        <v>2.0</v>
      </c>
      <c r="D1176" s="3"/>
      <c r="E1176" s="3"/>
      <c r="F1176" s="4">
        <v>9.0</v>
      </c>
      <c r="G1176" s="3"/>
      <c r="H1176" s="4">
        <v>13.0</v>
      </c>
      <c r="I1176" s="3"/>
    </row>
    <row r="1177">
      <c r="A1177" s="4" t="s">
        <v>2481</v>
      </c>
      <c r="B1177" s="13" t="s">
        <v>48</v>
      </c>
      <c r="C1177" s="4">
        <v>2.0</v>
      </c>
      <c r="D1177" s="3"/>
      <c r="E1177" s="3"/>
      <c r="F1177" s="4">
        <v>9.0</v>
      </c>
      <c r="G1177" s="3"/>
      <c r="H1177" s="4">
        <v>13.0</v>
      </c>
      <c r="I1177" s="3"/>
    </row>
    <row r="1178">
      <c r="A1178" s="4" t="s">
        <v>2482</v>
      </c>
      <c r="B1178" s="13" t="s">
        <v>48</v>
      </c>
      <c r="C1178" s="4">
        <v>2.0</v>
      </c>
      <c r="D1178" s="3"/>
      <c r="E1178" s="3"/>
      <c r="F1178" s="4">
        <v>9.0</v>
      </c>
      <c r="G1178" s="3"/>
      <c r="H1178" s="4">
        <v>13.0</v>
      </c>
      <c r="I1178" s="3"/>
    </row>
    <row r="1179">
      <c r="A1179" s="4" t="s">
        <v>2483</v>
      </c>
      <c r="B1179" s="13" t="s">
        <v>48</v>
      </c>
      <c r="C1179" s="4">
        <v>2.0</v>
      </c>
      <c r="D1179" s="3"/>
      <c r="E1179" s="3"/>
      <c r="F1179" s="4">
        <v>9.0</v>
      </c>
      <c r="G1179" s="3"/>
      <c r="H1179" s="4">
        <v>13.0</v>
      </c>
      <c r="I1179" s="3"/>
    </row>
    <row r="1180">
      <c r="A1180" s="4" t="s">
        <v>2484</v>
      </c>
      <c r="B1180" s="13" t="s">
        <v>48</v>
      </c>
      <c r="C1180" s="4">
        <v>2.0</v>
      </c>
      <c r="D1180" s="3"/>
      <c r="E1180" s="3"/>
      <c r="F1180" s="4">
        <v>9.0</v>
      </c>
      <c r="G1180" s="3"/>
      <c r="H1180" s="4">
        <v>13.0</v>
      </c>
      <c r="I1180" s="3"/>
    </row>
    <row r="1181">
      <c r="A1181" s="4" t="s">
        <v>2485</v>
      </c>
      <c r="B1181" s="13" t="s">
        <v>48</v>
      </c>
      <c r="C1181" s="4">
        <v>2.0</v>
      </c>
      <c r="D1181" s="3"/>
      <c r="E1181" s="3"/>
      <c r="F1181" s="4">
        <v>9.0</v>
      </c>
      <c r="G1181" s="3"/>
      <c r="H1181" s="4">
        <v>13.0</v>
      </c>
      <c r="I1181" s="3"/>
    </row>
    <row r="1182">
      <c r="A1182" s="4" t="s">
        <v>2486</v>
      </c>
      <c r="B1182" s="13" t="s">
        <v>48</v>
      </c>
      <c r="C1182" s="4">
        <v>2.0</v>
      </c>
      <c r="D1182" s="3"/>
      <c r="E1182" s="3"/>
      <c r="F1182" s="4">
        <v>9.0</v>
      </c>
      <c r="G1182" s="3"/>
      <c r="H1182" s="4">
        <v>13.0</v>
      </c>
      <c r="I1182" s="3"/>
    </row>
    <row r="1183">
      <c r="A1183" s="4" t="s">
        <v>2487</v>
      </c>
      <c r="B1183" s="13" t="s">
        <v>48</v>
      </c>
      <c r="C1183" s="4">
        <v>2.0</v>
      </c>
      <c r="D1183" s="3"/>
      <c r="E1183" s="3"/>
      <c r="F1183" s="4">
        <v>9.0</v>
      </c>
      <c r="G1183" s="3"/>
      <c r="H1183" s="4">
        <v>13.0</v>
      </c>
      <c r="I1183" s="3"/>
    </row>
    <row r="1184">
      <c r="A1184" s="4" t="s">
        <v>2488</v>
      </c>
      <c r="B1184" s="13" t="s">
        <v>48</v>
      </c>
      <c r="C1184" s="4">
        <v>2.0</v>
      </c>
      <c r="D1184" s="3"/>
      <c r="E1184" s="3"/>
      <c r="F1184" s="4">
        <v>9.0</v>
      </c>
      <c r="G1184" s="3"/>
      <c r="H1184" s="4">
        <v>13.0</v>
      </c>
      <c r="I1184" s="3"/>
    </row>
    <row r="1185">
      <c r="A1185" s="4" t="s">
        <v>2489</v>
      </c>
      <c r="B1185" s="13" t="s">
        <v>48</v>
      </c>
      <c r="C1185" s="4">
        <v>2.0</v>
      </c>
      <c r="D1185" s="3"/>
      <c r="E1185" s="3"/>
      <c r="F1185" s="4">
        <v>9.0</v>
      </c>
      <c r="G1185" s="3"/>
      <c r="H1185" s="4">
        <v>13.0</v>
      </c>
      <c r="I1185" s="3"/>
    </row>
    <row r="1186">
      <c r="A1186" s="4" t="s">
        <v>2490</v>
      </c>
      <c r="B1186" s="13" t="s">
        <v>48</v>
      </c>
      <c r="C1186" s="4">
        <v>2.0</v>
      </c>
      <c r="D1186" s="3"/>
      <c r="E1186" s="3"/>
      <c r="F1186" s="4">
        <v>9.0</v>
      </c>
      <c r="G1186" s="3"/>
      <c r="H1186" s="4">
        <v>13.0</v>
      </c>
      <c r="I1186" s="3"/>
    </row>
    <row r="1187">
      <c r="A1187" s="4" t="s">
        <v>2491</v>
      </c>
      <c r="B1187" s="13" t="s">
        <v>48</v>
      </c>
      <c r="C1187" s="4">
        <v>2.0</v>
      </c>
      <c r="D1187" s="3"/>
      <c r="E1187" s="3"/>
      <c r="F1187" s="4">
        <v>9.0</v>
      </c>
      <c r="G1187" s="3"/>
      <c r="H1187" s="4">
        <v>13.0</v>
      </c>
      <c r="I1187" s="3"/>
    </row>
    <row r="1188">
      <c r="A1188" s="4" t="s">
        <v>2492</v>
      </c>
      <c r="B1188" s="13" t="s">
        <v>48</v>
      </c>
      <c r="C1188" s="4">
        <v>2.0</v>
      </c>
      <c r="D1188" s="3"/>
      <c r="E1188" s="3"/>
      <c r="F1188" s="4">
        <v>9.0</v>
      </c>
      <c r="G1188" s="3"/>
      <c r="H1188" s="4">
        <v>13.0</v>
      </c>
      <c r="I1188" s="3"/>
    </row>
    <row r="1189">
      <c r="A1189" s="4" t="s">
        <v>2493</v>
      </c>
      <c r="B1189" s="13" t="s">
        <v>48</v>
      </c>
      <c r="C1189" s="4">
        <v>2.0</v>
      </c>
      <c r="D1189" s="3"/>
      <c r="E1189" s="3"/>
      <c r="F1189" s="4">
        <v>9.0</v>
      </c>
      <c r="G1189" s="3"/>
      <c r="H1189" s="4">
        <v>13.0</v>
      </c>
      <c r="I1189" s="3"/>
    </row>
    <row r="1190">
      <c r="A1190" s="4" t="s">
        <v>2494</v>
      </c>
      <c r="B1190" s="13" t="s">
        <v>48</v>
      </c>
      <c r="C1190" s="4">
        <v>2.0</v>
      </c>
      <c r="D1190" s="3"/>
      <c r="E1190" s="3"/>
      <c r="F1190" s="4">
        <v>9.0</v>
      </c>
      <c r="G1190" s="3"/>
      <c r="H1190" s="4">
        <v>13.0</v>
      </c>
      <c r="I1190" s="3"/>
      <c r="J1190" s="4" t="s">
        <v>1757</v>
      </c>
    </row>
    <row r="1191">
      <c r="A1191" s="4" t="s">
        <v>2495</v>
      </c>
      <c r="B1191" s="13" t="s">
        <v>48</v>
      </c>
      <c r="C1191" s="4">
        <v>2.0</v>
      </c>
      <c r="D1191" s="3"/>
      <c r="E1191" s="3"/>
      <c r="F1191" s="4">
        <v>9.0</v>
      </c>
      <c r="G1191" s="3"/>
      <c r="H1191" s="4">
        <v>13.0</v>
      </c>
      <c r="I1191" s="3"/>
      <c r="J1191" s="4" t="s">
        <v>1757</v>
      </c>
      <c r="K1191" s="4" t="s">
        <v>1757</v>
      </c>
    </row>
    <row r="1192">
      <c r="A1192" s="4" t="s">
        <v>2496</v>
      </c>
      <c r="B1192" s="13" t="s">
        <v>48</v>
      </c>
      <c r="C1192" s="4">
        <v>2.0</v>
      </c>
      <c r="D1192" s="3"/>
      <c r="E1192" s="3"/>
      <c r="F1192" s="4">
        <v>9.0</v>
      </c>
      <c r="G1192" s="3"/>
      <c r="H1192" s="4">
        <v>13.0</v>
      </c>
      <c r="I1192" s="3"/>
      <c r="J1192" s="4" t="s">
        <v>1757</v>
      </c>
      <c r="K1192" s="4" t="s">
        <v>1757</v>
      </c>
    </row>
    <row r="1193">
      <c r="A1193" s="4" t="s">
        <v>2497</v>
      </c>
      <c r="B1193" s="13" t="s">
        <v>48</v>
      </c>
      <c r="C1193" s="4">
        <v>2.0</v>
      </c>
      <c r="D1193" s="3"/>
      <c r="E1193" s="3"/>
      <c r="F1193" s="4">
        <v>9.0</v>
      </c>
      <c r="G1193" s="3"/>
      <c r="H1193" s="4">
        <v>13.0</v>
      </c>
      <c r="I1193" s="3"/>
      <c r="J1193" s="4" t="s">
        <v>1757</v>
      </c>
    </row>
    <row r="1194">
      <c r="A1194" s="4" t="s">
        <v>2498</v>
      </c>
      <c r="B1194" s="13" t="s">
        <v>48</v>
      </c>
      <c r="C1194" s="4">
        <v>1.0</v>
      </c>
      <c r="D1194" s="3"/>
      <c r="E1194" s="3"/>
      <c r="F1194" s="3"/>
      <c r="G1194" s="3"/>
      <c r="H1194" s="4">
        <v>13.0</v>
      </c>
      <c r="I1194" s="3"/>
      <c r="J1194" s="4" t="s">
        <v>1757</v>
      </c>
    </row>
    <row r="1195">
      <c r="A1195" s="4" t="s">
        <v>2499</v>
      </c>
      <c r="B1195" s="13" t="s">
        <v>48</v>
      </c>
      <c r="C1195" s="4">
        <v>2.0</v>
      </c>
      <c r="D1195" s="3"/>
      <c r="E1195" s="3"/>
      <c r="F1195" s="4">
        <v>9.0</v>
      </c>
      <c r="G1195" s="3"/>
      <c r="H1195" s="4">
        <v>13.0</v>
      </c>
      <c r="I1195" s="3"/>
      <c r="J1195" s="4" t="s">
        <v>1757</v>
      </c>
    </row>
    <row r="1196">
      <c r="A1196" s="4" t="s">
        <v>2500</v>
      </c>
      <c r="B1196" s="13" t="s">
        <v>48</v>
      </c>
      <c r="C1196" s="4">
        <v>2.0</v>
      </c>
      <c r="D1196" s="3"/>
      <c r="E1196" s="3"/>
      <c r="F1196" s="4">
        <v>9.0</v>
      </c>
      <c r="G1196" s="3"/>
      <c r="H1196" s="4">
        <v>13.0</v>
      </c>
      <c r="I1196" s="3"/>
      <c r="J1196" s="4" t="s">
        <v>1757</v>
      </c>
    </row>
    <row r="1197">
      <c r="A1197" s="4" t="s">
        <v>2501</v>
      </c>
      <c r="B1197" s="13" t="s">
        <v>48</v>
      </c>
      <c r="C1197" s="4">
        <v>2.0</v>
      </c>
      <c r="D1197" s="3"/>
      <c r="E1197" s="3"/>
      <c r="F1197" s="4">
        <v>9.0</v>
      </c>
      <c r="G1197" s="3"/>
      <c r="H1197" s="4">
        <v>13.0</v>
      </c>
      <c r="I1197" s="3"/>
      <c r="J1197" s="4" t="s">
        <v>1757</v>
      </c>
    </row>
    <row r="1198">
      <c r="A1198" s="4" t="s">
        <v>2502</v>
      </c>
      <c r="B1198" s="13" t="s">
        <v>48</v>
      </c>
      <c r="C1198" s="4">
        <v>2.0</v>
      </c>
      <c r="D1198" s="3"/>
      <c r="E1198" s="3"/>
      <c r="F1198" s="4">
        <v>9.0</v>
      </c>
      <c r="G1198" s="3"/>
      <c r="H1198" s="4">
        <v>13.0</v>
      </c>
      <c r="I1198" s="3"/>
      <c r="J1198" s="4" t="s">
        <v>1757</v>
      </c>
    </row>
    <row r="1199">
      <c r="A1199" s="4" t="s">
        <v>2503</v>
      </c>
      <c r="B1199" s="13" t="s">
        <v>48</v>
      </c>
      <c r="C1199" s="4">
        <v>2.0</v>
      </c>
      <c r="D1199" s="3"/>
      <c r="E1199" s="3"/>
      <c r="F1199" s="4">
        <v>9.0</v>
      </c>
      <c r="G1199" s="3"/>
      <c r="H1199" s="4">
        <v>13.0</v>
      </c>
      <c r="I1199" s="3"/>
      <c r="J1199" s="4" t="s">
        <v>1757</v>
      </c>
    </row>
    <row r="1200">
      <c r="A1200" s="4" t="s">
        <v>2504</v>
      </c>
      <c r="B1200" s="13" t="s">
        <v>48</v>
      </c>
      <c r="C1200" s="4">
        <v>2.0</v>
      </c>
      <c r="D1200" s="3"/>
      <c r="E1200" s="3"/>
      <c r="F1200" s="4">
        <v>9.0</v>
      </c>
      <c r="G1200" s="3"/>
      <c r="H1200" s="4">
        <v>13.0</v>
      </c>
      <c r="I1200" s="3"/>
      <c r="J1200" s="4" t="s">
        <v>1757</v>
      </c>
    </row>
    <row r="1201">
      <c r="A1201" s="4" t="s">
        <v>2505</v>
      </c>
      <c r="B1201" s="13" t="s">
        <v>48</v>
      </c>
      <c r="C1201" s="4">
        <v>2.0</v>
      </c>
      <c r="D1201" s="3"/>
      <c r="E1201" s="3"/>
      <c r="F1201" s="4">
        <v>9.0</v>
      </c>
      <c r="G1201" s="3"/>
      <c r="H1201" s="4">
        <v>13.0</v>
      </c>
      <c r="I1201" s="3"/>
      <c r="J1201" s="4" t="s">
        <v>1757</v>
      </c>
    </row>
    <row r="1202">
      <c r="A1202" s="4" t="s">
        <v>2506</v>
      </c>
      <c r="B1202" s="13" t="s">
        <v>48</v>
      </c>
      <c r="C1202" s="4">
        <v>2.0</v>
      </c>
      <c r="D1202" s="3"/>
      <c r="E1202" s="3"/>
      <c r="F1202" s="4">
        <v>9.0</v>
      </c>
      <c r="G1202" s="3"/>
      <c r="H1202" s="4">
        <v>13.0</v>
      </c>
      <c r="I1202" s="3"/>
      <c r="J1202" s="4" t="s">
        <v>1757</v>
      </c>
    </row>
    <row r="1203">
      <c r="A1203" s="4" t="s">
        <v>2507</v>
      </c>
      <c r="B1203" s="13" t="s">
        <v>48</v>
      </c>
      <c r="C1203" s="4">
        <v>2.0</v>
      </c>
      <c r="D1203" s="3"/>
      <c r="E1203" s="3"/>
      <c r="F1203" s="4">
        <v>9.0</v>
      </c>
      <c r="G1203" s="3"/>
      <c r="H1203" s="4">
        <v>13.0</v>
      </c>
      <c r="I1203" s="3"/>
      <c r="J1203" s="4" t="s">
        <v>1757</v>
      </c>
    </row>
    <row r="1204">
      <c r="A1204" s="4" t="s">
        <v>2508</v>
      </c>
      <c r="B1204" s="13" t="s">
        <v>48</v>
      </c>
      <c r="C1204" s="4">
        <v>2.0</v>
      </c>
      <c r="D1204" s="3"/>
      <c r="E1204" s="3"/>
      <c r="F1204" s="4">
        <v>9.0</v>
      </c>
      <c r="G1204" s="3"/>
      <c r="H1204" s="4">
        <v>13.0</v>
      </c>
      <c r="I1204" s="3"/>
      <c r="J1204" s="4" t="s">
        <v>1757</v>
      </c>
    </row>
    <row r="1205">
      <c r="A1205" s="4" t="s">
        <v>2509</v>
      </c>
      <c r="B1205" s="13" t="s">
        <v>48</v>
      </c>
      <c r="C1205" s="4">
        <v>2.0</v>
      </c>
      <c r="D1205" s="3"/>
      <c r="E1205" s="3"/>
      <c r="F1205" s="4">
        <v>9.0</v>
      </c>
      <c r="G1205" s="3"/>
      <c r="H1205" s="4">
        <v>13.0</v>
      </c>
      <c r="I1205" s="3"/>
      <c r="J1205" s="4" t="s">
        <v>1757</v>
      </c>
    </row>
    <row r="1206">
      <c r="A1206" s="4" t="s">
        <v>2510</v>
      </c>
      <c r="B1206" s="13" t="s">
        <v>48</v>
      </c>
      <c r="C1206" s="4">
        <v>2.0</v>
      </c>
      <c r="D1206" s="3"/>
      <c r="E1206" s="3"/>
      <c r="F1206" s="4">
        <v>9.0</v>
      </c>
      <c r="G1206" s="3"/>
      <c r="H1206" s="4">
        <v>13.0</v>
      </c>
      <c r="I1206" s="3"/>
      <c r="J1206" s="4" t="s">
        <v>1757</v>
      </c>
    </row>
    <row r="1207">
      <c r="A1207" s="4" t="s">
        <v>2511</v>
      </c>
      <c r="B1207" s="13" t="s">
        <v>48</v>
      </c>
      <c r="C1207" s="4">
        <v>2.0</v>
      </c>
      <c r="D1207" s="3"/>
      <c r="E1207" s="3"/>
      <c r="F1207" s="4">
        <v>9.0</v>
      </c>
      <c r="G1207" s="3"/>
      <c r="H1207" s="4">
        <v>13.0</v>
      </c>
      <c r="I1207" s="3"/>
      <c r="J1207" s="4" t="s">
        <v>1757</v>
      </c>
    </row>
    <row r="1208">
      <c r="A1208" s="4" t="s">
        <v>2512</v>
      </c>
      <c r="B1208" s="13" t="s">
        <v>48</v>
      </c>
      <c r="C1208" s="4">
        <v>2.0</v>
      </c>
      <c r="D1208" s="3"/>
      <c r="E1208" s="3"/>
      <c r="F1208" s="4">
        <v>9.0</v>
      </c>
      <c r="G1208" s="3"/>
      <c r="H1208" s="4">
        <v>13.0</v>
      </c>
      <c r="I1208" s="3"/>
      <c r="J1208" s="4" t="s">
        <v>1757</v>
      </c>
    </row>
    <row r="1209">
      <c r="A1209" s="4" t="s">
        <v>2513</v>
      </c>
      <c r="B1209" s="13" t="s">
        <v>48</v>
      </c>
      <c r="C1209" s="4">
        <v>2.0</v>
      </c>
      <c r="D1209" s="3"/>
      <c r="E1209" s="3"/>
      <c r="F1209" s="4">
        <v>9.0</v>
      </c>
      <c r="G1209" s="3"/>
      <c r="H1209" s="4">
        <v>13.0</v>
      </c>
      <c r="I1209" s="3"/>
      <c r="J1209" s="4" t="s">
        <v>1757</v>
      </c>
    </row>
    <row r="1210">
      <c r="A1210" s="4" t="s">
        <v>2514</v>
      </c>
      <c r="B1210" s="13" t="s">
        <v>48</v>
      </c>
      <c r="C1210" s="4">
        <v>2.0</v>
      </c>
      <c r="D1210" s="3"/>
      <c r="E1210" s="3"/>
      <c r="F1210" s="4">
        <v>9.0</v>
      </c>
      <c r="G1210" s="3"/>
      <c r="H1210" s="4">
        <v>13.0</v>
      </c>
      <c r="I1210" s="3"/>
      <c r="J1210" s="4" t="s">
        <v>1757</v>
      </c>
    </row>
    <row r="1211">
      <c r="A1211" s="4" t="s">
        <v>2515</v>
      </c>
      <c r="B1211" s="13" t="s">
        <v>48</v>
      </c>
      <c r="C1211" s="4">
        <v>1.0</v>
      </c>
      <c r="D1211" s="3"/>
      <c r="E1211" s="3"/>
      <c r="F1211" s="3"/>
      <c r="G1211" s="3"/>
      <c r="H1211" s="4">
        <v>13.0</v>
      </c>
      <c r="I1211" s="3"/>
      <c r="J1211" s="4" t="s">
        <v>1757</v>
      </c>
    </row>
    <row r="1212">
      <c r="A1212" s="4" t="s">
        <v>2516</v>
      </c>
      <c r="B1212" s="13" t="s">
        <v>48</v>
      </c>
      <c r="C1212" s="4">
        <v>2.0</v>
      </c>
      <c r="D1212" s="3"/>
      <c r="E1212" s="3"/>
      <c r="F1212" s="3"/>
      <c r="G1212" s="3"/>
      <c r="H1212" s="4">
        <v>13.0</v>
      </c>
      <c r="I1212" s="4">
        <v>15.0</v>
      </c>
      <c r="J1212" s="4" t="s">
        <v>1757</v>
      </c>
    </row>
    <row r="1213">
      <c r="A1213" s="4" t="s">
        <v>2517</v>
      </c>
      <c r="B1213" s="13" t="s">
        <v>48</v>
      </c>
      <c r="C1213" s="4">
        <v>2.0</v>
      </c>
      <c r="D1213" s="3"/>
      <c r="E1213" s="3"/>
      <c r="F1213" s="3"/>
      <c r="G1213" s="3"/>
      <c r="H1213" s="4">
        <v>13.0</v>
      </c>
      <c r="I1213" s="4">
        <v>15.0</v>
      </c>
      <c r="J1213" s="4" t="s">
        <v>1757</v>
      </c>
      <c r="K1213" s="4" t="s">
        <v>1757</v>
      </c>
    </row>
    <row r="1214">
      <c r="A1214" s="4" t="s">
        <v>2518</v>
      </c>
      <c r="B1214" s="13" t="s">
        <v>48</v>
      </c>
      <c r="C1214" s="4">
        <v>1.0</v>
      </c>
      <c r="D1214" s="3"/>
      <c r="E1214" s="3"/>
      <c r="F1214" s="3"/>
      <c r="G1214" s="3"/>
      <c r="H1214" s="3"/>
      <c r="I1214" s="4">
        <v>15.0</v>
      </c>
      <c r="J1214" s="4" t="s">
        <v>1757</v>
      </c>
      <c r="K1214" s="4" t="s">
        <v>1757</v>
      </c>
    </row>
    <row r="1215">
      <c r="A1215" s="4" t="s">
        <v>2519</v>
      </c>
      <c r="B1215" s="13" t="s">
        <v>48</v>
      </c>
      <c r="C1215" s="4">
        <v>1.0</v>
      </c>
      <c r="D1215" s="3"/>
      <c r="E1215" s="3"/>
      <c r="F1215" s="3"/>
      <c r="G1215" s="3"/>
      <c r="H1215" s="3"/>
      <c r="I1215" s="4">
        <v>15.0</v>
      </c>
      <c r="J1215" s="4" t="s">
        <v>1757</v>
      </c>
      <c r="K1215" s="4" t="s">
        <v>1757</v>
      </c>
    </row>
    <row r="1216">
      <c r="A1216" s="4" t="s">
        <v>2520</v>
      </c>
      <c r="B1216" s="13" t="s">
        <v>48</v>
      </c>
      <c r="C1216" s="4">
        <v>1.0</v>
      </c>
      <c r="D1216" s="3"/>
      <c r="E1216" s="3"/>
      <c r="F1216" s="3"/>
      <c r="G1216" s="3"/>
      <c r="H1216" s="3"/>
      <c r="I1216" s="4">
        <v>15.0</v>
      </c>
      <c r="J1216" s="4" t="s">
        <v>1757</v>
      </c>
      <c r="K1216" s="4" t="s">
        <v>1757</v>
      </c>
    </row>
    <row r="1217">
      <c r="A1217" s="4" t="s">
        <v>2521</v>
      </c>
      <c r="B1217" s="13" t="s">
        <v>48</v>
      </c>
      <c r="C1217" s="4">
        <v>1.0</v>
      </c>
      <c r="D1217" s="3"/>
      <c r="E1217" s="3"/>
      <c r="F1217" s="3"/>
      <c r="G1217" s="3"/>
      <c r="H1217" s="3"/>
      <c r="I1217" s="4">
        <v>15.0</v>
      </c>
      <c r="J1217" s="4" t="s">
        <v>1757</v>
      </c>
      <c r="K1217" s="4" t="s">
        <v>1757</v>
      </c>
    </row>
    <row r="1218">
      <c r="A1218" s="4" t="s">
        <v>2522</v>
      </c>
      <c r="B1218" s="13" t="s">
        <v>48</v>
      </c>
      <c r="C1218" s="4">
        <v>1.0</v>
      </c>
      <c r="D1218" s="3"/>
      <c r="E1218" s="3"/>
      <c r="F1218" s="3"/>
      <c r="G1218" s="3"/>
      <c r="H1218" s="3"/>
      <c r="I1218" s="4">
        <v>15.0</v>
      </c>
      <c r="J1218" s="4" t="s">
        <v>1757</v>
      </c>
      <c r="K1218" s="4" t="s">
        <v>1757</v>
      </c>
    </row>
    <row r="1219">
      <c r="A1219" s="4" t="s">
        <v>2523</v>
      </c>
      <c r="B1219" s="13" t="s">
        <v>48</v>
      </c>
      <c r="C1219" s="4">
        <v>1.0</v>
      </c>
      <c r="D1219" s="3"/>
      <c r="E1219" s="3"/>
      <c r="F1219" s="3"/>
      <c r="G1219" s="3"/>
      <c r="H1219" s="3"/>
      <c r="I1219" s="4">
        <v>15.0</v>
      </c>
      <c r="J1219" s="4" t="s">
        <v>1757</v>
      </c>
      <c r="K1219" s="4" t="s">
        <v>1757</v>
      </c>
    </row>
    <row r="1220">
      <c r="A1220" s="4" t="s">
        <v>2524</v>
      </c>
      <c r="B1220" s="13" t="s">
        <v>48</v>
      </c>
      <c r="C1220" s="4">
        <v>1.0</v>
      </c>
      <c r="D1220" s="3"/>
      <c r="E1220" s="3"/>
      <c r="F1220" s="3"/>
      <c r="G1220" s="3"/>
      <c r="H1220" s="3"/>
      <c r="I1220" s="4">
        <v>15.0</v>
      </c>
      <c r="J1220" s="4" t="s">
        <v>1757</v>
      </c>
      <c r="K1220" s="4" t="s">
        <v>1757</v>
      </c>
    </row>
    <row r="1221">
      <c r="A1221" s="4" t="s">
        <v>2525</v>
      </c>
      <c r="B1221" s="13" t="s">
        <v>48</v>
      </c>
      <c r="C1221" s="4">
        <v>1.0</v>
      </c>
      <c r="D1221" s="3"/>
      <c r="E1221" s="3"/>
      <c r="F1221" s="3"/>
      <c r="G1221" s="3"/>
      <c r="H1221" s="3"/>
      <c r="I1221" s="4">
        <v>15.0</v>
      </c>
      <c r="J1221" s="4" t="s">
        <v>1757</v>
      </c>
      <c r="K1221" s="4" t="s">
        <v>1757</v>
      </c>
    </row>
    <row r="1222">
      <c r="A1222" s="4" t="s">
        <v>2526</v>
      </c>
      <c r="B1222" s="13" t="s">
        <v>48</v>
      </c>
      <c r="C1222" s="4">
        <v>1.0</v>
      </c>
      <c r="D1222" s="3"/>
      <c r="E1222" s="3"/>
      <c r="F1222" s="3"/>
      <c r="G1222" s="3"/>
      <c r="H1222" s="3"/>
      <c r="I1222" s="4">
        <v>15.0</v>
      </c>
      <c r="J1222" s="4" t="s">
        <v>1757</v>
      </c>
      <c r="K1222" s="4" t="s">
        <v>1757</v>
      </c>
    </row>
    <row r="1223">
      <c r="A1223" s="4" t="s">
        <v>2527</v>
      </c>
      <c r="B1223" s="13" t="s">
        <v>48</v>
      </c>
      <c r="C1223" s="4">
        <v>1.0</v>
      </c>
      <c r="D1223" s="3"/>
      <c r="E1223" s="3"/>
      <c r="F1223" s="3"/>
      <c r="G1223" s="3"/>
      <c r="H1223" s="3"/>
      <c r="I1223" s="4">
        <v>15.0</v>
      </c>
      <c r="J1223" s="4" t="s">
        <v>1757</v>
      </c>
      <c r="K1223" s="4" t="s">
        <v>1757</v>
      </c>
    </row>
    <row r="1224">
      <c r="A1224" s="4" t="s">
        <v>2528</v>
      </c>
      <c r="B1224" s="13" t="s">
        <v>48</v>
      </c>
      <c r="C1224" s="4">
        <v>1.0</v>
      </c>
      <c r="D1224" s="3"/>
      <c r="E1224" s="3"/>
      <c r="F1224" s="3"/>
      <c r="G1224" s="3"/>
      <c r="H1224" s="3"/>
      <c r="I1224" s="4">
        <v>15.0</v>
      </c>
      <c r="J1224" s="4" t="s">
        <v>1757</v>
      </c>
    </row>
    <row r="1225">
      <c r="A1225" s="4" t="s">
        <v>2529</v>
      </c>
      <c r="B1225" s="13" t="s">
        <v>48</v>
      </c>
      <c r="C1225" s="4">
        <v>2.0</v>
      </c>
      <c r="D1225" s="4">
        <v>1.0</v>
      </c>
      <c r="E1225" s="3"/>
      <c r="F1225" s="3"/>
      <c r="G1225" s="3"/>
      <c r="H1225" s="3"/>
      <c r="I1225" s="4">
        <v>15.0</v>
      </c>
      <c r="J1225" s="4" t="s">
        <v>1757</v>
      </c>
    </row>
    <row r="1226">
      <c r="A1226" s="4" t="s">
        <v>2530</v>
      </c>
      <c r="B1226" s="13" t="s">
        <v>48</v>
      </c>
      <c r="C1226" s="4">
        <v>2.0</v>
      </c>
      <c r="D1226" s="4">
        <v>1.0</v>
      </c>
      <c r="E1226" s="3"/>
      <c r="F1226" s="3"/>
      <c r="G1226" s="3"/>
      <c r="H1226" s="3"/>
      <c r="I1226" s="4">
        <v>15.0</v>
      </c>
      <c r="J1226" s="4" t="s">
        <v>1757</v>
      </c>
    </row>
    <row r="1227">
      <c r="A1227" s="4" t="s">
        <v>2531</v>
      </c>
      <c r="B1227" s="13" t="s">
        <v>48</v>
      </c>
      <c r="C1227" s="4">
        <v>2.0</v>
      </c>
      <c r="D1227" s="4">
        <v>1.0</v>
      </c>
      <c r="E1227" s="3"/>
      <c r="F1227" s="3"/>
      <c r="G1227" s="3"/>
      <c r="H1227" s="3"/>
      <c r="I1227" s="4">
        <v>15.0</v>
      </c>
      <c r="J1227" s="4" t="s">
        <v>1757</v>
      </c>
    </row>
    <row r="1228">
      <c r="A1228" s="4" t="s">
        <v>2532</v>
      </c>
      <c r="B1228" s="13" t="s">
        <v>48</v>
      </c>
      <c r="C1228" s="4">
        <v>1.0</v>
      </c>
      <c r="D1228" s="4">
        <v>1.0</v>
      </c>
      <c r="E1228" s="3"/>
      <c r="F1228" s="3"/>
      <c r="G1228" s="3"/>
      <c r="H1228" s="3"/>
      <c r="I1228" s="3"/>
    </row>
    <row r="1229">
      <c r="A1229" s="4" t="s">
        <v>2533</v>
      </c>
      <c r="B1229" s="13" t="s">
        <v>48</v>
      </c>
      <c r="C1229" s="4">
        <v>1.0</v>
      </c>
      <c r="D1229" s="4">
        <v>1.0</v>
      </c>
      <c r="E1229" s="3"/>
      <c r="F1229" s="3"/>
      <c r="G1229" s="3"/>
      <c r="H1229" s="3"/>
      <c r="I1229" s="3"/>
    </row>
    <row r="1230">
      <c r="A1230" s="4" t="s">
        <v>2534</v>
      </c>
      <c r="B1230" s="13" t="s">
        <v>48</v>
      </c>
      <c r="C1230" s="4">
        <v>1.0</v>
      </c>
      <c r="D1230" s="4">
        <v>1.0</v>
      </c>
      <c r="E1230" s="3"/>
      <c r="F1230" s="3"/>
      <c r="G1230" s="3"/>
      <c r="H1230" s="3"/>
      <c r="I1230" s="3"/>
    </row>
    <row r="1231">
      <c r="A1231" s="4" t="s">
        <v>2535</v>
      </c>
      <c r="B1231" s="13" t="s">
        <v>48</v>
      </c>
      <c r="C1231" s="4">
        <v>1.0</v>
      </c>
      <c r="D1231" s="4">
        <v>1.0</v>
      </c>
      <c r="E1231" s="3"/>
      <c r="F1231" s="3"/>
      <c r="G1231" s="3"/>
      <c r="H1231" s="3"/>
      <c r="I1231" s="3"/>
    </row>
    <row r="1232">
      <c r="A1232" s="4" t="s">
        <v>2536</v>
      </c>
      <c r="B1232" s="13" t="s">
        <v>48</v>
      </c>
      <c r="C1232" s="4">
        <v>1.0</v>
      </c>
      <c r="D1232" s="4">
        <v>1.0</v>
      </c>
      <c r="E1232" s="3"/>
      <c r="F1232" s="3"/>
      <c r="G1232" s="3"/>
      <c r="H1232" s="3"/>
      <c r="I1232" s="3"/>
    </row>
    <row r="1233">
      <c r="A1233" s="4" t="s">
        <v>2537</v>
      </c>
      <c r="B1233" s="13" t="s">
        <v>48</v>
      </c>
      <c r="C1233" s="4">
        <v>1.0</v>
      </c>
      <c r="D1233" s="4">
        <v>1.0</v>
      </c>
      <c r="E1233" s="3"/>
      <c r="F1233" s="3"/>
      <c r="G1233" s="3"/>
      <c r="H1233" s="3"/>
      <c r="I1233" s="3"/>
    </row>
    <row r="1234">
      <c r="A1234" s="4" t="s">
        <v>2538</v>
      </c>
      <c r="B1234" s="13" t="s">
        <v>48</v>
      </c>
      <c r="C1234" s="4">
        <v>1.0</v>
      </c>
      <c r="D1234" s="4">
        <v>1.0</v>
      </c>
      <c r="E1234" s="3"/>
      <c r="F1234" s="3"/>
      <c r="G1234" s="3"/>
      <c r="H1234" s="3"/>
      <c r="I1234" s="3"/>
    </row>
    <row r="1235">
      <c r="A1235" s="4" t="s">
        <v>2539</v>
      </c>
      <c r="B1235" s="13" t="s">
        <v>48</v>
      </c>
      <c r="C1235" s="4">
        <v>1.0</v>
      </c>
      <c r="D1235" s="4">
        <v>1.0</v>
      </c>
      <c r="E1235" s="3"/>
      <c r="F1235" s="3"/>
      <c r="G1235" s="3"/>
      <c r="H1235" s="3"/>
      <c r="I1235" s="3"/>
    </row>
    <row r="1236">
      <c r="A1236" s="4" t="s">
        <v>2540</v>
      </c>
      <c r="B1236" s="13" t="s">
        <v>48</v>
      </c>
      <c r="C1236" s="4">
        <v>1.0</v>
      </c>
      <c r="D1236" s="4">
        <v>1.0</v>
      </c>
      <c r="E1236" s="3"/>
      <c r="F1236" s="3"/>
      <c r="G1236" s="3"/>
      <c r="H1236" s="3"/>
      <c r="I1236" s="3"/>
    </row>
    <row r="1237">
      <c r="A1237" s="4" t="s">
        <v>2541</v>
      </c>
      <c r="B1237" s="13" t="s">
        <v>48</v>
      </c>
      <c r="C1237" s="4">
        <v>1.0</v>
      </c>
      <c r="D1237" s="4">
        <v>1.0</v>
      </c>
      <c r="E1237" s="3"/>
      <c r="F1237" s="3"/>
      <c r="G1237" s="3"/>
      <c r="H1237" s="3"/>
      <c r="I1237" s="3"/>
    </row>
    <row r="1238">
      <c r="A1238" s="4" t="s">
        <v>2542</v>
      </c>
      <c r="B1238" s="13" t="s">
        <v>48</v>
      </c>
      <c r="C1238" s="4">
        <v>1.0</v>
      </c>
      <c r="D1238" s="4">
        <v>1.0</v>
      </c>
      <c r="E1238" s="3"/>
      <c r="F1238" s="3"/>
      <c r="G1238" s="3"/>
      <c r="H1238" s="3"/>
      <c r="I1238" s="3"/>
    </row>
    <row r="1239">
      <c r="A1239" s="4" t="s">
        <v>2543</v>
      </c>
      <c r="B1239" s="13" t="s">
        <v>48</v>
      </c>
      <c r="C1239" s="4">
        <v>1.0</v>
      </c>
      <c r="D1239" s="4">
        <v>1.0</v>
      </c>
      <c r="E1239" s="3"/>
      <c r="F1239" s="3"/>
      <c r="G1239" s="3"/>
      <c r="H1239" s="3"/>
      <c r="I1239" s="3"/>
    </row>
    <row r="1240">
      <c r="A1240" s="4" t="s">
        <v>2544</v>
      </c>
      <c r="B1240" s="13" t="s">
        <v>48</v>
      </c>
      <c r="C1240" s="4">
        <v>1.0</v>
      </c>
      <c r="D1240" s="4">
        <v>1.0</v>
      </c>
      <c r="E1240" s="3"/>
      <c r="F1240" s="3"/>
      <c r="G1240" s="3"/>
      <c r="H1240" s="3"/>
      <c r="I1240" s="3"/>
    </row>
    <row r="1241">
      <c r="A1241" s="4" t="s">
        <v>2545</v>
      </c>
      <c r="B1241" s="13" t="s">
        <v>48</v>
      </c>
      <c r="C1241" s="4">
        <v>1.0</v>
      </c>
      <c r="D1241" s="4">
        <v>1.0</v>
      </c>
      <c r="E1241" s="3"/>
      <c r="F1241" s="3"/>
      <c r="G1241" s="3"/>
      <c r="H1241" s="3"/>
      <c r="I1241" s="3"/>
    </row>
    <row r="1242">
      <c r="A1242" s="4" t="s">
        <v>2546</v>
      </c>
      <c r="B1242" s="13" t="s">
        <v>48</v>
      </c>
      <c r="C1242" s="4">
        <v>1.0</v>
      </c>
      <c r="D1242" s="4">
        <v>1.0</v>
      </c>
      <c r="E1242" s="3"/>
      <c r="F1242" s="3"/>
      <c r="G1242" s="3"/>
      <c r="H1242" s="3"/>
      <c r="I1242" s="3"/>
    </row>
    <row r="1243">
      <c r="A1243" s="4" t="s">
        <v>2547</v>
      </c>
      <c r="B1243" s="13" t="s">
        <v>48</v>
      </c>
      <c r="C1243" s="4">
        <v>1.0</v>
      </c>
      <c r="D1243" s="4">
        <v>1.0</v>
      </c>
      <c r="E1243" s="3"/>
      <c r="F1243" s="3"/>
      <c r="G1243" s="3"/>
      <c r="H1243" s="3"/>
      <c r="I1243" s="3"/>
    </row>
    <row r="1244">
      <c r="A1244" s="4" t="s">
        <v>2548</v>
      </c>
      <c r="B1244" s="13" t="s">
        <v>48</v>
      </c>
      <c r="C1244" s="4">
        <v>1.0</v>
      </c>
      <c r="D1244" s="4">
        <v>1.0</v>
      </c>
      <c r="E1244" s="3"/>
      <c r="F1244" s="3"/>
      <c r="G1244" s="3"/>
      <c r="H1244" s="3"/>
      <c r="I1244" s="3"/>
    </row>
    <row r="1245">
      <c r="A1245" s="4" t="s">
        <v>2549</v>
      </c>
      <c r="B1245" s="13" t="s">
        <v>48</v>
      </c>
      <c r="C1245" s="4">
        <v>1.0</v>
      </c>
      <c r="D1245" s="4">
        <v>1.0</v>
      </c>
      <c r="E1245" s="3"/>
      <c r="F1245" s="3"/>
      <c r="G1245" s="3"/>
      <c r="H1245" s="3"/>
      <c r="I1245" s="3"/>
    </row>
    <row r="1246">
      <c r="A1246" s="4" t="s">
        <v>2550</v>
      </c>
      <c r="B1246" s="13" t="s">
        <v>48</v>
      </c>
      <c r="C1246" s="4">
        <v>1.0</v>
      </c>
      <c r="D1246" s="4">
        <v>1.0</v>
      </c>
      <c r="E1246" s="3"/>
      <c r="F1246" s="3"/>
      <c r="G1246" s="3"/>
      <c r="H1246" s="3"/>
      <c r="I1246" s="3"/>
    </row>
    <row r="1247">
      <c r="A1247" s="4" t="s">
        <v>2551</v>
      </c>
      <c r="B1247" s="13" t="s">
        <v>48</v>
      </c>
      <c r="C1247" s="4">
        <v>1.0</v>
      </c>
      <c r="D1247" s="4">
        <v>1.0</v>
      </c>
      <c r="E1247" s="3"/>
      <c r="F1247" s="3"/>
      <c r="G1247" s="3"/>
      <c r="H1247" s="3"/>
      <c r="I1247" s="3"/>
    </row>
    <row r="1248">
      <c r="A1248" s="4" t="s">
        <v>2552</v>
      </c>
      <c r="B1248" s="13" t="s">
        <v>48</v>
      </c>
      <c r="C1248" s="4">
        <v>1.0</v>
      </c>
      <c r="D1248" s="4">
        <v>1.0</v>
      </c>
      <c r="E1248" s="3"/>
      <c r="F1248" s="3"/>
      <c r="G1248" s="3"/>
      <c r="H1248" s="3"/>
      <c r="I1248" s="3"/>
    </row>
    <row r="1249">
      <c r="A1249" s="4" t="s">
        <v>2553</v>
      </c>
      <c r="B1249" s="13" t="s">
        <v>48</v>
      </c>
      <c r="C1249" s="4">
        <v>1.0</v>
      </c>
      <c r="D1249" s="4">
        <v>1.0</v>
      </c>
      <c r="E1249" s="3"/>
      <c r="F1249" s="3"/>
      <c r="G1249" s="3"/>
      <c r="H1249" s="3"/>
      <c r="I1249" s="3"/>
    </row>
    <row r="1250">
      <c r="A1250" s="4" t="s">
        <v>2554</v>
      </c>
      <c r="B1250" s="13" t="s">
        <v>48</v>
      </c>
      <c r="C1250" s="4">
        <v>1.0</v>
      </c>
      <c r="D1250" s="4">
        <v>1.0</v>
      </c>
      <c r="E1250" s="3"/>
      <c r="F1250" s="3"/>
      <c r="G1250" s="3"/>
      <c r="H1250" s="3"/>
      <c r="I1250" s="3"/>
    </row>
    <row r="1251">
      <c r="A1251" s="4" t="s">
        <v>2555</v>
      </c>
      <c r="B1251" s="13" t="s">
        <v>48</v>
      </c>
      <c r="C1251" s="4">
        <v>1.0</v>
      </c>
      <c r="D1251" s="4">
        <v>1.0</v>
      </c>
      <c r="E1251" s="3"/>
      <c r="F1251" s="3"/>
      <c r="G1251" s="3"/>
      <c r="H1251" s="3"/>
      <c r="I1251" s="3"/>
    </row>
    <row r="1252">
      <c r="A1252" s="4" t="s">
        <v>2556</v>
      </c>
      <c r="B1252" s="13" t="s">
        <v>48</v>
      </c>
      <c r="C1252" s="4">
        <v>1.0</v>
      </c>
      <c r="D1252" s="4">
        <v>1.0</v>
      </c>
      <c r="E1252" s="3"/>
      <c r="F1252" s="3"/>
      <c r="G1252" s="3"/>
      <c r="H1252" s="3"/>
      <c r="I1252" s="3"/>
    </row>
    <row r="1253">
      <c r="A1253" s="4" t="s">
        <v>2557</v>
      </c>
      <c r="B1253" s="13" t="s">
        <v>48</v>
      </c>
      <c r="C1253" s="4">
        <v>1.0</v>
      </c>
      <c r="D1253" s="4">
        <v>1.0</v>
      </c>
      <c r="E1253" s="3"/>
      <c r="F1253" s="3"/>
      <c r="G1253" s="3"/>
      <c r="H1253" s="3"/>
      <c r="I1253" s="3"/>
    </row>
    <row r="1254">
      <c r="A1254" s="4" t="s">
        <v>2558</v>
      </c>
      <c r="B1254" s="13" t="s">
        <v>48</v>
      </c>
      <c r="C1254" s="4">
        <v>1.0</v>
      </c>
      <c r="D1254" s="4">
        <v>1.0</v>
      </c>
      <c r="E1254" s="3"/>
      <c r="F1254" s="3"/>
      <c r="G1254" s="3"/>
      <c r="H1254" s="3"/>
      <c r="I1254" s="3"/>
    </row>
    <row r="1255">
      <c r="A1255" s="4" t="s">
        <v>2559</v>
      </c>
      <c r="B1255" s="13" t="s">
        <v>48</v>
      </c>
      <c r="C1255" s="4">
        <v>1.0</v>
      </c>
      <c r="D1255" s="4">
        <v>1.0</v>
      </c>
      <c r="E1255" s="3"/>
      <c r="F1255" s="3"/>
      <c r="G1255" s="3"/>
      <c r="H1255" s="3"/>
      <c r="I1255" s="3"/>
    </row>
    <row r="1256">
      <c r="A1256" s="4" t="s">
        <v>2560</v>
      </c>
      <c r="B1256" s="13" t="s">
        <v>48</v>
      </c>
      <c r="C1256" s="4">
        <v>1.0</v>
      </c>
      <c r="D1256" s="4">
        <v>1.0</v>
      </c>
      <c r="E1256" s="3"/>
      <c r="F1256" s="3"/>
      <c r="G1256" s="3"/>
      <c r="H1256" s="3"/>
      <c r="I1256" s="3"/>
    </row>
    <row r="1257">
      <c r="A1257" s="4" t="s">
        <v>2561</v>
      </c>
      <c r="B1257" s="13" t="s">
        <v>48</v>
      </c>
      <c r="C1257" s="4">
        <v>1.0</v>
      </c>
      <c r="D1257" s="4">
        <v>1.0</v>
      </c>
      <c r="E1257" s="3"/>
      <c r="F1257" s="3"/>
      <c r="G1257" s="3"/>
      <c r="H1257" s="3"/>
      <c r="I1257" s="3"/>
    </row>
    <row r="1258">
      <c r="A1258" s="4" t="s">
        <v>2562</v>
      </c>
      <c r="B1258" s="13" t="s">
        <v>48</v>
      </c>
      <c r="C1258" s="4">
        <v>1.0</v>
      </c>
      <c r="D1258" s="4">
        <v>1.0</v>
      </c>
      <c r="E1258" s="3"/>
      <c r="F1258" s="3"/>
      <c r="G1258" s="3"/>
      <c r="H1258" s="3"/>
      <c r="I1258" s="3"/>
    </row>
    <row r="1259">
      <c r="A1259" s="4" t="s">
        <v>2563</v>
      </c>
      <c r="B1259" s="13" t="s">
        <v>48</v>
      </c>
      <c r="C1259" s="4">
        <v>1.0</v>
      </c>
      <c r="D1259" s="4">
        <v>1.0</v>
      </c>
      <c r="E1259" s="3"/>
      <c r="F1259" s="3"/>
      <c r="G1259" s="3"/>
      <c r="H1259" s="3"/>
      <c r="I1259" s="3"/>
    </row>
    <row r="1260">
      <c r="A1260" s="4" t="s">
        <v>2564</v>
      </c>
      <c r="B1260" s="13" t="s">
        <v>48</v>
      </c>
      <c r="C1260" s="4">
        <v>1.0</v>
      </c>
      <c r="D1260" s="4">
        <v>1.0</v>
      </c>
      <c r="E1260" s="3"/>
      <c r="F1260" s="3"/>
      <c r="G1260" s="3"/>
      <c r="H1260" s="3"/>
      <c r="I1260" s="3"/>
    </row>
    <row r="1261">
      <c r="A1261" s="4" t="s">
        <v>2565</v>
      </c>
      <c r="B1261" s="13" t="s">
        <v>48</v>
      </c>
      <c r="C1261" s="4">
        <v>1.0</v>
      </c>
      <c r="D1261" s="4">
        <v>1.0</v>
      </c>
      <c r="E1261" s="3"/>
      <c r="F1261" s="3"/>
      <c r="G1261" s="3"/>
      <c r="H1261" s="3"/>
      <c r="I1261" s="3"/>
    </row>
    <row r="1262">
      <c r="A1262" s="4" t="s">
        <v>2566</v>
      </c>
      <c r="B1262" s="13" t="s">
        <v>48</v>
      </c>
      <c r="C1262" s="4">
        <v>1.0</v>
      </c>
      <c r="D1262" s="4">
        <v>1.0</v>
      </c>
      <c r="E1262" s="3"/>
      <c r="F1262" s="3"/>
      <c r="G1262" s="3"/>
      <c r="H1262" s="3"/>
      <c r="I1262" s="3"/>
    </row>
    <row r="1263">
      <c r="A1263" s="4" t="s">
        <v>2567</v>
      </c>
      <c r="B1263" s="13" t="s">
        <v>48</v>
      </c>
      <c r="C1263" s="4">
        <v>1.0</v>
      </c>
      <c r="D1263" s="4">
        <v>1.0</v>
      </c>
      <c r="E1263" s="3"/>
      <c r="F1263" s="3"/>
      <c r="G1263" s="3"/>
      <c r="H1263" s="3"/>
      <c r="I1263" s="3"/>
    </row>
    <row r="1264">
      <c r="A1264" s="4" t="s">
        <v>2568</v>
      </c>
      <c r="B1264" s="13" t="s">
        <v>48</v>
      </c>
      <c r="C1264" s="4">
        <v>1.0</v>
      </c>
      <c r="D1264" s="4">
        <v>1.0</v>
      </c>
      <c r="E1264" s="3"/>
      <c r="F1264" s="3"/>
      <c r="G1264" s="3"/>
      <c r="H1264" s="3"/>
      <c r="I1264" s="3"/>
      <c r="J1264" s="4" t="s">
        <v>1757</v>
      </c>
    </row>
    <row r="1265">
      <c r="A1265" s="4" t="s">
        <v>2569</v>
      </c>
      <c r="B1265" s="13" t="s">
        <v>48</v>
      </c>
      <c r="C1265" s="4">
        <v>1.0</v>
      </c>
      <c r="D1265" s="4">
        <v>1.0</v>
      </c>
      <c r="E1265" s="3"/>
      <c r="F1265" s="3"/>
      <c r="G1265" s="3"/>
      <c r="H1265" s="3"/>
      <c r="I1265" s="3"/>
      <c r="J1265" s="4" t="s">
        <v>1757</v>
      </c>
    </row>
    <row r="1266">
      <c r="A1266" s="4" t="s">
        <v>2570</v>
      </c>
      <c r="B1266" s="13" t="s">
        <v>48</v>
      </c>
      <c r="C1266" s="4">
        <v>2.0</v>
      </c>
      <c r="D1266" s="4">
        <v>1.0</v>
      </c>
      <c r="E1266" s="3"/>
      <c r="F1266" s="3"/>
      <c r="G1266" s="3"/>
      <c r="H1266" s="4">
        <v>13.0</v>
      </c>
      <c r="I1266" s="3"/>
      <c r="J1266" s="4" t="s">
        <v>1757</v>
      </c>
    </row>
    <row r="1267">
      <c r="A1267" s="4" t="s">
        <v>2571</v>
      </c>
      <c r="B1267" s="13" t="s">
        <v>48</v>
      </c>
      <c r="C1267" s="4">
        <v>2.0</v>
      </c>
      <c r="D1267" s="4">
        <v>1.0</v>
      </c>
      <c r="E1267" s="3"/>
      <c r="F1267" s="3"/>
      <c r="G1267" s="3"/>
      <c r="H1267" s="4">
        <v>13.0</v>
      </c>
      <c r="I1267" s="3"/>
      <c r="J1267" s="4" t="s">
        <v>1757</v>
      </c>
    </row>
    <row r="1268">
      <c r="A1268" s="4" t="s">
        <v>2572</v>
      </c>
      <c r="B1268" s="13" t="s">
        <v>48</v>
      </c>
      <c r="C1268" s="4">
        <v>2.0</v>
      </c>
      <c r="D1268" s="4">
        <v>1.0</v>
      </c>
      <c r="E1268" s="3"/>
      <c r="F1268" s="3"/>
      <c r="G1268" s="3"/>
      <c r="H1268" s="4">
        <v>13.0</v>
      </c>
      <c r="I1268" s="3"/>
      <c r="J1268" s="4" t="s">
        <v>1757</v>
      </c>
    </row>
    <row r="1269">
      <c r="A1269" s="4" t="s">
        <v>2573</v>
      </c>
      <c r="B1269" s="13" t="s">
        <v>48</v>
      </c>
      <c r="C1269" s="4">
        <v>2.0</v>
      </c>
      <c r="D1269" s="3"/>
      <c r="E1269" s="4">
        <v>2.0</v>
      </c>
      <c r="F1269" s="3"/>
      <c r="G1269" s="3"/>
      <c r="H1269" s="4">
        <v>13.0</v>
      </c>
      <c r="I1269" s="3"/>
      <c r="J1269" s="4" t="s">
        <v>1757</v>
      </c>
    </row>
    <row r="1270">
      <c r="A1270" s="4" t="s">
        <v>2574</v>
      </c>
      <c r="B1270" s="13" t="s">
        <v>48</v>
      </c>
      <c r="C1270" s="4">
        <v>2.0</v>
      </c>
      <c r="D1270" s="3"/>
      <c r="E1270" s="4">
        <v>2.0</v>
      </c>
      <c r="F1270" s="3"/>
      <c r="G1270" s="3"/>
      <c r="H1270" s="4">
        <v>13.0</v>
      </c>
      <c r="I1270" s="3"/>
      <c r="J1270" s="4" t="s">
        <v>1757</v>
      </c>
    </row>
    <row r="1271">
      <c r="A1271" s="4" t="s">
        <v>2575</v>
      </c>
      <c r="B1271" s="13" t="s">
        <v>48</v>
      </c>
      <c r="C1271" s="4">
        <v>3.0</v>
      </c>
      <c r="D1271" s="3"/>
      <c r="E1271" s="4">
        <v>2.0</v>
      </c>
      <c r="F1271" s="4">
        <v>9.0</v>
      </c>
      <c r="G1271" s="3"/>
      <c r="H1271" s="4">
        <v>13.0</v>
      </c>
      <c r="I1271" s="3"/>
      <c r="J1271" s="4" t="s">
        <v>1757</v>
      </c>
    </row>
    <row r="1272">
      <c r="A1272" s="4" t="s">
        <v>2576</v>
      </c>
      <c r="B1272" s="13" t="s">
        <v>48</v>
      </c>
      <c r="C1272" s="4">
        <v>3.0</v>
      </c>
      <c r="D1272" s="3"/>
      <c r="E1272" s="4">
        <v>2.0</v>
      </c>
      <c r="F1272" s="4">
        <v>9.0</v>
      </c>
      <c r="G1272" s="3"/>
      <c r="H1272" s="4">
        <v>13.0</v>
      </c>
      <c r="I1272" s="3"/>
      <c r="J1272" s="4" t="s">
        <v>1757</v>
      </c>
    </row>
    <row r="1273">
      <c r="A1273" s="4" t="s">
        <v>2577</v>
      </c>
      <c r="B1273" s="13" t="s">
        <v>48</v>
      </c>
      <c r="C1273" s="4">
        <v>3.0</v>
      </c>
      <c r="D1273" s="3"/>
      <c r="E1273" s="4">
        <v>2.0</v>
      </c>
      <c r="F1273" s="4">
        <v>9.0</v>
      </c>
      <c r="G1273" s="3"/>
      <c r="H1273" s="4">
        <v>13.0</v>
      </c>
      <c r="I1273" s="3"/>
      <c r="J1273" s="4" t="s">
        <v>1757</v>
      </c>
    </row>
    <row r="1274">
      <c r="A1274" s="4" t="s">
        <v>2578</v>
      </c>
      <c r="B1274" s="13" t="s">
        <v>48</v>
      </c>
      <c r="C1274" s="4">
        <v>3.0</v>
      </c>
      <c r="D1274" s="3"/>
      <c r="E1274" s="4">
        <v>2.0</v>
      </c>
      <c r="F1274" s="4">
        <v>9.0</v>
      </c>
      <c r="G1274" s="3"/>
      <c r="H1274" s="4">
        <v>13.0</v>
      </c>
      <c r="I1274" s="3"/>
      <c r="J1274" s="4" t="s">
        <v>1757</v>
      </c>
    </row>
    <row r="1275">
      <c r="A1275" s="4" t="s">
        <v>2579</v>
      </c>
      <c r="B1275" s="13" t="s">
        <v>48</v>
      </c>
      <c r="C1275" s="4">
        <v>3.0</v>
      </c>
      <c r="D1275" s="3"/>
      <c r="E1275" s="4">
        <v>2.0</v>
      </c>
      <c r="F1275" s="4">
        <v>9.0</v>
      </c>
      <c r="G1275" s="3"/>
      <c r="H1275" s="4">
        <v>13.0</v>
      </c>
      <c r="I1275" s="3"/>
      <c r="J1275" s="4" t="s">
        <v>1757</v>
      </c>
    </row>
    <row r="1276">
      <c r="A1276" s="4" t="s">
        <v>2580</v>
      </c>
      <c r="B1276" s="13" t="s">
        <v>48</v>
      </c>
      <c r="C1276" s="4">
        <v>3.0</v>
      </c>
      <c r="D1276" s="3"/>
      <c r="E1276" s="4">
        <v>2.0</v>
      </c>
      <c r="F1276" s="4">
        <v>9.0</v>
      </c>
      <c r="G1276" s="3"/>
      <c r="H1276" s="4">
        <v>13.0</v>
      </c>
      <c r="I1276" s="3"/>
    </row>
    <row r="1277">
      <c r="A1277" s="4" t="s">
        <v>2581</v>
      </c>
      <c r="B1277" s="13" t="s">
        <v>48</v>
      </c>
      <c r="C1277" s="4">
        <v>2.0</v>
      </c>
      <c r="D1277" s="3"/>
      <c r="E1277" s="4">
        <v>2.0</v>
      </c>
      <c r="F1277" s="3"/>
      <c r="G1277" s="3"/>
      <c r="H1277" s="4">
        <v>13.0</v>
      </c>
      <c r="I1277" s="3"/>
    </row>
    <row r="1278">
      <c r="A1278" s="4" t="s">
        <v>2582</v>
      </c>
      <c r="B1278" s="13" t="s">
        <v>48</v>
      </c>
      <c r="C1278" s="4">
        <v>2.0</v>
      </c>
      <c r="D1278" s="3"/>
      <c r="E1278" s="4">
        <v>2.0</v>
      </c>
      <c r="F1278" s="3"/>
      <c r="G1278" s="3"/>
      <c r="H1278" s="4">
        <v>13.0</v>
      </c>
      <c r="I1278" s="3"/>
    </row>
    <row r="1279">
      <c r="A1279" s="4" t="s">
        <v>2583</v>
      </c>
      <c r="B1279" s="13" t="s">
        <v>48</v>
      </c>
      <c r="C1279" s="4">
        <v>2.0</v>
      </c>
      <c r="D1279" s="3"/>
      <c r="E1279" s="4">
        <v>2.0</v>
      </c>
      <c r="F1279" s="3"/>
      <c r="G1279" s="3"/>
      <c r="H1279" s="4">
        <v>13.0</v>
      </c>
      <c r="I1279" s="3"/>
    </row>
    <row r="1280">
      <c r="A1280" s="4" t="s">
        <v>2584</v>
      </c>
      <c r="B1280" s="13" t="s">
        <v>48</v>
      </c>
      <c r="C1280" s="4">
        <v>1.0</v>
      </c>
      <c r="D1280" s="3"/>
      <c r="E1280" s="4">
        <v>2.0</v>
      </c>
      <c r="F1280" s="3"/>
      <c r="G1280" s="3"/>
      <c r="H1280" s="3"/>
      <c r="I1280" s="3"/>
    </row>
    <row r="1281">
      <c r="A1281" s="4" t="s">
        <v>2585</v>
      </c>
      <c r="B1281" s="13" t="s">
        <v>48</v>
      </c>
      <c r="C1281" s="4">
        <v>1.0</v>
      </c>
      <c r="D1281" s="3"/>
      <c r="E1281" s="4">
        <v>2.0</v>
      </c>
      <c r="F1281" s="3"/>
      <c r="G1281" s="3"/>
      <c r="H1281" s="3"/>
      <c r="I1281" s="3"/>
    </row>
    <row r="1282">
      <c r="A1282" s="4" t="s">
        <v>2586</v>
      </c>
      <c r="B1282" s="13" t="s">
        <v>48</v>
      </c>
      <c r="C1282" s="4">
        <v>1.0</v>
      </c>
      <c r="D1282" s="3"/>
      <c r="E1282" s="4">
        <v>2.0</v>
      </c>
      <c r="F1282" s="3"/>
      <c r="G1282" s="3"/>
      <c r="H1282" s="3"/>
      <c r="I1282" s="3"/>
    </row>
    <row r="1283">
      <c r="A1283" s="4" t="s">
        <v>2587</v>
      </c>
      <c r="B1283" s="13" t="s">
        <v>48</v>
      </c>
      <c r="C1283" s="4">
        <v>1.0</v>
      </c>
      <c r="D1283" s="3"/>
      <c r="E1283" s="4">
        <v>2.0</v>
      </c>
      <c r="F1283" s="3"/>
      <c r="G1283" s="3"/>
      <c r="H1283" s="3"/>
      <c r="I1283" s="3"/>
    </row>
    <row r="1284">
      <c r="A1284" s="4" t="s">
        <v>2588</v>
      </c>
      <c r="B1284" s="13" t="s">
        <v>48</v>
      </c>
      <c r="C1284" s="4">
        <v>1.0</v>
      </c>
      <c r="D1284" s="3"/>
      <c r="E1284" s="4">
        <v>2.0</v>
      </c>
      <c r="F1284" s="3"/>
      <c r="G1284" s="3"/>
      <c r="H1284" s="3"/>
      <c r="I1284" s="3"/>
    </row>
    <row r="1285">
      <c r="A1285" s="4" t="s">
        <v>2589</v>
      </c>
      <c r="B1285" s="13" t="s">
        <v>48</v>
      </c>
      <c r="C1285" s="4">
        <v>1.0</v>
      </c>
      <c r="D1285" s="3"/>
      <c r="E1285" s="4">
        <v>2.0</v>
      </c>
      <c r="F1285" s="3"/>
      <c r="G1285" s="3"/>
      <c r="H1285" s="3"/>
      <c r="I1285" s="3"/>
    </row>
    <row r="1286">
      <c r="A1286" s="4" t="s">
        <v>2590</v>
      </c>
      <c r="B1286" s="13" t="s">
        <v>48</v>
      </c>
      <c r="C1286" s="4">
        <v>1.0</v>
      </c>
      <c r="D1286" s="3"/>
      <c r="E1286" s="4">
        <v>2.0</v>
      </c>
      <c r="F1286" s="3"/>
      <c r="G1286" s="3"/>
      <c r="H1286" s="3"/>
      <c r="I1286" s="3"/>
    </row>
    <row r="1287">
      <c r="A1287" s="4" t="s">
        <v>2591</v>
      </c>
      <c r="B1287" s="13" t="s">
        <v>48</v>
      </c>
      <c r="C1287" s="4">
        <v>1.0</v>
      </c>
      <c r="D1287" s="3"/>
      <c r="E1287" s="4">
        <v>2.0</v>
      </c>
      <c r="F1287" s="3"/>
      <c r="G1287" s="3"/>
      <c r="H1287" s="3"/>
      <c r="I1287" s="3"/>
    </row>
    <row r="1288">
      <c r="A1288" s="4" t="s">
        <v>2592</v>
      </c>
      <c r="B1288" s="13" t="s">
        <v>48</v>
      </c>
      <c r="C1288" s="4">
        <v>2.0</v>
      </c>
      <c r="D1288" s="3"/>
      <c r="E1288" s="4">
        <v>2.0</v>
      </c>
      <c r="F1288" s="3"/>
      <c r="G1288" s="3"/>
      <c r="H1288" s="4">
        <v>13.0</v>
      </c>
      <c r="I1288" s="3"/>
    </row>
    <row r="1289">
      <c r="A1289" s="4" t="s">
        <v>2593</v>
      </c>
      <c r="B1289" s="13" t="s">
        <v>48</v>
      </c>
      <c r="C1289" s="4">
        <v>2.0</v>
      </c>
      <c r="D1289" s="3"/>
      <c r="E1289" s="4">
        <v>2.0</v>
      </c>
      <c r="F1289" s="3"/>
      <c r="G1289" s="3"/>
      <c r="H1289" s="4">
        <v>13.0</v>
      </c>
      <c r="I1289" s="3"/>
    </row>
    <row r="1290">
      <c r="A1290" s="4" t="s">
        <v>2594</v>
      </c>
      <c r="B1290" s="13" t="s">
        <v>48</v>
      </c>
      <c r="C1290" s="4">
        <v>3.0</v>
      </c>
      <c r="D1290" s="3"/>
      <c r="E1290" s="4">
        <v>2.0</v>
      </c>
      <c r="F1290" s="4">
        <v>9.0</v>
      </c>
      <c r="G1290" s="3"/>
      <c r="H1290" s="4">
        <v>13.0</v>
      </c>
      <c r="I1290" s="3"/>
      <c r="J1290" s="4" t="s">
        <v>1757</v>
      </c>
    </row>
    <row r="1291">
      <c r="A1291" s="4" t="s">
        <v>2595</v>
      </c>
      <c r="B1291" s="13" t="s">
        <v>48</v>
      </c>
      <c r="C1291" s="4">
        <v>3.0</v>
      </c>
      <c r="D1291" s="3"/>
      <c r="E1291" s="4">
        <v>2.0</v>
      </c>
      <c r="F1291" s="4">
        <v>9.0</v>
      </c>
      <c r="G1291" s="3"/>
      <c r="H1291" s="4">
        <v>13.0</v>
      </c>
      <c r="I1291" s="3"/>
      <c r="J1291" s="4" t="s">
        <v>1757</v>
      </c>
    </row>
    <row r="1292">
      <c r="A1292" s="4" t="s">
        <v>2596</v>
      </c>
      <c r="B1292" s="13" t="s">
        <v>48</v>
      </c>
      <c r="C1292" s="4">
        <v>3.0</v>
      </c>
      <c r="D1292" s="3"/>
      <c r="E1292" s="4">
        <v>2.0</v>
      </c>
      <c r="F1292" s="4">
        <v>9.0</v>
      </c>
      <c r="G1292" s="3"/>
      <c r="H1292" s="4">
        <v>13.0</v>
      </c>
      <c r="I1292" s="3"/>
      <c r="J1292" s="4" t="s">
        <v>1757</v>
      </c>
    </row>
    <row r="1293">
      <c r="A1293" s="4" t="s">
        <v>2597</v>
      </c>
      <c r="B1293" s="13" t="s">
        <v>48</v>
      </c>
      <c r="C1293" s="4">
        <v>2.0</v>
      </c>
      <c r="D1293" s="3"/>
      <c r="E1293" s="3"/>
      <c r="F1293" s="4">
        <v>9.0</v>
      </c>
      <c r="G1293" s="3"/>
      <c r="H1293" s="4">
        <v>13.0</v>
      </c>
      <c r="I1293" s="3"/>
      <c r="J1293" s="4" t="s">
        <v>1757</v>
      </c>
    </row>
    <row r="1294">
      <c r="A1294" s="4" t="s">
        <v>2598</v>
      </c>
      <c r="B1294" s="13" t="s">
        <v>48</v>
      </c>
      <c r="C1294" s="4">
        <v>3.0</v>
      </c>
      <c r="D1294" s="4">
        <v>1.0</v>
      </c>
      <c r="E1294" s="3"/>
      <c r="F1294" s="4">
        <v>9.0</v>
      </c>
      <c r="G1294" s="3"/>
      <c r="H1294" s="4">
        <v>13.0</v>
      </c>
      <c r="I1294" s="3"/>
      <c r="J1294" s="4" t="s">
        <v>1757</v>
      </c>
    </row>
    <row r="1295">
      <c r="A1295" s="4" t="s">
        <v>2599</v>
      </c>
      <c r="B1295" s="13" t="s">
        <v>48</v>
      </c>
      <c r="C1295" s="4">
        <v>3.0</v>
      </c>
      <c r="D1295" s="4">
        <v>1.0</v>
      </c>
      <c r="E1295" s="3"/>
      <c r="F1295" s="4">
        <v>9.0</v>
      </c>
      <c r="G1295" s="3"/>
      <c r="H1295" s="4">
        <v>13.0</v>
      </c>
      <c r="I1295" s="3"/>
      <c r="J1295" s="4" t="s">
        <v>1757</v>
      </c>
    </row>
    <row r="1296">
      <c r="A1296" s="4" t="s">
        <v>2600</v>
      </c>
      <c r="B1296" s="13" t="s">
        <v>48</v>
      </c>
      <c r="C1296" s="4">
        <v>3.0</v>
      </c>
      <c r="D1296" s="4">
        <v>1.0</v>
      </c>
      <c r="E1296" s="3"/>
      <c r="F1296" s="4">
        <v>9.0</v>
      </c>
      <c r="G1296" s="3"/>
      <c r="H1296" s="4">
        <v>13.0</v>
      </c>
      <c r="I1296" s="3"/>
      <c r="J1296" s="4" t="s">
        <v>1757</v>
      </c>
    </row>
    <row r="1297">
      <c r="A1297" s="4" t="s">
        <v>2601</v>
      </c>
      <c r="B1297" s="13" t="s">
        <v>48</v>
      </c>
      <c r="C1297" s="4">
        <v>1.0</v>
      </c>
      <c r="D1297" s="4">
        <v>1.0</v>
      </c>
      <c r="E1297" s="3"/>
      <c r="F1297" s="3"/>
      <c r="G1297" s="3"/>
      <c r="H1297" s="3"/>
      <c r="I1297" s="3"/>
      <c r="J1297" s="4" t="s">
        <v>1757</v>
      </c>
    </row>
    <row r="1298">
      <c r="A1298" s="4" t="s">
        <v>2602</v>
      </c>
      <c r="B1298" s="13" t="s">
        <v>48</v>
      </c>
      <c r="C1298" s="4">
        <v>1.0</v>
      </c>
      <c r="D1298" s="4">
        <v>1.0</v>
      </c>
      <c r="E1298" s="3"/>
      <c r="F1298" s="3"/>
      <c r="G1298" s="3"/>
      <c r="H1298" s="3"/>
      <c r="I1298" s="3"/>
      <c r="J1298" s="4" t="s">
        <v>1757</v>
      </c>
    </row>
    <row r="1299">
      <c r="A1299" s="4" t="s">
        <v>2603</v>
      </c>
      <c r="B1299" s="13" t="s">
        <v>48</v>
      </c>
      <c r="C1299" s="4">
        <v>1.0</v>
      </c>
      <c r="D1299" s="4">
        <v>1.0</v>
      </c>
      <c r="E1299" s="3"/>
      <c r="F1299" s="3"/>
      <c r="G1299" s="3"/>
      <c r="H1299" s="3"/>
      <c r="I1299" s="3"/>
      <c r="J1299" s="4" t="s">
        <v>1757</v>
      </c>
    </row>
    <row r="1300">
      <c r="A1300" s="4" t="s">
        <v>2604</v>
      </c>
      <c r="B1300" s="13" t="s">
        <v>48</v>
      </c>
      <c r="C1300" s="4">
        <v>1.0</v>
      </c>
      <c r="D1300" s="4">
        <v>1.0</v>
      </c>
      <c r="E1300" s="3"/>
      <c r="F1300" s="3"/>
      <c r="G1300" s="3"/>
      <c r="H1300" s="3"/>
      <c r="I1300" s="3"/>
      <c r="J1300" s="4" t="s">
        <v>1757</v>
      </c>
    </row>
    <row r="1301">
      <c r="A1301" s="4" t="s">
        <v>2605</v>
      </c>
      <c r="B1301" s="13" t="s">
        <v>48</v>
      </c>
      <c r="C1301" s="4">
        <v>1.0</v>
      </c>
      <c r="D1301" s="4">
        <v>1.0</v>
      </c>
      <c r="E1301" s="3"/>
      <c r="F1301" s="3"/>
      <c r="G1301" s="3"/>
      <c r="H1301" s="3"/>
      <c r="I1301" s="3"/>
      <c r="J1301" s="4" t="s">
        <v>1757</v>
      </c>
    </row>
    <row r="1302">
      <c r="A1302" s="4" t="s">
        <v>2606</v>
      </c>
      <c r="B1302" s="13" t="s">
        <v>48</v>
      </c>
      <c r="C1302" s="4">
        <v>1.0</v>
      </c>
      <c r="D1302" s="4">
        <v>1.0</v>
      </c>
      <c r="E1302" s="3"/>
      <c r="F1302" s="3"/>
      <c r="G1302" s="3"/>
      <c r="H1302" s="3"/>
      <c r="I1302" s="3"/>
      <c r="J1302" s="4" t="s">
        <v>1757</v>
      </c>
    </row>
    <row r="1303">
      <c r="A1303" s="4" t="s">
        <v>2607</v>
      </c>
      <c r="B1303" s="13" t="s">
        <v>48</v>
      </c>
      <c r="C1303" s="4">
        <v>1.0</v>
      </c>
      <c r="D1303" s="4">
        <v>1.0</v>
      </c>
      <c r="E1303" s="3"/>
      <c r="F1303" s="3"/>
      <c r="G1303" s="3"/>
      <c r="H1303" s="3"/>
      <c r="I1303" s="3"/>
      <c r="J1303" s="4" t="s">
        <v>1757</v>
      </c>
    </row>
    <row r="1304">
      <c r="A1304" s="4" t="s">
        <v>2608</v>
      </c>
      <c r="B1304" s="13" t="s">
        <v>48</v>
      </c>
      <c r="C1304" s="4">
        <v>1.0</v>
      </c>
      <c r="D1304" s="4">
        <v>1.0</v>
      </c>
      <c r="E1304" s="3"/>
      <c r="F1304" s="3"/>
      <c r="G1304" s="3"/>
      <c r="H1304" s="3"/>
      <c r="I1304" s="3"/>
      <c r="J1304" s="4" t="s">
        <v>1757</v>
      </c>
    </row>
    <row r="1305">
      <c r="A1305" s="4" t="s">
        <v>2609</v>
      </c>
      <c r="B1305" s="13" t="s">
        <v>48</v>
      </c>
      <c r="C1305" s="4">
        <v>1.0</v>
      </c>
      <c r="D1305" s="4">
        <v>1.0</v>
      </c>
      <c r="E1305" s="3"/>
      <c r="F1305" s="3"/>
      <c r="G1305" s="3"/>
      <c r="H1305" s="3"/>
      <c r="I1305" s="3"/>
      <c r="J1305" s="4" t="s">
        <v>1757</v>
      </c>
    </row>
    <row r="1306">
      <c r="A1306" s="4" t="s">
        <v>2610</v>
      </c>
      <c r="B1306" s="13" t="s">
        <v>48</v>
      </c>
      <c r="C1306" s="4">
        <v>1.0</v>
      </c>
      <c r="D1306" s="4">
        <v>1.0</v>
      </c>
      <c r="E1306" s="3"/>
      <c r="F1306" s="3"/>
      <c r="G1306" s="3"/>
      <c r="H1306" s="3"/>
      <c r="I1306" s="3"/>
      <c r="J1306" s="4" t="s">
        <v>1757</v>
      </c>
    </row>
    <row r="1307">
      <c r="A1307" s="4" t="s">
        <v>2611</v>
      </c>
      <c r="B1307" s="13" t="s">
        <v>48</v>
      </c>
      <c r="C1307" s="4">
        <v>1.0</v>
      </c>
      <c r="D1307" s="4">
        <v>1.0</v>
      </c>
      <c r="E1307" s="3"/>
      <c r="F1307" s="3"/>
      <c r="G1307" s="3"/>
      <c r="H1307" s="3"/>
      <c r="I1307" s="3"/>
      <c r="J1307" s="4" t="s">
        <v>1757</v>
      </c>
    </row>
    <row r="1308">
      <c r="A1308" s="4" t="s">
        <v>2612</v>
      </c>
      <c r="B1308" s="13" t="s">
        <v>48</v>
      </c>
      <c r="C1308" s="4">
        <v>1.0</v>
      </c>
      <c r="D1308" s="4">
        <v>1.0</v>
      </c>
      <c r="E1308" s="3"/>
      <c r="F1308" s="3"/>
      <c r="G1308" s="3"/>
      <c r="H1308" s="3"/>
      <c r="I1308" s="3"/>
      <c r="J1308" s="4" t="s">
        <v>1757</v>
      </c>
    </row>
    <row r="1309">
      <c r="A1309" s="4" t="s">
        <v>2613</v>
      </c>
      <c r="B1309" s="13" t="s">
        <v>48</v>
      </c>
      <c r="C1309" s="4">
        <v>1.0</v>
      </c>
      <c r="D1309" s="4">
        <v>1.0</v>
      </c>
      <c r="E1309" s="3"/>
      <c r="F1309" s="3"/>
      <c r="G1309" s="3"/>
      <c r="H1309" s="3"/>
      <c r="I1309" s="3"/>
      <c r="J1309" s="4" t="s">
        <v>1757</v>
      </c>
    </row>
    <row r="1310">
      <c r="A1310" s="4" t="s">
        <v>2614</v>
      </c>
      <c r="B1310" s="13" t="s">
        <v>48</v>
      </c>
      <c r="C1310" s="4">
        <v>1.0</v>
      </c>
      <c r="D1310" s="4">
        <v>1.0</v>
      </c>
      <c r="E1310" s="3"/>
      <c r="F1310" s="3"/>
      <c r="G1310" s="3"/>
      <c r="H1310" s="3"/>
      <c r="I1310" s="3"/>
      <c r="J1310" s="4" t="s">
        <v>1757</v>
      </c>
    </row>
    <row r="1311">
      <c r="A1311" s="4" t="s">
        <v>2615</v>
      </c>
      <c r="B1311" s="13" t="s">
        <v>48</v>
      </c>
      <c r="C1311" s="4">
        <v>1.0</v>
      </c>
      <c r="D1311" s="4">
        <v>1.0</v>
      </c>
      <c r="E1311" s="3"/>
      <c r="F1311" s="3"/>
      <c r="G1311" s="3"/>
      <c r="H1311" s="3"/>
      <c r="I1311" s="3"/>
      <c r="J1311" s="4" t="s">
        <v>1757</v>
      </c>
    </row>
    <row r="1312">
      <c r="A1312" s="4" t="s">
        <v>2616</v>
      </c>
      <c r="B1312" s="13" t="s">
        <v>48</v>
      </c>
      <c r="C1312" s="4">
        <v>1.0</v>
      </c>
      <c r="D1312" s="4">
        <v>1.0</v>
      </c>
      <c r="E1312" s="3"/>
      <c r="F1312" s="3"/>
      <c r="G1312" s="3"/>
      <c r="H1312" s="3"/>
      <c r="I1312" s="3"/>
      <c r="J1312" s="4" t="s">
        <v>1757</v>
      </c>
    </row>
    <row r="1313">
      <c r="A1313" s="4" t="s">
        <v>2617</v>
      </c>
      <c r="B1313" s="13" t="s">
        <v>48</v>
      </c>
      <c r="C1313" s="4">
        <v>1.0</v>
      </c>
      <c r="D1313" s="4">
        <v>1.0</v>
      </c>
      <c r="E1313" s="3"/>
      <c r="F1313" s="3"/>
      <c r="G1313" s="3"/>
      <c r="H1313" s="3"/>
      <c r="I1313" s="3"/>
      <c r="J1313" s="4" t="s">
        <v>1757</v>
      </c>
    </row>
    <row r="1314">
      <c r="A1314" s="4" t="s">
        <v>2618</v>
      </c>
      <c r="B1314" s="13" t="s">
        <v>48</v>
      </c>
      <c r="C1314" s="4">
        <v>1.0</v>
      </c>
      <c r="D1314" s="4">
        <v>1.0</v>
      </c>
      <c r="E1314" s="3"/>
      <c r="F1314" s="3"/>
      <c r="G1314" s="3"/>
      <c r="H1314" s="3"/>
      <c r="I1314" s="3"/>
      <c r="J1314" s="4" t="s">
        <v>1757</v>
      </c>
    </row>
    <row r="1315">
      <c r="A1315" s="4" t="s">
        <v>2619</v>
      </c>
      <c r="B1315" s="13" t="s">
        <v>48</v>
      </c>
      <c r="C1315" s="4">
        <v>1.0</v>
      </c>
      <c r="D1315" s="4">
        <v>1.0</v>
      </c>
      <c r="E1315" s="3"/>
      <c r="F1315" s="3"/>
      <c r="G1315" s="3"/>
      <c r="H1315" s="3"/>
      <c r="I1315" s="3"/>
      <c r="J1315" s="4" t="s">
        <v>1757</v>
      </c>
    </row>
    <row r="1316">
      <c r="A1316" s="4" t="s">
        <v>2620</v>
      </c>
      <c r="B1316" s="13" t="s">
        <v>48</v>
      </c>
      <c r="C1316" s="4">
        <v>1.0</v>
      </c>
      <c r="D1316" s="4">
        <v>1.0</v>
      </c>
      <c r="E1316" s="3"/>
      <c r="F1316" s="3"/>
      <c r="G1316" s="3"/>
      <c r="H1316" s="3"/>
      <c r="I1316" s="3"/>
      <c r="J1316" s="4" t="s">
        <v>1757</v>
      </c>
    </row>
    <row r="1317">
      <c r="A1317" s="4" t="s">
        <v>2621</v>
      </c>
      <c r="B1317" s="13" t="s">
        <v>48</v>
      </c>
      <c r="C1317" s="4">
        <v>1.0</v>
      </c>
      <c r="D1317" s="4">
        <v>1.0</v>
      </c>
      <c r="E1317" s="3"/>
      <c r="F1317" s="3"/>
      <c r="G1317" s="3"/>
      <c r="H1317" s="3"/>
      <c r="I1317" s="3"/>
      <c r="J1317" s="4" t="s">
        <v>1757</v>
      </c>
    </row>
    <row r="1318">
      <c r="A1318" s="4" t="s">
        <v>2622</v>
      </c>
      <c r="B1318" s="13" t="s">
        <v>48</v>
      </c>
      <c r="C1318" s="4">
        <v>1.0</v>
      </c>
      <c r="D1318" s="4">
        <v>1.0</v>
      </c>
      <c r="E1318" s="3"/>
      <c r="F1318" s="3"/>
      <c r="G1318" s="3"/>
      <c r="H1318" s="3"/>
      <c r="I1318" s="3"/>
      <c r="J1318" s="4" t="s">
        <v>1757</v>
      </c>
    </row>
    <row r="1319">
      <c r="A1319" s="4" t="s">
        <v>2623</v>
      </c>
      <c r="B1319" s="13" t="s">
        <v>48</v>
      </c>
      <c r="C1319" s="4">
        <v>1.0</v>
      </c>
      <c r="D1319" s="4">
        <v>1.0</v>
      </c>
      <c r="E1319" s="3"/>
      <c r="F1319" s="3"/>
      <c r="G1319" s="3"/>
      <c r="H1319" s="3"/>
      <c r="I1319" s="3"/>
      <c r="J1319" s="4" t="s">
        <v>1757</v>
      </c>
    </row>
    <row r="1320">
      <c r="A1320" s="4" t="s">
        <v>2624</v>
      </c>
      <c r="B1320" s="13" t="s">
        <v>48</v>
      </c>
      <c r="C1320" s="4">
        <v>1.0</v>
      </c>
      <c r="D1320" s="4">
        <v>1.0</v>
      </c>
      <c r="E1320" s="3"/>
      <c r="F1320" s="3"/>
      <c r="G1320" s="3"/>
      <c r="H1320" s="3"/>
      <c r="I1320" s="3"/>
      <c r="J1320" s="4" t="s">
        <v>1757</v>
      </c>
    </row>
    <row r="1321">
      <c r="A1321" s="4" t="s">
        <v>2625</v>
      </c>
      <c r="B1321" s="13" t="s">
        <v>43</v>
      </c>
      <c r="D1321" s="3"/>
      <c r="E1321" s="3"/>
      <c r="F1321" s="3"/>
      <c r="G1321" s="3"/>
      <c r="H1321" s="3"/>
      <c r="I1321" s="3"/>
      <c r="J1321" s="4" t="s">
        <v>1757</v>
      </c>
    </row>
    <row r="1322">
      <c r="A1322" s="4" t="s">
        <v>2626</v>
      </c>
      <c r="B1322" s="13" t="s">
        <v>43</v>
      </c>
      <c r="D1322" s="3"/>
      <c r="E1322" s="3"/>
      <c r="F1322" s="3"/>
      <c r="G1322" s="3"/>
      <c r="H1322" s="3"/>
      <c r="I1322" s="3"/>
      <c r="J1322" s="4" t="s">
        <v>1757</v>
      </c>
    </row>
    <row r="1323">
      <c r="A1323" s="4" t="s">
        <v>2627</v>
      </c>
      <c r="B1323" s="13" t="s">
        <v>43</v>
      </c>
      <c r="D1323" s="3"/>
      <c r="E1323" s="3"/>
      <c r="F1323" s="3"/>
      <c r="G1323" s="3"/>
      <c r="H1323" s="3"/>
      <c r="I1323" s="3"/>
      <c r="J1323" s="4" t="s">
        <v>1757</v>
      </c>
    </row>
    <row r="1324">
      <c r="A1324" s="4" t="s">
        <v>2628</v>
      </c>
      <c r="B1324" s="13" t="s">
        <v>43</v>
      </c>
      <c r="D1324" s="3"/>
      <c r="E1324" s="3"/>
      <c r="F1324" s="3"/>
      <c r="G1324" s="3"/>
      <c r="H1324" s="3"/>
      <c r="I1324" s="3"/>
      <c r="J1324" s="4" t="s">
        <v>1757</v>
      </c>
    </row>
    <row r="1325">
      <c r="A1325" s="4" t="s">
        <v>2629</v>
      </c>
      <c r="B1325" s="13" t="s">
        <v>43</v>
      </c>
      <c r="D1325" s="3"/>
      <c r="E1325" s="3"/>
      <c r="F1325" s="3"/>
      <c r="G1325" s="3"/>
      <c r="H1325" s="3"/>
      <c r="I1325" s="3"/>
      <c r="J1325" s="4" t="s">
        <v>1757</v>
      </c>
    </row>
    <row r="1326">
      <c r="A1326" s="4" t="s">
        <v>2630</v>
      </c>
      <c r="B1326" s="13" t="s">
        <v>43</v>
      </c>
      <c r="D1326" s="3"/>
      <c r="E1326" s="3"/>
      <c r="F1326" s="3"/>
      <c r="G1326" s="3"/>
      <c r="H1326" s="3"/>
      <c r="I1326" s="3"/>
      <c r="J1326" s="4" t="s">
        <v>1757</v>
      </c>
    </row>
    <row r="1327">
      <c r="A1327" s="4" t="s">
        <v>2631</v>
      </c>
      <c r="B1327" s="13" t="s">
        <v>48</v>
      </c>
      <c r="C1327" s="4">
        <v>1.0</v>
      </c>
      <c r="D1327" s="3"/>
      <c r="E1327" s="3"/>
      <c r="F1327" s="3"/>
      <c r="G1327" s="3"/>
      <c r="H1327" s="4">
        <v>13.0</v>
      </c>
      <c r="I1327" s="3"/>
      <c r="J1327" s="4" t="s">
        <v>1757</v>
      </c>
    </row>
    <row r="1328">
      <c r="A1328" s="4" t="s">
        <v>2632</v>
      </c>
      <c r="B1328" s="13" t="s">
        <v>48</v>
      </c>
      <c r="C1328" s="4">
        <v>1.0</v>
      </c>
      <c r="D1328" s="3"/>
      <c r="E1328" s="3"/>
      <c r="F1328" s="3"/>
      <c r="G1328" s="3"/>
      <c r="H1328" s="4">
        <v>13.0</v>
      </c>
      <c r="I1328" s="3"/>
      <c r="J1328" s="4" t="s">
        <v>1757</v>
      </c>
    </row>
    <row r="1329">
      <c r="A1329" s="4" t="s">
        <v>2633</v>
      </c>
      <c r="B1329" s="13" t="s">
        <v>48</v>
      </c>
      <c r="C1329" s="4">
        <v>1.0</v>
      </c>
      <c r="D1329" s="3"/>
      <c r="E1329" s="3"/>
      <c r="F1329" s="3"/>
      <c r="G1329" s="3"/>
      <c r="H1329" s="4">
        <v>13.0</v>
      </c>
      <c r="I1329" s="3"/>
      <c r="J1329" s="4" t="s">
        <v>1757</v>
      </c>
    </row>
    <row r="1330">
      <c r="A1330" s="4" t="s">
        <v>2634</v>
      </c>
      <c r="B1330" s="13" t="s">
        <v>48</v>
      </c>
      <c r="C1330" s="4">
        <v>1.0</v>
      </c>
      <c r="D1330" s="3"/>
      <c r="E1330" s="3"/>
      <c r="F1330" s="3"/>
      <c r="G1330" s="3"/>
      <c r="H1330" s="4">
        <v>13.0</v>
      </c>
      <c r="I1330" s="3"/>
      <c r="J1330" s="4" t="s">
        <v>1757</v>
      </c>
    </row>
    <row r="1331">
      <c r="A1331" s="4" t="s">
        <v>2635</v>
      </c>
      <c r="B1331" s="13" t="s">
        <v>48</v>
      </c>
      <c r="C1331" s="4">
        <v>1.0</v>
      </c>
      <c r="D1331" s="3"/>
      <c r="E1331" s="3"/>
      <c r="F1331" s="3"/>
      <c r="G1331" s="3"/>
      <c r="H1331" s="4">
        <v>13.0</v>
      </c>
      <c r="I1331" s="3"/>
      <c r="J1331" s="4" t="s">
        <v>1757</v>
      </c>
    </row>
    <row r="1332">
      <c r="A1332" s="4" t="s">
        <v>2636</v>
      </c>
      <c r="B1332" s="13" t="s">
        <v>48</v>
      </c>
      <c r="C1332" s="4">
        <v>1.0</v>
      </c>
      <c r="D1332" s="3"/>
      <c r="E1332" s="3"/>
      <c r="F1332" s="3"/>
      <c r="G1332" s="3"/>
      <c r="H1332" s="4">
        <v>13.0</v>
      </c>
      <c r="I1332" s="3"/>
      <c r="J1332" s="4" t="s">
        <v>1757</v>
      </c>
    </row>
    <row r="1333">
      <c r="A1333" s="4" t="s">
        <v>2637</v>
      </c>
      <c r="B1333" s="13" t="s">
        <v>48</v>
      </c>
      <c r="C1333" s="4">
        <v>1.0</v>
      </c>
      <c r="D1333" s="3"/>
      <c r="E1333" s="3"/>
      <c r="F1333" s="3"/>
      <c r="G1333" s="3"/>
      <c r="H1333" s="4">
        <v>13.0</v>
      </c>
      <c r="I1333" s="3"/>
      <c r="J1333" s="4" t="s">
        <v>1757</v>
      </c>
    </row>
    <row r="1334">
      <c r="A1334" s="4" t="s">
        <v>2638</v>
      </c>
      <c r="B1334" s="13" t="s">
        <v>48</v>
      </c>
      <c r="C1334" s="4">
        <v>1.0</v>
      </c>
      <c r="D1334" s="3"/>
      <c r="E1334" s="3"/>
      <c r="F1334" s="3"/>
      <c r="G1334" s="3"/>
      <c r="H1334" s="4">
        <v>13.0</v>
      </c>
      <c r="I1334" s="3"/>
      <c r="J1334" s="4" t="s">
        <v>1757</v>
      </c>
    </row>
    <row r="1335">
      <c r="A1335" s="4" t="s">
        <v>2639</v>
      </c>
      <c r="B1335" s="13" t="s">
        <v>48</v>
      </c>
      <c r="C1335" s="4">
        <v>1.0</v>
      </c>
      <c r="D1335" s="3"/>
      <c r="E1335" s="3"/>
      <c r="F1335" s="3"/>
      <c r="G1335" s="3"/>
      <c r="H1335" s="4">
        <v>13.0</v>
      </c>
      <c r="I1335" s="3"/>
      <c r="J1335" s="4" t="s">
        <v>1757</v>
      </c>
    </row>
    <row r="1336">
      <c r="A1336" s="4" t="s">
        <v>2640</v>
      </c>
      <c r="B1336" s="13" t="s">
        <v>48</v>
      </c>
      <c r="C1336" s="4">
        <v>1.0</v>
      </c>
      <c r="D1336" s="3"/>
      <c r="E1336" s="3"/>
      <c r="F1336" s="3"/>
      <c r="G1336" s="3"/>
      <c r="H1336" s="4">
        <v>13.0</v>
      </c>
      <c r="I1336" s="3"/>
      <c r="J1336" s="4" t="s">
        <v>1757</v>
      </c>
    </row>
    <row r="1337">
      <c r="A1337" s="4" t="s">
        <v>2641</v>
      </c>
      <c r="B1337" s="13" t="s">
        <v>48</v>
      </c>
      <c r="C1337" s="4">
        <v>1.0</v>
      </c>
      <c r="D1337" s="3"/>
      <c r="E1337" s="3"/>
      <c r="F1337" s="3"/>
      <c r="G1337" s="3"/>
      <c r="H1337" s="4">
        <v>13.0</v>
      </c>
      <c r="I1337" s="3"/>
      <c r="J1337" s="4" t="s">
        <v>1757</v>
      </c>
    </row>
    <row r="1338">
      <c r="A1338" s="4" t="s">
        <v>2642</v>
      </c>
      <c r="B1338" s="13" t="s">
        <v>48</v>
      </c>
      <c r="C1338" s="4">
        <v>1.0</v>
      </c>
      <c r="D1338" s="3"/>
      <c r="E1338" s="3"/>
      <c r="F1338" s="3"/>
      <c r="G1338" s="3"/>
      <c r="H1338" s="4">
        <v>13.0</v>
      </c>
      <c r="I1338" s="3"/>
      <c r="J1338" s="4" t="s">
        <v>1757</v>
      </c>
    </row>
    <row r="1339">
      <c r="A1339" s="4" t="s">
        <v>2643</v>
      </c>
      <c r="B1339" s="13" t="s">
        <v>48</v>
      </c>
      <c r="C1339" s="4">
        <v>1.0</v>
      </c>
      <c r="D1339" s="3"/>
      <c r="E1339" s="3"/>
      <c r="F1339" s="3"/>
      <c r="G1339" s="3"/>
      <c r="H1339" s="4">
        <v>13.0</v>
      </c>
      <c r="I1339" s="3"/>
      <c r="J1339" s="4" t="s">
        <v>1757</v>
      </c>
    </row>
    <row r="1340">
      <c r="A1340" s="4" t="s">
        <v>2644</v>
      </c>
      <c r="B1340" s="13" t="s">
        <v>48</v>
      </c>
      <c r="C1340" s="4">
        <v>1.0</v>
      </c>
      <c r="D1340" s="3"/>
      <c r="E1340" s="3"/>
      <c r="F1340" s="3"/>
      <c r="G1340" s="3"/>
      <c r="H1340" s="4">
        <v>13.0</v>
      </c>
      <c r="I1340" s="3"/>
      <c r="J1340" s="4" t="s">
        <v>1757</v>
      </c>
    </row>
    <row r="1341">
      <c r="A1341" s="4" t="s">
        <v>2645</v>
      </c>
      <c r="B1341" s="13" t="s">
        <v>48</v>
      </c>
      <c r="C1341" s="4">
        <v>1.0</v>
      </c>
      <c r="D1341" s="3"/>
      <c r="E1341" s="3"/>
      <c r="F1341" s="3"/>
      <c r="G1341" s="3"/>
      <c r="H1341" s="4">
        <v>13.0</v>
      </c>
      <c r="I1341" s="3"/>
      <c r="J1341" s="4" t="s">
        <v>1757</v>
      </c>
    </row>
    <row r="1342">
      <c r="A1342" s="4" t="s">
        <v>2646</v>
      </c>
      <c r="B1342" s="13" t="s">
        <v>48</v>
      </c>
      <c r="C1342" s="4">
        <v>1.0</v>
      </c>
      <c r="D1342" s="3"/>
      <c r="E1342" s="3"/>
      <c r="F1342" s="3"/>
      <c r="G1342" s="3"/>
      <c r="H1342" s="4">
        <v>13.0</v>
      </c>
      <c r="I1342" s="3"/>
      <c r="J1342" s="4" t="s">
        <v>1757</v>
      </c>
    </row>
    <row r="1343">
      <c r="A1343" s="4" t="s">
        <v>2647</v>
      </c>
      <c r="B1343" s="13" t="s">
        <v>48</v>
      </c>
      <c r="C1343" s="4">
        <v>1.0</v>
      </c>
      <c r="D1343" s="3"/>
      <c r="E1343" s="3"/>
      <c r="F1343" s="3"/>
      <c r="G1343" s="3"/>
      <c r="H1343" s="4">
        <v>13.0</v>
      </c>
      <c r="I1343" s="3"/>
      <c r="J1343" s="4" t="s">
        <v>1757</v>
      </c>
    </row>
    <row r="1344">
      <c r="A1344" s="4" t="s">
        <v>2648</v>
      </c>
      <c r="B1344" s="13" t="s">
        <v>48</v>
      </c>
      <c r="C1344" s="4">
        <v>1.0</v>
      </c>
      <c r="D1344" s="3"/>
      <c r="E1344" s="3"/>
      <c r="F1344" s="3"/>
      <c r="G1344" s="3"/>
      <c r="H1344" s="4">
        <v>13.0</v>
      </c>
      <c r="I1344" s="3"/>
      <c r="J1344" s="4" t="s">
        <v>1757</v>
      </c>
    </row>
    <row r="1345">
      <c r="A1345" s="4" t="s">
        <v>2649</v>
      </c>
      <c r="B1345" s="13" t="s">
        <v>48</v>
      </c>
      <c r="C1345" s="4">
        <v>1.0</v>
      </c>
      <c r="D1345" s="3"/>
      <c r="E1345" s="3"/>
      <c r="F1345" s="3"/>
      <c r="G1345" s="3"/>
      <c r="H1345" s="4">
        <v>13.0</v>
      </c>
      <c r="I1345" s="3"/>
      <c r="J1345" s="4" t="s">
        <v>1757</v>
      </c>
    </row>
    <row r="1346">
      <c r="A1346" s="4" t="s">
        <v>2650</v>
      </c>
      <c r="B1346" s="13" t="s">
        <v>48</v>
      </c>
      <c r="C1346" s="4">
        <v>1.0</v>
      </c>
      <c r="D1346" s="3"/>
      <c r="E1346" s="3"/>
      <c r="F1346" s="3"/>
      <c r="G1346" s="3"/>
      <c r="H1346" s="4">
        <v>13.0</v>
      </c>
      <c r="I1346" s="3"/>
      <c r="J1346" s="4" t="s">
        <v>1757</v>
      </c>
    </row>
    <row r="1347">
      <c r="A1347" s="4" t="s">
        <v>2651</v>
      </c>
      <c r="B1347" s="13" t="s">
        <v>48</v>
      </c>
      <c r="C1347" s="4">
        <v>1.0</v>
      </c>
      <c r="D1347" s="3"/>
      <c r="E1347" s="3"/>
      <c r="F1347" s="3"/>
      <c r="G1347" s="3"/>
      <c r="H1347" s="4">
        <v>13.0</v>
      </c>
      <c r="I1347" s="3"/>
      <c r="J1347" s="4" t="s">
        <v>1757</v>
      </c>
    </row>
    <row r="1348">
      <c r="A1348" s="4" t="s">
        <v>2652</v>
      </c>
      <c r="B1348" s="13" t="s">
        <v>48</v>
      </c>
      <c r="C1348" s="4">
        <v>1.0</v>
      </c>
      <c r="D1348" s="3"/>
      <c r="E1348" s="3"/>
      <c r="F1348" s="3"/>
      <c r="G1348" s="3"/>
      <c r="H1348" s="4">
        <v>13.0</v>
      </c>
      <c r="I1348" s="3"/>
    </row>
    <row r="1349">
      <c r="A1349" s="4" t="s">
        <v>2653</v>
      </c>
      <c r="B1349" s="13" t="s">
        <v>48</v>
      </c>
      <c r="C1349" s="4">
        <v>1.0</v>
      </c>
      <c r="D1349" s="3"/>
      <c r="E1349" s="3"/>
      <c r="F1349" s="3"/>
      <c r="G1349" s="3"/>
      <c r="H1349" s="4">
        <v>13.0</v>
      </c>
      <c r="I1349" s="3"/>
    </row>
    <row r="1350">
      <c r="A1350" s="4" t="s">
        <v>2654</v>
      </c>
      <c r="B1350" s="13" t="s">
        <v>48</v>
      </c>
      <c r="C1350" s="4">
        <v>1.0</v>
      </c>
      <c r="D1350" s="3"/>
      <c r="E1350" s="3"/>
      <c r="F1350" s="3"/>
      <c r="G1350" s="3"/>
      <c r="H1350" s="4">
        <v>13.0</v>
      </c>
      <c r="I1350" s="3"/>
    </row>
    <row r="1351">
      <c r="A1351" s="4" t="s">
        <v>2655</v>
      </c>
      <c r="B1351" s="13" t="s">
        <v>48</v>
      </c>
      <c r="C1351" s="4">
        <v>1.0</v>
      </c>
      <c r="D1351" s="3"/>
      <c r="E1351" s="3"/>
      <c r="F1351" s="3"/>
      <c r="G1351" s="3"/>
      <c r="H1351" s="4">
        <v>13.0</v>
      </c>
      <c r="I1351" s="3"/>
    </row>
    <row r="1352">
      <c r="A1352" s="4" t="s">
        <v>2656</v>
      </c>
      <c r="B1352" s="13" t="s">
        <v>48</v>
      </c>
      <c r="C1352" s="4">
        <v>2.0</v>
      </c>
      <c r="D1352" s="3"/>
      <c r="E1352" s="4">
        <v>2.0</v>
      </c>
      <c r="F1352" s="3"/>
      <c r="G1352" s="3"/>
      <c r="H1352" s="4">
        <v>13.0</v>
      </c>
      <c r="I1352" s="3"/>
    </row>
    <row r="1353">
      <c r="A1353" s="4" t="s">
        <v>2657</v>
      </c>
      <c r="B1353" s="13" t="s">
        <v>48</v>
      </c>
      <c r="C1353" s="4">
        <v>2.0</v>
      </c>
      <c r="D1353" s="3"/>
      <c r="E1353" s="4">
        <v>2.0</v>
      </c>
      <c r="F1353" s="3"/>
      <c r="G1353" s="3"/>
      <c r="H1353" s="4">
        <v>13.0</v>
      </c>
      <c r="I1353" s="3"/>
    </row>
    <row r="1354">
      <c r="A1354" s="4" t="s">
        <v>2658</v>
      </c>
      <c r="B1354" s="13" t="s">
        <v>48</v>
      </c>
      <c r="C1354" s="4">
        <v>1.0</v>
      </c>
      <c r="D1354" s="3"/>
      <c r="E1354" s="4">
        <v>2.0</v>
      </c>
      <c r="F1354" s="3"/>
      <c r="G1354" s="3"/>
      <c r="H1354" s="3"/>
      <c r="I1354" s="3"/>
    </row>
    <row r="1355">
      <c r="A1355" s="4" t="s">
        <v>2659</v>
      </c>
      <c r="B1355" s="13" t="s">
        <v>48</v>
      </c>
      <c r="C1355" s="4">
        <v>1.0</v>
      </c>
      <c r="D1355" s="3"/>
      <c r="E1355" s="4">
        <v>2.0</v>
      </c>
      <c r="F1355" s="3"/>
      <c r="G1355" s="3"/>
      <c r="H1355" s="3"/>
      <c r="I1355" s="3"/>
    </row>
    <row r="1356">
      <c r="A1356" s="4" t="s">
        <v>2660</v>
      </c>
      <c r="B1356" s="13" t="s">
        <v>48</v>
      </c>
      <c r="C1356" s="4">
        <v>1.0</v>
      </c>
      <c r="D1356" s="3"/>
      <c r="E1356" s="4">
        <v>2.0</v>
      </c>
      <c r="F1356" s="3"/>
      <c r="G1356" s="3"/>
      <c r="H1356" s="3"/>
      <c r="I1356" s="3"/>
    </row>
    <row r="1357">
      <c r="A1357" s="4" t="s">
        <v>2661</v>
      </c>
      <c r="B1357" s="13" t="s">
        <v>48</v>
      </c>
      <c r="C1357" s="4">
        <v>1.0</v>
      </c>
      <c r="D1357" s="3"/>
      <c r="E1357" s="4">
        <v>2.0</v>
      </c>
      <c r="F1357" s="3"/>
      <c r="G1357" s="3"/>
      <c r="H1357" s="3"/>
      <c r="I1357" s="3"/>
    </row>
    <row r="1358">
      <c r="A1358" s="4" t="s">
        <v>2662</v>
      </c>
      <c r="B1358" s="13" t="s">
        <v>48</v>
      </c>
      <c r="C1358" s="4">
        <v>1.0</v>
      </c>
      <c r="D1358" s="3"/>
      <c r="E1358" s="4">
        <v>2.0</v>
      </c>
      <c r="F1358" s="3"/>
      <c r="G1358" s="3"/>
      <c r="H1358" s="3"/>
      <c r="I1358" s="3"/>
    </row>
    <row r="1359">
      <c r="A1359" s="4" t="s">
        <v>2663</v>
      </c>
      <c r="B1359" s="13" t="s">
        <v>48</v>
      </c>
      <c r="C1359" s="4">
        <v>1.0</v>
      </c>
      <c r="D1359" s="3"/>
      <c r="E1359" s="4">
        <v>2.0</v>
      </c>
      <c r="F1359" s="3"/>
      <c r="G1359" s="3"/>
      <c r="H1359" s="3"/>
      <c r="I1359" s="3"/>
    </row>
    <row r="1360">
      <c r="A1360" s="4" t="s">
        <v>2664</v>
      </c>
      <c r="B1360" s="13" t="s">
        <v>48</v>
      </c>
      <c r="C1360" s="4">
        <v>1.0</v>
      </c>
      <c r="D1360" s="3"/>
      <c r="E1360" s="4">
        <v>2.0</v>
      </c>
      <c r="F1360" s="3"/>
      <c r="G1360" s="3"/>
      <c r="H1360" s="3"/>
      <c r="I1360" s="3"/>
    </row>
    <row r="1361">
      <c r="A1361" s="4" t="s">
        <v>2665</v>
      </c>
      <c r="B1361" s="13" t="s">
        <v>48</v>
      </c>
      <c r="C1361" s="4">
        <v>1.0</v>
      </c>
      <c r="D1361" s="3"/>
      <c r="E1361" s="4">
        <v>2.0</v>
      </c>
      <c r="F1361" s="3"/>
      <c r="G1361" s="3"/>
      <c r="H1361" s="3"/>
      <c r="I1361" s="3"/>
    </row>
    <row r="1362">
      <c r="A1362" s="4" t="s">
        <v>2666</v>
      </c>
      <c r="B1362" s="13" t="s">
        <v>48</v>
      </c>
      <c r="C1362" s="4">
        <v>1.0</v>
      </c>
      <c r="D1362" s="3"/>
      <c r="E1362" s="4">
        <v>2.0</v>
      </c>
      <c r="F1362" s="3"/>
      <c r="G1362" s="3"/>
      <c r="H1362" s="3"/>
      <c r="I1362" s="3"/>
    </row>
    <row r="1363">
      <c r="A1363" s="4" t="s">
        <v>2667</v>
      </c>
      <c r="B1363" s="13" t="s">
        <v>48</v>
      </c>
      <c r="C1363" s="4">
        <v>1.0</v>
      </c>
      <c r="D1363" s="3"/>
      <c r="E1363" s="4">
        <v>2.0</v>
      </c>
      <c r="F1363" s="3"/>
      <c r="G1363" s="3"/>
      <c r="H1363" s="3"/>
      <c r="I1363" s="3"/>
    </row>
    <row r="1364">
      <c r="A1364" s="4" t="s">
        <v>2668</v>
      </c>
      <c r="B1364" s="13" t="s">
        <v>48</v>
      </c>
      <c r="C1364" s="4">
        <v>1.0</v>
      </c>
      <c r="D1364" s="3"/>
      <c r="E1364" s="4">
        <v>2.0</v>
      </c>
      <c r="F1364" s="3"/>
      <c r="G1364" s="3"/>
      <c r="H1364" s="3"/>
      <c r="I1364" s="3"/>
    </row>
    <row r="1365">
      <c r="A1365" s="4" t="s">
        <v>2669</v>
      </c>
      <c r="B1365" s="13" t="s">
        <v>48</v>
      </c>
      <c r="C1365" s="4">
        <v>1.0</v>
      </c>
      <c r="D1365" s="3"/>
      <c r="E1365" s="4">
        <v>2.0</v>
      </c>
      <c r="F1365" s="3"/>
      <c r="G1365" s="3"/>
      <c r="H1365" s="3"/>
      <c r="I1365" s="3"/>
    </row>
    <row r="1366">
      <c r="A1366" s="4" t="s">
        <v>2670</v>
      </c>
      <c r="B1366" s="13" t="s">
        <v>48</v>
      </c>
      <c r="C1366" s="4">
        <v>1.0</v>
      </c>
      <c r="D1366" s="3"/>
      <c r="E1366" s="4">
        <v>2.0</v>
      </c>
      <c r="F1366" s="3"/>
      <c r="G1366" s="3"/>
      <c r="H1366" s="3"/>
      <c r="I1366" s="3"/>
    </row>
    <row r="1367">
      <c r="A1367" s="4" t="s">
        <v>2671</v>
      </c>
      <c r="B1367" s="13" t="s">
        <v>48</v>
      </c>
      <c r="C1367" s="4">
        <v>1.0</v>
      </c>
      <c r="D1367" s="3"/>
      <c r="E1367" s="4">
        <v>2.0</v>
      </c>
      <c r="F1367" s="3"/>
      <c r="G1367" s="3"/>
      <c r="H1367" s="3"/>
      <c r="I1367" s="3"/>
    </row>
    <row r="1368">
      <c r="A1368" s="4" t="s">
        <v>2672</v>
      </c>
      <c r="B1368" s="13" t="s">
        <v>48</v>
      </c>
      <c r="C1368" s="4">
        <v>1.0</v>
      </c>
      <c r="D1368" s="3"/>
      <c r="E1368" s="4">
        <v>2.0</v>
      </c>
      <c r="F1368" s="3"/>
      <c r="G1368" s="3"/>
      <c r="H1368" s="3"/>
      <c r="I1368" s="3"/>
    </row>
    <row r="1369">
      <c r="A1369" s="4" t="s">
        <v>2673</v>
      </c>
      <c r="B1369" s="13" t="s">
        <v>48</v>
      </c>
      <c r="C1369" s="4">
        <v>1.0</v>
      </c>
      <c r="D1369" s="3"/>
      <c r="E1369" s="4">
        <v>2.0</v>
      </c>
      <c r="F1369" s="3"/>
      <c r="G1369" s="3"/>
      <c r="H1369" s="3"/>
      <c r="I1369" s="3"/>
    </row>
    <row r="1370">
      <c r="A1370" s="4" t="s">
        <v>2674</v>
      </c>
      <c r="B1370" s="13" t="s">
        <v>48</v>
      </c>
      <c r="C1370" s="4">
        <v>1.0</v>
      </c>
      <c r="D1370" s="3"/>
      <c r="E1370" s="4">
        <v>2.0</v>
      </c>
      <c r="F1370" s="3"/>
      <c r="G1370" s="3"/>
      <c r="H1370" s="3"/>
      <c r="I1370" s="3"/>
    </row>
    <row r="1371">
      <c r="A1371" s="4" t="s">
        <v>2675</v>
      </c>
      <c r="B1371" s="13" t="s">
        <v>48</v>
      </c>
      <c r="C1371" s="4">
        <v>1.0</v>
      </c>
      <c r="D1371" s="3"/>
      <c r="E1371" s="4">
        <v>2.0</v>
      </c>
      <c r="F1371" s="3"/>
      <c r="G1371" s="3"/>
      <c r="H1371" s="3"/>
      <c r="I1371" s="3"/>
    </row>
    <row r="1372">
      <c r="A1372" s="4" t="s">
        <v>2676</v>
      </c>
      <c r="B1372" s="13" t="s">
        <v>48</v>
      </c>
      <c r="C1372" s="4">
        <v>1.0</v>
      </c>
      <c r="D1372" s="3"/>
      <c r="E1372" s="4">
        <v>2.0</v>
      </c>
      <c r="F1372" s="3"/>
      <c r="G1372" s="3"/>
      <c r="H1372" s="3"/>
      <c r="I1372" s="3"/>
    </row>
    <row r="1373">
      <c r="A1373" s="4" t="s">
        <v>2677</v>
      </c>
      <c r="B1373" s="13" t="s">
        <v>48</v>
      </c>
      <c r="C1373" s="4">
        <v>1.0</v>
      </c>
      <c r="D1373" s="3"/>
      <c r="E1373" s="4">
        <v>2.0</v>
      </c>
      <c r="F1373" s="3"/>
      <c r="G1373" s="3"/>
      <c r="H1373" s="3"/>
      <c r="I1373" s="3"/>
    </row>
    <row r="1374">
      <c r="A1374" s="4" t="s">
        <v>2678</v>
      </c>
      <c r="B1374" s="13" t="s">
        <v>48</v>
      </c>
      <c r="C1374" s="4">
        <v>1.0</v>
      </c>
      <c r="D1374" s="3"/>
      <c r="E1374" s="4">
        <v>2.0</v>
      </c>
      <c r="F1374" s="3"/>
      <c r="G1374" s="3"/>
      <c r="H1374" s="3"/>
      <c r="I1374" s="3"/>
    </row>
    <row r="1375">
      <c r="A1375" s="4" t="s">
        <v>2679</v>
      </c>
      <c r="B1375" s="13" t="s">
        <v>48</v>
      </c>
      <c r="C1375" s="4">
        <v>1.0</v>
      </c>
      <c r="D1375" s="3"/>
      <c r="E1375" s="4">
        <v>2.0</v>
      </c>
      <c r="F1375" s="3"/>
      <c r="G1375" s="3"/>
      <c r="H1375" s="3"/>
      <c r="I1375" s="3"/>
    </row>
    <row r="1376">
      <c r="A1376" s="4" t="s">
        <v>2680</v>
      </c>
      <c r="B1376" s="13" t="s">
        <v>48</v>
      </c>
      <c r="C1376" s="4">
        <v>1.0</v>
      </c>
      <c r="D1376" s="3"/>
      <c r="E1376" s="4">
        <v>2.0</v>
      </c>
      <c r="F1376" s="3"/>
      <c r="G1376" s="3"/>
      <c r="H1376" s="3"/>
      <c r="I1376" s="3"/>
    </row>
    <row r="1377">
      <c r="A1377" s="4" t="s">
        <v>2681</v>
      </c>
      <c r="B1377" s="13" t="s">
        <v>48</v>
      </c>
      <c r="C1377" s="4">
        <v>1.0</v>
      </c>
      <c r="D1377" s="3"/>
      <c r="E1377" s="4">
        <v>2.0</v>
      </c>
      <c r="F1377" s="3"/>
      <c r="G1377" s="3"/>
      <c r="H1377" s="3"/>
      <c r="I1377" s="3"/>
    </row>
    <row r="1378">
      <c r="A1378" s="4" t="s">
        <v>2682</v>
      </c>
      <c r="B1378" s="13" t="s">
        <v>48</v>
      </c>
      <c r="C1378" s="4">
        <v>1.0</v>
      </c>
      <c r="D1378" s="3"/>
      <c r="E1378" s="4">
        <v>2.0</v>
      </c>
      <c r="F1378" s="3"/>
      <c r="G1378" s="3"/>
      <c r="H1378" s="3"/>
      <c r="I1378" s="3"/>
    </row>
    <row r="1379">
      <c r="A1379" s="4" t="s">
        <v>2683</v>
      </c>
      <c r="B1379" s="13" t="s">
        <v>48</v>
      </c>
      <c r="C1379" s="4">
        <v>1.0</v>
      </c>
      <c r="D1379" s="3"/>
      <c r="E1379" s="4">
        <v>2.0</v>
      </c>
      <c r="F1379" s="3"/>
      <c r="G1379" s="3"/>
      <c r="H1379" s="3"/>
      <c r="I1379" s="3"/>
    </row>
    <row r="1380">
      <c r="A1380" s="4" t="s">
        <v>2684</v>
      </c>
      <c r="B1380" s="13" t="s">
        <v>48</v>
      </c>
      <c r="C1380" s="4">
        <v>1.0</v>
      </c>
      <c r="D1380" s="3"/>
      <c r="E1380" s="4">
        <v>2.0</v>
      </c>
      <c r="F1380" s="3"/>
      <c r="G1380" s="3"/>
      <c r="H1380" s="3"/>
      <c r="I1380" s="3"/>
    </row>
    <row r="1381">
      <c r="A1381" s="4" t="s">
        <v>2685</v>
      </c>
      <c r="B1381" s="13" t="s">
        <v>48</v>
      </c>
      <c r="C1381" s="4">
        <v>1.0</v>
      </c>
      <c r="D1381" s="3"/>
      <c r="E1381" s="4">
        <v>2.0</v>
      </c>
      <c r="F1381" s="3"/>
      <c r="G1381" s="3"/>
      <c r="H1381" s="3"/>
      <c r="I1381" s="3"/>
    </row>
    <row r="1382">
      <c r="A1382" s="4" t="s">
        <v>2686</v>
      </c>
      <c r="B1382" s="13" t="s">
        <v>48</v>
      </c>
      <c r="C1382" s="4">
        <v>1.0</v>
      </c>
      <c r="D1382" s="3"/>
      <c r="E1382" s="4">
        <v>2.0</v>
      </c>
      <c r="F1382" s="3"/>
      <c r="G1382" s="3"/>
      <c r="H1382" s="3"/>
      <c r="I1382" s="3"/>
    </row>
    <row r="1383">
      <c r="A1383" s="4" t="s">
        <v>2687</v>
      </c>
      <c r="B1383" s="13" t="s">
        <v>48</v>
      </c>
      <c r="C1383" s="4">
        <v>1.0</v>
      </c>
      <c r="D1383" s="3"/>
      <c r="E1383" s="4">
        <v>2.0</v>
      </c>
      <c r="F1383" s="3"/>
      <c r="G1383" s="3"/>
      <c r="H1383" s="3"/>
      <c r="I1383" s="3"/>
    </row>
    <row r="1384">
      <c r="A1384" s="4" t="s">
        <v>2688</v>
      </c>
      <c r="B1384" s="13" t="s">
        <v>48</v>
      </c>
      <c r="C1384" s="4">
        <v>1.0</v>
      </c>
      <c r="D1384" s="3"/>
      <c r="E1384" s="4">
        <v>2.0</v>
      </c>
      <c r="F1384" s="3"/>
      <c r="G1384" s="3"/>
      <c r="H1384" s="3"/>
      <c r="I1384" s="3"/>
    </row>
    <row r="1385">
      <c r="A1385" s="4" t="s">
        <v>2689</v>
      </c>
      <c r="B1385" s="13" t="s">
        <v>48</v>
      </c>
      <c r="C1385" s="4">
        <v>1.0</v>
      </c>
      <c r="D1385" s="3"/>
      <c r="E1385" s="4">
        <v>2.0</v>
      </c>
      <c r="F1385" s="3"/>
      <c r="G1385" s="3"/>
      <c r="H1385" s="3"/>
      <c r="I1385" s="3"/>
    </row>
    <row r="1386">
      <c r="A1386" s="4" t="s">
        <v>2690</v>
      </c>
      <c r="B1386" s="13" t="s">
        <v>48</v>
      </c>
      <c r="C1386" s="4">
        <v>1.0</v>
      </c>
      <c r="D1386" s="3"/>
      <c r="E1386" s="4">
        <v>2.0</v>
      </c>
      <c r="F1386" s="3"/>
      <c r="G1386" s="3"/>
      <c r="H1386" s="3"/>
      <c r="I1386" s="3"/>
    </row>
    <row r="1387">
      <c r="A1387" s="4" t="s">
        <v>2691</v>
      </c>
      <c r="B1387" s="13" t="s">
        <v>48</v>
      </c>
      <c r="C1387" s="4">
        <v>1.0</v>
      </c>
      <c r="D1387" s="3"/>
      <c r="E1387" s="4">
        <v>2.0</v>
      </c>
      <c r="F1387" s="3"/>
      <c r="G1387" s="3"/>
      <c r="H1387" s="3"/>
      <c r="I1387" s="3"/>
    </row>
    <row r="1388">
      <c r="A1388" s="4" t="s">
        <v>2692</v>
      </c>
      <c r="B1388" s="13" t="s">
        <v>48</v>
      </c>
      <c r="C1388" s="4">
        <v>1.0</v>
      </c>
      <c r="D1388" s="3"/>
      <c r="E1388" s="4">
        <v>2.0</v>
      </c>
      <c r="F1388" s="3"/>
      <c r="G1388" s="3"/>
      <c r="H1388" s="3"/>
      <c r="I1388" s="3"/>
    </row>
    <row r="1389">
      <c r="A1389" s="4" t="s">
        <v>2693</v>
      </c>
      <c r="B1389" s="13" t="s">
        <v>48</v>
      </c>
      <c r="C1389" s="4">
        <v>1.0</v>
      </c>
      <c r="D1389" s="3"/>
      <c r="E1389" s="4">
        <v>2.0</v>
      </c>
      <c r="F1389" s="3"/>
      <c r="G1389" s="3"/>
      <c r="H1389" s="3"/>
      <c r="I1389" s="3"/>
    </row>
    <row r="1390">
      <c r="A1390" s="4" t="s">
        <v>2694</v>
      </c>
      <c r="B1390" s="13" t="s">
        <v>48</v>
      </c>
      <c r="C1390" s="4">
        <v>1.0</v>
      </c>
      <c r="D1390" s="3"/>
      <c r="E1390" s="4">
        <v>2.0</v>
      </c>
      <c r="F1390" s="3"/>
      <c r="G1390" s="3"/>
      <c r="H1390" s="3"/>
      <c r="I1390" s="3"/>
    </row>
    <row r="1391">
      <c r="A1391" s="4" t="s">
        <v>2695</v>
      </c>
      <c r="B1391" s="13" t="s">
        <v>48</v>
      </c>
      <c r="C1391" s="4">
        <v>1.0</v>
      </c>
      <c r="D1391" s="3"/>
      <c r="E1391" s="4">
        <v>2.0</v>
      </c>
      <c r="F1391" s="3"/>
      <c r="G1391" s="3"/>
      <c r="H1391" s="3"/>
      <c r="I1391" s="3"/>
    </row>
    <row r="1392">
      <c r="A1392" s="4" t="s">
        <v>2696</v>
      </c>
      <c r="B1392" s="13" t="s">
        <v>48</v>
      </c>
      <c r="C1392" s="4">
        <v>1.0</v>
      </c>
      <c r="D1392" s="3"/>
      <c r="E1392" s="4">
        <v>2.0</v>
      </c>
      <c r="F1392" s="3"/>
      <c r="G1392" s="3"/>
      <c r="H1392" s="3"/>
      <c r="I1392" s="3"/>
    </row>
    <row r="1393">
      <c r="A1393" s="4" t="s">
        <v>2697</v>
      </c>
      <c r="B1393" s="13" t="s">
        <v>48</v>
      </c>
      <c r="C1393" s="4">
        <v>1.0</v>
      </c>
      <c r="D1393" s="3"/>
      <c r="E1393" s="4">
        <v>2.0</v>
      </c>
      <c r="F1393" s="3"/>
      <c r="G1393" s="3"/>
      <c r="H1393" s="3"/>
      <c r="I1393" s="3"/>
    </row>
    <row r="1394">
      <c r="A1394" s="4" t="s">
        <v>2698</v>
      </c>
      <c r="B1394" s="13" t="s">
        <v>48</v>
      </c>
      <c r="C1394" s="4">
        <v>1.0</v>
      </c>
      <c r="D1394" s="3"/>
      <c r="E1394" s="4">
        <v>2.0</v>
      </c>
      <c r="F1394" s="3"/>
      <c r="G1394" s="3"/>
      <c r="H1394" s="3"/>
      <c r="I1394" s="3"/>
      <c r="J1394" s="4" t="s">
        <v>1757</v>
      </c>
    </row>
    <row r="1395">
      <c r="A1395" s="4" t="s">
        <v>2699</v>
      </c>
      <c r="B1395" s="13" t="s">
        <v>48</v>
      </c>
      <c r="C1395" s="4">
        <v>1.0</v>
      </c>
      <c r="D1395" s="3"/>
      <c r="E1395" s="4">
        <v>2.0</v>
      </c>
      <c r="F1395" s="3"/>
      <c r="G1395" s="3"/>
      <c r="H1395" s="3"/>
      <c r="I1395" s="3"/>
      <c r="J1395" s="4" t="s">
        <v>1757</v>
      </c>
    </row>
    <row r="1396">
      <c r="A1396" s="4" t="s">
        <v>2700</v>
      </c>
      <c r="B1396" s="13" t="s">
        <v>48</v>
      </c>
      <c r="C1396" s="4">
        <v>1.0</v>
      </c>
      <c r="D1396" s="3"/>
      <c r="E1396" s="4">
        <v>2.0</v>
      </c>
      <c r="F1396" s="3"/>
      <c r="G1396" s="3"/>
      <c r="H1396" s="3"/>
      <c r="I1396" s="3"/>
      <c r="J1396" s="4" t="s">
        <v>1757</v>
      </c>
    </row>
    <row r="1397">
      <c r="A1397" s="4" t="s">
        <v>2701</v>
      </c>
      <c r="B1397" s="13" t="s">
        <v>43</v>
      </c>
      <c r="D1397" s="3"/>
      <c r="E1397" s="3"/>
      <c r="F1397" s="3"/>
      <c r="G1397" s="3"/>
      <c r="H1397" s="3"/>
      <c r="I1397" s="3"/>
      <c r="J1397" s="4" t="s">
        <v>1757</v>
      </c>
    </row>
    <row r="1398">
      <c r="A1398" s="4" t="s">
        <v>2702</v>
      </c>
      <c r="B1398" s="13" t="s">
        <v>48</v>
      </c>
      <c r="C1398" s="4">
        <v>1.0</v>
      </c>
      <c r="D1398" s="3"/>
      <c r="E1398" s="3"/>
      <c r="F1398" s="3"/>
      <c r="G1398" s="3"/>
      <c r="H1398" s="4">
        <v>13.0</v>
      </c>
      <c r="I1398" s="3"/>
      <c r="J1398" s="4" t="s">
        <v>1757</v>
      </c>
    </row>
    <row r="1399">
      <c r="A1399" s="4" t="s">
        <v>2703</v>
      </c>
      <c r="B1399" s="13" t="s">
        <v>48</v>
      </c>
      <c r="C1399" s="4">
        <v>1.0</v>
      </c>
      <c r="D1399" s="3"/>
      <c r="E1399" s="3"/>
      <c r="F1399" s="3"/>
      <c r="G1399" s="3"/>
      <c r="H1399" s="4">
        <v>13.0</v>
      </c>
      <c r="I1399" s="3"/>
      <c r="J1399" s="4" t="s">
        <v>1757</v>
      </c>
    </row>
    <row r="1400">
      <c r="A1400" s="4" t="s">
        <v>2704</v>
      </c>
      <c r="B1400" s="13" t="s">
        <v>48</v>
      </c>
      <c r="C1400" s="4">
        <v>1.0</v>
      </c>
      <c r="D1400" s="3"/>
      <c r="E1400" s="3"/>
      <c r="F1400" s="3"/>
      <c r="G1400" s="3"/>
      <c r="H1400" s="4">
        <v>13.0</v>
      </c>
      <c r="I1400" s="3"/>
      <c r="J1400" s="4" t="s">
        <v>1757</v>
      </c>
    </row>
    <row r="1401">
      <c r="A1401" s="4" t="s">
        <v>2705</v>
      </c>
      <c r="B1401" s="13" t="s">
        <v>48</v>
      </c>
      <c r="C1401" s="4">
        <v>1.0</v>
      </c>
      <c r="D1401" s="3"/>
      <c r="E1401" s="3"/>
      <c r="F1401" s="3"/>
      <c r="G1401" s="3"/>
      <c r="H1401" s="4">
        <v>13.0</v>
      </c>
      <c r="I1401" s="3"/>
      <c r="J1401" s="4" t="s">
        <v>1757</v>
      </c>
    </row>
    <row r="1402">
      <c r="A1402" s="4" t="s">
        <v>2706</v>
      </c>
      <c r="B1402" s="13" t="s">
        <v>48</v>
      </c>
      <c r="C1402" s="4">
        <v>1.0</v>
      </c>
      <c r="D1402" s="3"/>
      <c r="E1402" s="3"/>
      <c r="F1402" s="3"/>
      <c r="G1402" s="3"/>
      <c r="H1402" s="4">
        <v>13.0</v>
      </c>
      <c r="I1402" s="3"/>
      <c r="J1402" s="4" t="s">
        <v>1757</v>
      </c>
    </row>
    <row r="1403">
      <c r="A1403" s="4" t="s">
        <v>2707</v>
      </c>
      <c r="B1403" s="13" t="s">
        <v>48</v>
      </c>
      <c r="C1403" s="4">
        <v>1.0</v>
      </c>
      <c r="D1403" s="3"/>
      <c r="E1403" s="3"/>
      <c r="F1403" s="3"/>
      <c r="G1403" s="3"/>
      <c r="H1403" s="4">
        <v>13.0</v>
      </c>
      <c r="I1403" s="3"/>
      <c r="J1403" s="4" t="s">
        <v>1757</v>
      </c>
    </row>
    <row r="1404">
      <c r="A1404" s="4" t="s">
        <v>2708</v>
      </c>
      <c r="B1404" s="13" t="s">
        <v>48</v>
      </c>
      <c r="C1404" s="4">
        <v>1.0</v>
      </c>
      <c r="D1404" s="3"/>
      <c r="E1404" s="3"/>
      <c r="F1404" s="3"/>
      <c r="G1404" s="3"/>
      <c r="H1404" s="4">
        <v>13.0</v>
      </c>
      <c r="I1404" s="3"/>
      <c r="J1404" s="4" t="s">
        <v>1757</v>
      </c>
    </row>
    <row r="1405">
      <c r="A1405" s="4" t="s">
        <v>2709</v>
      </c>
      <c r="B1405" s="13" t="s">
        <v>48</v>
      </c>
      <c r="C1405" s="4">
        <v>1.0</v>
      </c>
      <c r="D1405" s="3"/>
      <c r="E1405" s="3"/>
      <c r="F1405" s="3"/>
      <c r="G1405" s="3"/>
      <c r="H1405" s="4">
        <v>13.0</v>
      </c>
      <c r="I1405" s="3"/>
      <c r="J1405" s="4" t="s">
        <v>1757</v>
      </c>
    </row>
    <row r="1406">
      <c r="A1406" s="4" t="s">
        <v>2710</v>
      </c>
      <c r="B1406" s="13" t="s">
        <v>48</v>
      </c>
      <c r="C1406" s="4">
        <v>1.0</v>
      </c>
      <c r="D1406" s="3"/>
      <c r="E1406" s="3"/>
      <c r="F1406" s="3"/>
      <c r="G1406" s="3"/>
      <c r="H1406" s="4">
        <v>13.0</v>
      </c>
      <c r="I1406" s="3"/>
      <c r="J1406" s="4" t="s">
        <v>1757</v>
      </c>
    </row>
    <row r="1407">
      <c r="A1407" s="4" t="s">
        <v>2711</v>
      </c>
      <c r="B1407" s="13" t="s">
        <v>48</v>
      </c>
      <c r="C1407" s="4">
        <v>1.0</v>
      </c>
      <c r="D1407" s="3"/>
      <c r="E1407" s="3"/>
      <c r="F1407" s="3"/>
      <c r="G1407" s="3"/>
      <c r="H1407" s="4">
        <v>13.0</v>
      </c>
      <c r="I1407" s="3"/>
      <c r="J1407" s="4" t="s">
        <v>1757</v>
      </c>
    </row>
    <row r="1408">
      <c r="A1408" s="4" t="s">
        <v>2712</v>
      </c>
      <c r="B1408" s="13" t="s">
        <v>48</v>
      </c>
      <c r="C1408" s="4">
        <v>1.0</v>
      </c>
      <c r="D1408" s="3"/>
      <c r="E1408" s="3"/>
      <c r="F1408" s="3"/>
      <c r="G1408" s="3"/>
      <c r="H1408" s="4">
        <v>13.0</v>
      </c>
      <c r="I1408" s="3"/>
      <c r="J1408" s="4" t="s">
        <v>1757</v>
      </c>
      <c r="K1408" s="4" t="s">
        <v>1757</v>
      </c>
    </row>
    <row r="1409">
      <c r="A1409" s="4" t="s">
        <v>2713</v>
      </c>
      <c r="B1409" s="13" t="s">
        <v>48</v>
      </c>
      <c r="C1409" s="4">
        <v>1.0</v>
      </c>
      <c r="D1409" s="3"/>
      <c r="E1409" s="3"/>
      <c r="F1409" s="3"/>
      <c r="G1409" s="3"/>
      <c r="H1409" s="4">
        <v>13.0</v>
      </c>
      <c r="I1409" s="3"/>
      <c r="J1409" s="4" t="s">
        <v>1757</v>
      </c>
      <c r="K1409" s="4" t="s">
        <v>1757</v>
      </c>
    </row>
    <row r="1410">
      <c r="A1410" s="4" t="s">
        <v>2714</v>
      </c>
      <c r="B1410" s="13" t="s">
        <v>48</v>
      </c>
      <c r="C1410" s="4">
        <v>1.0</v>
      </c>
      <c r="D1410" s="3"/>
      <c r="E1410" s="3"/>
      <c r="F1410" s="3"/>
      <c r="G1410" s="3"/>
      <c r="H1410" s="4">
        <v>13.0</v>
      </c>
      <c r="I1410" s="3"/>
      <c r="J1410" s="4" t="s">
        <v>1757</v>
      </c>
      <c r="K1410" s="4" t="s">
        <v>1757</v>
      </c>
    </row>
    <row r="1411">
      <c r="A1411" s="4" t="s">
        <v>2715</v>
      </c>
      <c r="B1411" s="13" t="s">
        <v>48</v>
      </c>
      <c r="C1411" s="4">
        <v>1.0</v>
      </c>
      <c r="D1411" s="3"/>
      <c r="E1411" s="3"/>
      <c r="F1411" s="3"/>
      <c r="G1411" s="3"/>
      <c r="H1411" s="4">
        <v>13.0</v>
      </c>
      <c r="I1411" s="3"/>
      <c r="J1411" s="4" t="s">
        <v>1757</v>
      </c>
      <c r="K1411" s="4" t="s">
        <v>1757</v>
      </c>
    </row>
    <row r="1412">
      <c r="A1412" s="4" t="s">
        <v>2716</v>
      </c>
      <c r="B1412" s="13" t="s">
        <v>48</v>
      </c>
      <c r="C1412" s="4">
        <v>1.0</v>
      </c>
      <c r="D1412" s="3"/>
      <c r="E1412" s="3"/>
      <c r="F1412" s="3"/>
      <c r="G1412" s="3"/>
      <c r="H1412" s="4">
        <v>13.0</v>
      </c>
      <c r="I1412" s="3"/>
      <c r="J1412" s="4" t="s">
        <v>1757</v>
      </c>
      <c r="K1412" s="4" t="s">
        <v>1757</v>
      </c>
    </row>
    <row r="1413">
      <c r="A1413" s="4" t="s">
        <v>2717</v>
      </c>
      <c r="B1413" s="13" t="s">
        <v>48</v>
      </c>
      <c r="C1413" s="4">
        <v>1.0</v>
      </c>
      <c r="D1413" s="3"/>
      <c r="E1413" s="3"/>
      <c r="F1413" s="3"/>
      <c r="G1413" s="3"/>
      <c r="H1413" s="4">
        <v>13.0</v>
      </c>
      <c r="I1413" s="3"/>
      <c r="J1413" s="4" t="s">
        <v>1757</v>
      </c>
      <c r="K1413" s="4" t="s">
        <v>1757</v>
      </c>
    </row>
    <row r="1414">
      <c r="A1414" s="4" t="s">
        <v>2718</v>
      </c>
      <c r="B1414" s="13" t="s">
        <v>48</v>
      </c>
      <c r="C1414" s="4">
        <v>1.0</v>
      </c>
      <c r="D1414" s="3"/>
      <c r="E1414" s="3"/>
      <c r="F1414" s="3"/>
      <c r="G1414" s="3"/>
      <c r="H1414" s="4">
        <v>13.0</v>
      </c>
      <c r="I1414" s="3"/>
      <c r="J1414" s="4" t="s">
        <v>1757</v>
      </c>
      <c r="K1414" s="4" t="s">
        <v>1757</v>
      </c>
    </row>
    <row r="1415">
      <c r="A1415" s="4" t="s">
        <v>2719</v>
      </c>
      <c r="B1415" s="13" t="s">
        <v>48</v>
      </c>
      <c r="C1415" s="4">
        <v>1.0</v>
      </c>
      <c r="D1415" s="3"/>
      <c r="E1415" s="3"/>
      <c r="F1415" s="3"/>
      <c r="G1415" s="3"/>
      <c r="H1415" s="4">
        <v>13.0</v>
      </c>
      <c r="I1415" s="3"/>
      <c r="J1415" s="4" t="s">
        <v>1757</v>
      </c>
      <c r="K1415" s="4" t="s">
        <v>1757</v>
      </c>
    </row>
    <row r="1416">
      <c r="A1416" s="4" t="s">
        <v>2720</v>
      </c>
      <c r="B1416" s="13" t="s">
        <v>48</v>
      </c>
      <c r="C1416" s="4">
        <v>1.0</v>
      </c>
      <c r="D1416" s="3"/>
      <c r="E1416" s="3"/>
      <c r="F1416" s="3"/>
      <c r="G1416" s="3"/>
      <c r="H1416" s="4">
        <v>13.0</v>
      </c>
      <c r="I1416" s="3"/>
      <c r="J1416" s="4" t="s">
        <v>1757</v>
      </c>
      <c r="K1416" s="4" t="s">
        <v>1757</v>
      </c>
    </row>
    <row r="1417">
      <c r="A1417" s="4" t="s">
        <v>2721</v>
      </c>
      <c r="B1417" s="13" t="s">
        <v>48</v>
      </c>
      <c r="C1417" s="4">
        <v>1.0</v>
      </c>
      <c r="D1417" s="3"/>
      <c r="E1417" s="3"/>
      <c r="F1417" s="3"/>
      <c r="G1417" s="3"/>
      <c r="H1417" s="4">
        <v>13.0</v>
      </c>
      <c r="I1417" s="3"/>
      <c r="J1417" s="4" t="s">
        <v>1757</v>
      </c>
    </row>
    <row r="1418">
      <c r="A1418" s="4" t="s">
        <v>2722</v>
      </c>
      <c r="B1418" s="13" t="s">
        <v>48</v>
      </c>
      <c r="C1418" s="4">
        <v>1.0</v>
      </c>
      <c r="D1418" s="3"/>
      <c r="E1418" s="3"/>
      <c r="F1418" s="3"/>
      <c r="G1418" s="3"/>
      <c r="H1418" s="4">
        <v>13.0</v>
      </c>
      <c r="I1418" s="3"/>
      <c r="J1418" s="4" t="s">
        <v>1757</v>
      </c>
    </row>
    <row r="1419">
      <c r="A1419" s="4" t="s">
        <v>2723</v>
      </c>
      <c r="B1419" s="13" t="s">
        <v>48</v>
      </c>
      <c r="C1419" s="4">
        <v>1.0</v>
      </c>
      <c r="D1419" s="3"/>
      <c r="E1419" s="3"/>
      <c r="F1419" s="3"/>
      <c r="G1419" s="3"/>
      <c r="H1419" s="4">
        <v>13.0</v>
      </c>
      <c r="I1419" s="3"/>
      <c r="J1419" s="4" t="s">
        <v>1757</v>
      </c>
    </row>
    <row r="1420">
      <c r="A1420" s="4" t="s">
        <v>2724</v>
      </c>
      <c r="B1420" s="13" t="s">
        <v>48</v>
      </c>
      <c r="C1420" s="4">
        <v>1.0</v>
      </c>
      <c r="D1420" s="3"/>
      <c r="E1420" s="3"/>
      <c r="F1420" s="3"/>
      <c r="G1420" s="3"/>
      <c r="H1420" s="4">
        <v>13.0</v>
      </c>
      <c r="I1420" s="3"/>
      <c r="J1420" s="4" t="s">
        <v>1757</v>
      </c>
    </row>
    <row r="1421">
      <c r="A1421" s="4" t="s">
        <v>2725</v>
      </c>
      <c r="B1421" s="13" t="s">
        <v>48</v>
      </c>
      <c r="C1421" s="4">
        <v>1.0</v>
      </c>
      <c r="D1421" s="3"/>
      <c r="E1421" s="3"/>
      <c r="F1421" s="3"/>
      <c r="G1421" s="3"/>
      <c r="H1421" s="4">
        <v>13.0</v>
      </c>
      <c r="I1421" s="3"/>
      <c r="J1421" s="4" t="s">
        <v>1757</v>
      </c>
    </row>
    <row r="1422">
      <c r="A1422" s="4" t="s">
        <v>2726</v>
      </c>
      <c r="B1422" s="13" t="s">
        <v>48</v>
      </c>
      <c r="C1422" s="4">
        <v>1.0</v>
      </c>
      <c r="D1422" s="3"/>
      <c r="E1422" s="3"/>
      <c r="F1422" s="3"/>
      <c r="G1422" s="3"/>
      <c r="H1422" s="4">
        <v>13.0</v>
      </c>
      <c r="I1422" s="3"/>
      <c r="J1422" s="4" t="s">
        <v>1757</v>
      </c>
    </row>
    <row r="1423">
      <c r="A1423" s="4" t="s">
        <v>2727</v>
      </c>
      <c r="B1423" s="13" t="s">
        <v>48</v>
      </c>
      <c r="C1423" s="4">
        <v>1.0</v>
      </c>
      <c r="D1423" s="3"/>
      <c r="E1423" s="3"/>
      <c r="F1423" s="3"/>
      <c r="G1423" s="3"/>
      <c r="H1423" s="4">
        <v>13.0</v>
      </c>
      <c r="I1423" s="3"/>
      <c r="J1423" s="4" t="s">
        <v>1757</v>
      </c>
    </row>
    <row r="1424">
      <c r="A1424" s="4" t="s">
        <v>2728</v>
      </c>
      <c r="B1424" s="13" t="s">
        <v>48</v>
      </c>
      <c r="C1424" s="4">
        <v>1.0</v>
      </c>
      <c r="D1424" s="3"/>
      <c r="E1424" s="3"/>
      <c r="F1424" s="3"/>
      <c r="G1424" s="3"/>
      <c r="H1424" s="4">
        <v>13.0</v>
      </c>
      <c r="I1424" s="3"/>
      <c r="J1424" s="4" t="s">
        <v>1757</v>
      </c>
    </row>
    <row r="1425">
      <c r="A1425" s="4" t="s">
        <v>2729</v>
      </c>
      <c r="B1425" s="13" t="s">
        <v>48</v>
      </c>
      <c r="C1425" s="4">
        <v>1.0</v>
      </c>
      <c r="D1425" s="3"/>
      <c r="E1425" s="3"/>
      <c r="F1425" s="3"/>
      <c r="G1425" s="3"/>
      <c r="H1425" s="4">
        <v>13.0</v>
      </c>
      <c r="I1425" s="3"/>
      <c r="J1425" s="4" t="s">
        <v>1757</v>
      </c>
    </row>
    <row r="1426">
      <c r="A1426" s="4" t="s">
        <v>2730</v>
      </c>
      <c r="B1426" s="13" t="s">
        <v>48</v>
      </c>
      <c r="C1426" s="4">
        <v>1.0</v>
      </c>
      <c r="D1426" s="3"/>
      <c r="E1426" s="3"/>
      <c r="F1426" s="3"/>
      <c r="G1426" s="3"/>
      <c r="H1426" s="4">
        <v>13.0</v>
      </c>
      <c r="I1426" s="3"/>
      <c r="J1426" s="4" t="s">
        <v>1757</v>
      </c>
    </row>
    <row r="1427">
      <c r="A1427" s="4" t="s">
        <v>2731</v>
      </c>
      <c r="B1427" s="13" t="s">
        <v>48</v>
      </c>
      <c r="C1427" s="4">
        <v>1.0</v>
      </c>
      <c r="D1427" s="3"/>
      <c r="E1427" s="3"/>
      <c r="F1427" s="3"/>
      <c r="G1427" s="3"/>
      <c r="H1427" s="4">
        <v>13.0</v>
      </c>
      <c r="I1427" s="3"/>
      <c r="J1427" s="4" t="s">
        <v>1757</v>
      </c>
    </row>
    <row r="1428">
      <c r="A1428" s="4" t="s">
        <v>2732</v>
      </c>
      <c r="B1428" s="13" t="s">
        <v>48</v>
      </c>
      <c r="C1428" s="4">
        <v>1.0</v>
      </c>
      <c r="D1428" s="3"/>
      <c r="E1428" s="3"/>
      <c r="F1428" s="3"/>
      <c r="G1428" s="3"/>
      <c r="H1428" s="4">
        <v>13.0</v>
      </c>
      <c r="I1428" s="3"/>
      <c r="J1428" s="4" t="s">
        <v>1757</v>
      </c>
    </row>
    <row r="1429">
      <c r="A1429" s="4" t="s">
        <v>2733</v>
      </c>
      <c r="B1429" s="13" t="s">
        <v>48</v>
      </c>
      <c r="C1429" s="4">
        <v>1.0</v>
      </c>
      <c r="D1429" s="3"/>
      <c r="E1429" s="3"/>
      <c r="F1429" s="3"/>
      <c r="G1429" s="3"/>
      <c r="H1429" s="4">
        <v>13.0</v>
      </c>
      <c r="I1429" s="3"/>
      <c r="J1429" s="4" t="s">
        <v>1757</v>
      </c>
    </row>
    <row r="1430">
      <c r="A1430" s="4" t="s">
        <v>2734</v>
      </c>
      <c r="B1430" s="13" t="s">
        <v>48</v>
      </c>
      <c r="C1430" s="4">
        <v>1.0</v>
      </c>
      <c r="D1430" s="3"/>
      <c r="E1430" s="3"/>
      <c r="F1430" s="3"/>
      <c r="G1430" s="3"/>
      <c r="H1430" s="4">
        <v>13.0</v>
      </c>
      <c r="I1430" s="3"/>
      <c r="J1430" s="4" t="s">
        <v>1757</v>
      </c>
    </row>
    <row r="1431">
      <c r="A1431" s="4" t="s">
        <v>2735</v>
      </c>
      <c r="B1431" s="13" t="s">
        <v>48</v>
      </c>
      <c r="C1431" s="4">
        <v>1.0</v>
      </c>
      <c r="D1431" s="3"/>
      <c r="E1431" s="3"/>
      <c r="F1431" s="3"/>
      <c r="G1431" s="3"/>
      <c r="H1431" s="4">
        <v>13.0</v>
      </c>
      <c r="I1431" s="3"/>
      <c r="J1431" s="4" t="s">
        <v>1757</v>
      </c>
    </row>
    <row r="1432">
      <c r="A1432" s="4" t="s">
        <v>2736</v>
      </c>
      <c r="B1432" s="13" t="s">
        <v>48</v>
      </c>
      <c r="C1432" s="4">
        <v>1.0</v>
      </c>
      <c r="D1432" s="3"/>
      <c r="E1432" s="3"/>
      <c r="F1432" s="3"/>
      <c r="G1432" s="3"/>
      <c r="H1432" s="4">
        <v>13.0</v>
      </c>
      <c r="I1432" s="3"/>
      <c r="J1432" s="4" t="s">
        <v>1757</v>
      </c>
    </row>
    <row r="1433">
      <c r="A1433" s="4" t="s">
        <v>2737</v>
      </c>
      <c r="B1433" s="13" t="s">
        <v>48</v>
      </c>
      <c r="C1433" s="4">
        <v>1.0</v>
      </c>
      <c r="D1433" s="3"/>
      <c r="E1433" s="3"/>
      <c r="F1433" s="3"/>
      <c r="G1433" s="3"/>
      <c r="H1433" s="4">
        <v>13.0</v>
      </c>
      <c r="I1433" s="3"/>
      <c r="J1433" s="4" t="s">
        <v>1757</v>
      </c>
    </row>
    <row r="1434">
      <c r="A1434" s="4" t="s">
        <v>2738</v>
      </c>
      <c r="B1434" s="13" t="s">
        <v>48</v>
      </c>
      <c r="C1434" s="4">
        <v>1.0</v>
      </c>
      <c r="D1434" s="3"/>
      <c r="E1434" s="3"/>
      <c r="F1434" s="3"/>
      <c r="G1434" s="3"/>
      <c r="H1434" s="4">
        <v>13.0</v>
      </c>
      <c r="I1434" s="3"/>
      <c r="J1434" s="4" t="s">
        <v>1757</v>
      </c>
    </row>
    <row r="1435">
      <c r="A1435" s="4" t="s">
        <v>2739</v>
      </c>
      <c r="B1435" s="13" t="s">
        <v>48</v>
      </c>
      <c r="C1435" s="4">
        <v>1.0</v>
      </c>
      <c r="D1435" s="3"/>
      <c r="E1435" s="3"/>
      <c r="F1435" s="3"/>
      <c r="G1435" s="3"/>
      <c r="H1435" s="4">
        <v>13.0</v>
      </c>
      <c r="I1435" s="3"/>
      <c r="J1435" s="4" t="s">
        <v>1757</v>
      </c>
    </row>
    <row r="1436">
      <c r="A1436" s="4" t="s">
        <v>2740</v>
      </c>
      <c r="B1436" s="13" t="s">
        <v>48</v>
      </c>
      <c r="C1436" s="4">
        <v>1.0</v>
      </c>
      <c r="D1436" s="3"/>
      <c r="E1436" s="3"/>
      <c r="F1436" s="3"/>
      <c r="G1436" s="3"/>
      <c r="H1436" s="4">
        <v>13.0</v>
      </c>
      <c r="I1436" s="3"/>
      <c r="J1436" s="4" t="s">
        <v>1757</v>
      </c>
    </row>
    <row r="1437">
      <c r="A1437" s="4" t="s">
        <v>2741</v>
      </c>
      <c r="B1437" s="13" t="s">
        <v>48</v>
      </c>
      <c r="C1437" s="4">
        <v>1.0</v>
      </c>
      <c r="D1437" s="3"/>
      <c r="E1437" s="3"/>
      <c r="F1437" s="3"/>
      <c r="G1437" s="3"/>
      <c r="H1437" s="4">
        <v>13.0</v>
      </c>
      <c r="I1437" s="3"/>
      <c r="J1437" s="4" t="s">
        <v>1757</v>
      </c>
    </row>
    <row r="1438">
      <c r="A1438" s="4" t="s">
        <v>2742</v>
      </c>
      <c r="B1438" s="13" t="s">
        <v>48</v>
      </c>
      <c r="C1438" s="4">
        <v>1.0</v>
      </c>
      <c r="D1438" s="3"/>
      <c r="E1438" s="3"/>
      <c r="F1438" s="3"/>
      <c r="G1438" s="3"/>
      <c r="H1438" s="4">
        <v>13.0</v>
      </c>
      <c r="I1438" s="3"/>
      <c r="J1438" s="4" t="s">
        <v>1757</v>
      </c>
    </row>
    <row r="1439">
      <c r="A1439" s="4" t="s">
        <v>2743</v>
      </c>
      <c r="B1439" s="13" t="s">
        <v>43</v>
      </c>
      <c r="D1439" s="3"/>
      <c r="E1439" s="3"/>
      <c r="F1439" s="3"/>
      <c r="G1439" s="3"/>
      <c r="H1439" s="3"/>
      <c r="I1439" s="3"/>
      <c r="J1439" s="4" t="s">
        <v>1757</v>
      </c>
    </row>
    <row r="1440">
      <c r="A1440" s="4" t="s">
        <v>2744</v>
      </c>
      <c r="B1440" s="13" t="s">
        <v>43</v>
      </c>
      <c r="D1440" s="3"/>
      <c r="E1440" s="3"/>
      <c r="F1440" s="3"/>
      <c r="G1440" s="3"/>
      <c r="H1440" s="3"/>
      <c r="I1440" s="3"/>
      <c r="J1440" s="4" t="s">
        <v>1757</v>
      </c>
    </row>
    <row r="1441">
      <c r="A1441" s="4" t="s">
        <v>2745</v>
      </c>
      <c r="B1441" s="13" t="s">
        <v>43</v>
      </c>
      <c r="D1441" s="3"/>
      <c r="E1441" s="3"/>
      <c r="F1441" s="3"/>
      <c r="G1441" s="3"/>
      <c r="H1441" s="3"/>
      <c r="I1441" s="3"/>
      <c r="J1441" s="4" t="s">
        <v>1757</v>
      </c>
    </row>
    <row r="1442">
      <c r="A1442" s="4" t="s">
        <v>2746</v>
      </c>
      <c r="B1442" s="13" t="s">
        <v>43</v>
      </c>
      <c r="D1442" s="3"/>
      <c r="E1442" s="3"/>
      <c r="F1442" s="3"/>
      <c r="G1442" s="3"/>
      <c r="H1442" s="3"/>
      <c r="I1442" s="3"/>
      <c r="J1442" s="4" t="s">
        <v>1757</v>
      </c>
    </row>
    <row r="1443">
      <c r="A1443" s="4" t="s">
        <v>2747</v>
      </c>
      <c r="B1443" s="13" t="s">
        <v>43</v>
      </c>
      <c r="D1443" s="3"/>
      <c r="E1443" s="3"/>
      <c r="F1443" s="3"/>
      <c r="G1443" s="3"/>
      <c r="H1443" s="3"/>
      <c r="I1443" s="3"/>
      <c r="J1443" s="4" t="s">
        <v>1757</v>
      </c>
    </row>
    <row r="1444">
      <c r="A1444" s="4" t="s">
        <v>2748</v>
      </c>
      <c r="B1444" s="13" t="s">
        <v>43</v>
      </c>
      <c r="D1444" s="3"/>
      <c r="E1444" s="3"/>
      <c r="F1444" s="3"/>
      <c r="G1444" s="3"/>
      <c r="H1444" s="3"/>
      <c r="I1444" s="3"/>
      <c r="J1444" s="4" t="s">
        <v>1757</v>
      </c>
    </row>
    <row r="1445">
      <c r="A1445" s="4" t="s">
        <v>2749</v>
      </c>
      <c r="B1445" s="13" t="s">
        <v>48</v>
      </c>
      <c r="C1445" s="4">
        <v>1.0</v>
      </c>
      <c r="D1445" s="4">
        <v>1.0</v>
      </c>
      <c r="E1445" s="3"/>
      <c r="F1445" s="3"/>
      <c r="G1445" s="3"/>
      <c r="H1445" s="3"/>
      <c r="I1445" s="3"/>
      <c r="J1445" s="4" t="s">
        <v>1757</v>
      </c>
    </row>
    <row r="1446">
      <c r="A1446" s="4" t="s">
        <v>2750</v>
      </c>
      <c r="B1446" s="13" t="s">
        <v>48</v>
      </c>
      <c r="C1446" s="4">
        <v>1.0</v>
      </c>
      <c r="D1446" s="4">
        <v>1.0</v>
      </c>
      <c r="E1446" s="3"/>
      <c r="F1446" s="3"/>
      <c r="G1446" s="3"/>
      <c r="H1446" s="3"/>
      <c r="I1446" s="3"/>
      <c r="J1446" s="4" t="s">
        <v>1757</v>
      </c>
    </row>
    <row r="1447">
      <c r="A1447" s="4" t="s">
        <v>2751</v>
      </c>
      <c r="B1447" s="13" t="s">
        <v>48</v>
      </c>
      <c r="C1447" s="4">
        <v>1.0</v>
      </c>
      <c r="D1447" s="4">
        <v>1.0</v>
      </c>
      <c r="E1447" s="3"/>
      <c r="F1447" s="3"/>
      <c r="G1447" s="3"/>
      <c r="H1447" s="3"/>
      <c r="I1447" s="3"/>
      <c r="J1447" s="4" t="s">
        <v>1757</v>
      </c>
    </row>
    <row r="1448">
      <c r="A1448" s="4" t="s">
        <v>2752</v>
      </c>
      <c r="B1448" s="13" t="s">
        <v>48</v>
      </c>
      <c r="C1448" s="4">
        <v>1.0</v>
      </c>
      <c r="D1448" s="4">
        <v>1.0</v>
      </c>
      <c r="E1448" s="3"/>
      <c r="F1448" s="3"/>
      <c r="G1448" s="3"/>
      <c r="H1448" s="3"/>
      <c r="I1448" s="3"/>
      <c r="J1448" s="4" t="s">
        <v>1757</v>
      </c>
    </row>
    <row r="1449">
      <c r="A1449" s="4" t="s">
        <v>2753</v>
      </c>
      <c r="B1449" s="13" t="s">
        <v>48</v>
      </c>
      <c r="C1449" s="4">
        <v>1.0</v>
      </c>
      <c r="D1449" s="4">
        <v>1.0</v>
      </c>
      <c r="E1449" s="3"/>
      <c r="F1449" s="3"/>
      <c r="G1449" s="3"/>
      <c r="H1449" s="3"/>
      <c r="I1449" s="3"/>
      <c r="J1449" s="4" t="s">
        <v>1757</v>
      </c>
    </row>
    <row r="1450">
      <c r="A1450" s="4" t="s">
        <v>2754</v>
      </c>
      <c r="B1450" s="13" t="s">
        <v>48</v>
      </c>
      <c r="C1450" s="4">
        <v>1.0</v>
      </c>
      <c r="D1450" s="4">
        <v>1.0</v>
      </c>
      <c r="E1450" s="3"/>
      <c r="F1450" s="3"/>
      <c r="G1450" s="3"/>
      <c r="H1450" s="3"/>
      <c r="I1450" s="3"/>
      <c r="J1450" s="4" t="s">
        <v>1757</v>
      </c>
    </row>
    <row r="1451">
      <c r="A1451" s="4" t="s">
        <v>2755</v>
      </c>
      <c r="B1451" s="13" t="s">
        <v>48</v>
      </c>
      <c r="C1451" s="4">
        <v>1.0</v>
      </c>
      <c r="D1451" s="4">
        <v>1.0</v>
      </c>
      <c r="E1451" s="3"/>
      <c r="F1451" s="3"/>
      <c r="G1451" s="3"/>
      <c r="H1451" s="3"/>
      <c r="I1451" s="3"/>
      <c r="J1451" s="4" t="s">
        <v>1757</v>
      </c>
    </row>
    <row r="1452">
      <c r="A1452" s="4" t="s">
        <v>2756</v>
      </c>
      <c r="B1452" s="13" t="s">
        <v>48</v>
      </c>
      <c r="C1452" s="4">
        <v>1.0</v>
      </c>
      <c r="D1452" s="4">
        <v>1.0</v>
      </c>
      <c r="E1452" s="3"/>
      <c r="F1452" s="3"/>
      <c r="G1452" s="3"/>
      <c r="H1452" s="3"/>
      <c r="I1452" s="3"/>
      <c r="J1452" s="4" t="s">
        <v>1757</v>
      </c>
    </row>
    <row r="1453">
      <c r="A1453" s="4" t="s">
        <v>2757</v>
      </c>
      <c r="B1453" s="13" t="s">
        <v>48</v>
      </c>
      <c r="C1453" s="4">
        <v>1.0</v>
      </c>
      <c r="D1453" s="4">
        <v>1.0</v>
      </c>
      <c r="E1453" s="3"/>
      <c r="F1453" s="3"/>
      <c r="G1453" s="3"/>
      <c r="H1453" s="3"/>
      <c r="I1453" s="3"/>
      <c r="J1453" s="4" t="s">
        <v>1757</v>
      </c>
    </row>
    <row r="1454">
      <c r="A1454" s="4" t="s">
        <v>2758</v>
      </c>
      <c r="B1454" s="13" t="s">
        <v>48</v>
      </c>
      <c r="C1454" s="4">
        <v>1.0</v>
      </c>
      <c r="D1454" s="4">
        <v>1.0</v>
      </c>
      <c r="E1454" s="3"/>
      <c r="F1454" s="3"/>
      <c r="G1454" s="3"/>
      <c r="H1454" s="3"/>
      <c r="I1454" s="3"/>
      <c r="J1454" s="4" t="s">
        <v>1757</v>
      </c>
    </row>
    <row r="1455">
      <c r="A1455" s="4" t="s">
        <v>2759</v>
      </c>
      <c r="B1455" s="13" t="s">
        <v>48</v>
      </c>
      <c r="C1455" s="4">
        <v>1.0</v>
      </c>
      <c r="D1455" s="4">
        <v>1.0</v>
      </c>
      <c r="E1455" s="3"/>
      <c r="F1455" s="3"/>
      <c r="G1455" s="3"/>
      <c r="H1455" s="3"/>
      <c r="I1455" s="3"/>
      <c r="J1455" s="4" t="s">
        <v>1757</v>
      </c>
    </row>
    <row r="1456">
      <c r="A1456" s="4" t="s">
        <v>2760</v>
      </c>
      <c r="B1456" s="13" t="s">
        <v>48</v>
      </c>
      <c r="C1456" s="4">
        <v>1.0</v>
      </c>
      <c r="D1456" s="4">
        <v>1.0</v>
      </c>
      <c r="E1456" s="3"/>
      <c r="F1456" s="3"/>
      <c r="G1456" s="3"/>
      <c r="H1456" s="3"/>
      <c r="I1456" s="3"/>
      <c r="J1456" s="4" t="s">
        <v>1757</v>
      </c>
    </row>
    <row r="1457">
      <c r="A1457" s="4" t="s">
        <v>2761</v>
      </c>
      <c r="B1457" s="13" t="s">
        <v>48</v>
      </c>
      <c r="C1457" s="4">
        <v>1.0</v>
      </c>
      <c r="D1457" s="4">
        <v>1.0</v>
      </c>
      <c r="E1457" s="3"/>
      <c r="F1457" s="3"/>
      <c r="G1457" s="3"/>
      <c r="H1457" s="3"/>
      <c r="I1457" s="3"/>
    </row>
    <row r="1458">
      <c r="A1458" s="4" t="s">
        <v>2762</v>
      </c>
      <c r="B1458" s="13" t="s">
        <v>48</v>
      </c>
      <c r="C1458" s="4">
        <v>1.0</v>
      </c>
      <c r="D1458" s="4">
        <v>1.0</v>
      </c>
      <c r="E1458" s="3"/>
      <c r="F1458" s="3"/>
      <c r="G1458" s="3"/>
      <c r="H1458" s="3"/>
      <c r="I1458" s="3"/>
    </row>
    <row r="1459">
      <c r="A1459" s="4" t="s">
        <v>2763</v>
      </c>
      <c r="B1459" s="13" t="s">
        <v>48</v>
      </c>
      <c r="C1459" s="4">
        <v>1.0</v>
      </c>
      <c r="D1459" s="4">
        <v>1.0</v>
      </c>
      <c r="E1459" s="3"/>
      <c r="F1459" s="3"/>
      <c r="G1459" s="3"/>
      <c r="H1459" s="3"/>
      <c r="I1459" s="3"/>
    </row>
    <row r="1460">
      <c r="A1460" s="4" t="s">
        <v>2764</v>
      </c>
      <c r="B1460" s="13" t="s">
        <v>48</v>
      </c>
      <c r="C1460" s="4">
        <v>1.0</v>
      </c>
      <c r="D1460" s="4">
        <v>1.0</v>
      </c>
      <c r="E1460" s="3"/>
      <c r="F1460" s="3"/>
      <c r="G1460" s="3"/>
      <c r="H1460" s="3"/>
      <c r="I1460" s="3"/>
    </row>
    <row r="1461">
      <c r="A1461" s="4" t="s">
        <v>2765</v>
      </c>
      <c r="B1461" s="13" t="s">
        <v>48</v>
      </c>
      <c r="C1461" s="4">
        <v>1.0</v>
      </c>
      <c r="D1461" s="4">
        <v>1.0</v>
      </c>
      <c r="E1461" s="3"/>
      <c r="F1461" s="3"/>
      <c r="G1461" s="3"/>
      <c r="H1461" s="3"/>
      <c r="I1461" s="3"/>
    </row>
    <row r="1462">
      <c r="A1462" s="4" t="s">
        <v>2766</v>
      </c>
      <c r="B1462" s="13" t="s">
        <v>48</v>
      </c>
      <c r="C1462" s="4">
        <v>1.0</v>
      </c>
      <c r="D1462" s="4">
        <v>1.0</v>
      </c>
      <c r="E1462" s="3"/>
      <c r="F1462" s="3"/>
      <c r="G1462" s="3"/>
      <c r="H1462" s="3"/>
      <c r="I1462" s="3"/>
    </row>
    <row r="1463">
      <c r="A1463" s="4" t="s">
        <v>2767</v>
      </c>
      <c r="B1463" s="13" t="s">
        <v>48</v>
      </c>
      <c r="C1463" s="4">
        <v>1.0</v>
      </c>
      <c r="D1463" s="4">
        <v>1.0</v>
      </c>
      <c r="E1463" s="3"/>
      <c r="F1463" s="3"/>
      <c r="G1463" s="3"/>
      <c r="H1463" s="3"/>
      <c r="I1463" s="3"/>
    </row>
    <row r="1464">
      <c r="A1464" s="4" t="s">
        <v>2768</v>
      </c>
      <c r="B1464" s="13" t="s">
        <v>48</v>
      </c>
      <c r="C1464" s="4">
        <v>1.0</v>
      </c>
      <c r="D1464" s="4">
        <v>1.0</v>
      </c>
      <c r="E1464" s="3"/>
      <c r="F1464" s="3"/>
      <c r="G1464" s="3"/>
      <c r="H1464" s="3"/>
      <c r="I1464" s="3"/>
    </row>
    <row r="1465">
      <c r="A1465" s="4" t="s">
        <v>2769</v>
      </c>
      <c r="B1465" s="13" t="s">
        <v>48</v>
      </c>
      <c r="C1465" s="4">
        <v>1.0</v>
      </c>
      <c r="D1465" s="4">
        <v>1.0</v>
      </c>
      <c r="E1465" s="3"/>
      <c r="F1465" s="3"/>
      <c r="G1465" s="3"/>
      <c r="H1465" s="3"/>
      <c r="I1465" s="3"/>
    </row>
    <row r="1466">
      <c r="A1466" s="4" t="s">
        <v>2770</v>
      </c>
      <c r="B1466" s="13" t="s">
        <v>48</v>
      </c>
      <c r="C1466" s="4">
        <v>1.0</v>
      </c>
      <c r="D1466" s="4">
        <v>1.0</v>
      </c>
      <c r="E1466" s="3"/>
      <c r="F1466" s="3"/>
      <c r="G1466" s="3"/>
      <c r="H1466" s="3"/>
      <c r="I1466" s="3"/>
    </row>
    <row r="1467">
      <c r="A1467" s="4" t="s">
        <v>2771</v>
      </c>
      <c r="B1467" s="13" t="s">
        <v>48</v>
      </c>
      <c r="C1467" s="4">
        <v>1.0</v>
      </c>
      <c r="D1467" s="4">
        <v>1.0</v>
      </c>
      <c r="E1467" s="3"/>
      <c r="F1467" s="3"/>
      <c r="G1467" s="3"/>
      <c r="H1467" s="3"/>
      <c r="I1467" s="3"/>
    </row>
    <row r="1468">
      <c r="A1468" s="4" t="s">
        <v>2772</v>
      </c>
      <c r="B1468" s="13" t="s">
        <v>48</v>
      </c>
      <c r="C1468" s="4">
        <v>1.0</v>
      </c>
      <c r="D1468" s="4">
        <v>1.0</v>
      </c>
      <c r="E1468" s="3"/>
      <c r="F1468" s="3"/>
      <c r="G1468" s="3"/>
      <c r="H1468" s="3"/>
      <c r="I1468" s="3"/>
    </row>
    <row r="1469">
      <c r="A1469" s="4" t="s">
        <v>2773</v>
      </c>
      <c r="B1469" s="13" t="s">
        <v>48</v>
      </c>
      <c r="C1469" s="4">
        <v>1.0</v>
      </c>
      <c r="D1469" s="4">
        <v>1.0</v>
      </c>
      <c r="E1469" s="3"/>
      <c r="F1469" s="3"/>
      <c r="G1469" s="3"/>
      <c r="H1469" s="3"/>
      <c r="I1469" s="3"/>
    </row>
    <row r="1470">
      <c r="A1470" s="4" t="s">
        <v>2774</v>
      </c>
      <c r="B1470" s="13" t="s">
        <v>48</v>
      </c>
      <c r="C1470" s="4">
        <v>1.0</v>
      </c>
      <c r="D1470" s="4">
        <v>1.0</v>
      </c>
      <c r="E1470" s="3"/>
      <c r="F1470" s="3"/>
      <c r="G1470" s="3"/>
      <c r="H1470" s="3"/>
      <c r="I1470" s="3"/>
    </row>
    <row r="1471">
      <c r="A1471" s="4" t="s">
        <v>2775</v>
      </c>
      <c r="B1471" s="13" t="s">
        <v>48</v>
      </c>
      <c r="C1471" s="4">
        <v>1.0</v>
      </c>
      <c r="D1471" s="4">
        <v>1.0</v>
      </c>
      <c r="E1471" s="3"/>
      <c r="F1471" s="3"/>
      <c r="G1471" s="3"/>
      <c r="H1471" s="3"/>
      <c r="I1471" s="3"/>
    </row>
    <row r="1472">
      <c r="A1472" s="4" t="s">
        <v>2776</v>
      </c>
      <c r="B1472" s="13" t="s">
        <v>48</v>
      </c>
      <c r="C1472" s="4">
        <v>1.0</v>
      </c>
      <c r="D1472" s="4">
        <v>1.0</v>
      </c>
      <c r="E1472" s="3"/>
      <c r="F1472" s="3"/>
      <c r="G1472" s="3"/>
      <c r="H1472" s="3"/>
      <c r="I1472" s="3"/>
    </row>
    <row r="1473">
      <c r="A1473" s="4" t="s">
        <v>2777</v>
      </c>
      <c r="B1473" s="13" t="s">
        <v>48</v>
      </c>
      <c r="C1473" s="4">
        <v>1.0</v>
      </c>
      <c r="D1473" s="4">
        <v>1.0</v>
      </c>
      <c r="E1473" s="3"/>
      <c r="F1473" s="3"/>
      <c r="G1473" s="3"/>
      <c r="H1473" s="3"/>
      <c r="I1473" s="3"/>
    </row>
    <row r="1474">
      <c r="A1474" s="4" t="s">
        <v>2778</v>
      </c>
      <c r="B1474" s="13" t="s">
        <v>48</v>
      </c>
      <c r="C1474" s="4">
        <v>1.0</v>
      </c>
      <c r="D1474" s="4">
        <v>1.0</v>
      </c>
      <c r="E1474" s="3"/>
      <c r="F1474" s="3"/>
      <c r="G1474" s="3"/>
      <c r="H1474" s="3"/>
      <c r="I1474" s="3"/>
    </row>
    <row r="1475">
      <c r="A1475" s="4" t="s">
        <v>2779</v>
      </c>
      <c r="B1475" s="13" t="s">
        <v>48</v>
      </c>
      <c r="C1475" s="4">
        <v>1.0</v>
      </c>
      <c r="D1475" s="4">
        <v>1.0</v>
      </c>
      <c r="E1475" s="3"/>
      <c r="F1475" s="3"/>
      <c r="G1475" s="3"/>
      <c r="H1475" s="3"/>
      <c r="I1475" s="3"/>
    </row>
    <row r="1476">
      <c r="A1476" s="4" t="s">
        <v>2780</v>
      </c>
      <c r="B1476" s="13" t="s">
        <v>48</v>
      </c>
      <c r="C1476" s="4">
        <v>1.0</v>
      </c>
      <c r="D1476" s="4">
        <v>1.0</v>
      </c>
      <c r="E1476" s="3"/>
      <c r="F1476" s="3"/>
      <c r="G1476" s="3"/>
      <c r="H1476" s="3"/>
      <c r="I1476" s="3"/>
    </row>
    <row r="1477">
      <c r="A1477" s="4" t="s">
        <v>2781</v>
      </c>
      <c r="B1477" s="13" t="s">
        <v>48</v>
      </c>
      <c r="C1477" s="4">
        <v>1.0</v>
      </c>
      <c r="D1477" s="4">
        <v>1.0</v>
      </c>
      <c r="E1477" s="3"/>
      <c r="F1477" s="3"/>
      <c r="G1477" s="3"/>
      <c r="H1477" s="3"/>
      <c r="I1477" s="3"/>
    </row>
    <row r="1478">
      <c r="A1478" s="4" t="s">
        <v>2782</v>
      </c>
      <c r="B1478" s="13" t="s">
        <v>48</v>
      </c>
      <c r="C1478" s="4">
        <v>1.0</v>
      </c>
      <c r="D1478" s="4">
        <v>1.0</v>
      </c>
      <c r="E1478" s="3"/>
      <c r="F1478" s="3"/>
      <c r="G1478" s="3"/>
      <c r="H1478" s="3"/>
      <c r="I1478" s="3"/>
    </row>
    <row r="1479">
      <c r="A1479" s="4" t="s">
        <v>2783</v>
      </c>
      <c r="B1479" s="13" t="s">
        <v>48</v>
      </c>
      <c r="C1479" s="4">
        <v>1.0</v>
      </c>
      <c r="D1479" s="4">
        <v>1.0</v>
      </c>
      <c r="E1479" s="3"/>
      <c r="F1479" s="3"/>
      <c r="G1479" s="3"/>
      <c r="H1479" s="3"/>
      <c r="I1479" s="3"/>
    </row>
    <row r="1480">
      <c r="A1480" s="4" t="s">
        <v>2784</v>
      </c>
      <c r="B1480" s="13" t="s">
        <v>48</v>
      </c>
      <c r="C1480" s="4">
        <v>1.0</v>
      </c>
      <c r="D1480" s="4">
        <v>1.0</v>
      </c>
      <c r="E1480" s="3"/>
      <c r="F1480" s="3"/>
      <c r="G1480" s="3"/>
      <c r="H1480" s="3"/>
      <c r="I1480" s="3"/>
    </row>
    <row r="1481">
      <c r="A1481" s="4" t="s">
        <v>2785</v>
      </c>
      <c r="B1481" s="13" t="s">
        <v>48</v>
      </c>
      <c r="C1481" s="4">
        <v>1.0</v>
      </c>
      <c r="D1481" s="4">
        <v>1.0</v>
      </c>
      <c r="E1481" s="3"/>
      <c r="F1481" s="3"/>
      <c r="G1481" s="3"/>
      <c r="H1481" s="3"/>
      <c r="I1481" s="3"/>
    </row>
    <row r="1482">
      <c r="A1482" s="4" t="s">
        <v>2786</v>
      </c>
      <c r="B1482" s="13" t="s">
        <v>48</v>
      </c>
      <c r="C1482" s="4">
        <v>1.0</v>
      </c>
      <c r="D1482" s="4">
        <v>1.0</v>
      </c>
      <c r="E1482" s="3"/>
      <c r="F1482" s="3"/>
      <c r="G1482" s="3"/>
      <c r="H1482" s="3"/>
      <c r="I1482" s="3"/>
    </row>
    <row r="1483">
      <c r="A1483" s="4" t="s">
        <v>2787</v>
      </c>
      <c r="B1483" s="13" t="s">
        <v>48</v>
      </c>
      <c r="C1483" s="4">
        <v>1.0</v>
      </c>
      <c r="D1483" s="4">
        <v>1.0</v>
      </c>
      <c r="E1483" s="3"/>
      <c r="F1483" s="3"/>
      <c r="G1483" s="3"/>
      <c r="H1483" s="3"/>
      <c r="I1483" s="3"/>
    </row>
    <row r="1484">
      <c r="A1484" s="4" t="s">
        <v>2788</v>
      </c>
      <c r="B1484" s="13" t="s">
        <v>48</v>
      </c>
      <c r="C1484" s="4">
        <v>1.0</v>
      </c>
      <c r="D1484" s="4">
        <v>1.0</v>
      </c>
      <c r="E1484" s="3"/>
      <c r="F1484" s="3"/>
      <c r="G1484" s="3"/>
      <c r="H1484" s="3"/>
      <c r="I1484" s="3"/>
    </row>
    <row r="1485">
      <c r="A1485" s="4" t="s">
        <v>2789</v>
      </c>
      <c r="B1485" s="13" t="s">
        <v>48</v>
      </c>
      <c r="C1485" s="4">
        <v>1.0</v>
      </c>
      <c r="D1485" s="4">
        <v>1.0</v>
      </c>
      <c r="E1485" s="3"/>
      <c r="F1485" s="3"/>
      <c r="G1485" s="3"/>
      <c r="H1485" s="3"/>
      <c r="I1485" s="3"/>
    </row>
    <row r="1486">
      <c r="A1486" s="4" t="s">
        <v>2790</v>
      </c>
      <c r="B1486" s="13" t="s">
        <v>48</v>
      </c>
      <c r="C1486" s="4">
        <v>1.0</v>
      </c>
      <c r="D1486" s="4">
        <v>1.0</v>
      </c>
      <c r="E1486" s="3"/>
      <c r="F1486" s="3"/>
      <c r="G1486" s="3"/>
      <c r="H1486" s="3"/>
      <c r="I1486" s="3"/>
    </row>
    <row r="1487">
      <c r="A1487" s="4" t="s">
        <v>2791</v>
      </c>
      <c r="B1487" s="13" t="s">
        <v>48</v>
      </c>
      <c r="C1487" s="4">
        <v>1.0</v>
      </c>
      <c r="D1487" s="4">
        <v>1.0</v>
      </c>
      <c r="E1487" s="3"/>
      <c r="F1487" s="3"/>
      <c r="G1487" s="3"/>
      <c r="H1487" s="3"/>
      <c r="I1487" s="3"/>
    </row>
    <row r="1488">
      <c r="A1488" s="4" t="s">
        <v>2792</v>
      </c>
      <c r="B1488" s="13" t="s">
        <v>48</v>
      </c>
      <c r="C1488" s="4">
        <v>1.0</v>
      </c>
      <c r="D1488" s="4">
        <v>1.0</v>
      </c>
      <c r="E1488" s="3"/>
      <c r="F1488" s="3"/>
      <c r="G1488" s="3"/>
      <c r="H1488" s="3"/>
      <c r="I1488" s="3"/>
    </row>
    <row r="1489">
      <c r="A1489" s="4" t="s">
        <v>2793</v>
      </c>
      <c r="B1489" s="13" t="s">
        <v>48</v>
      </c>
      <c r="C1489" s="4">
        <v>1.0</v>
      </c>
      <c r="D1489" s="4">
        <v>1.0</v>
      </c>
      <c r="E1489" s="3"/>
      <c r="F1489" s="3"/>
      <c r="G1489" s="3"/>
      <c r="H1489" s="3"/>
      <c r="I1489" s="3"/>
    </row>
    <row r="1490">
      <c r="A1490" s="4" t="s">
        <v>2794</v>
      </c>
      <c r="B1490" s="13" t="s">
        <v>48</v>
      </c>
      <c r="C1490" s="4">
        <v>1.0</v>
      </c>
      <c r="D1490" s="4">
        <v>1.0</v>
      </c>
      <c r="E1490" s="3"/>
      <c r="F1490" s="3"/>
      <c r="G1490" s="3"/>
      <c r="H1490" s="3"/>
      <c r="I1490" s="3"/>
    </row>
    <row r="1491">
      <c r="A1491" s="4" t="s">
        <v>2795</v>
      </c>
      <c r="B1491" s="13" t="s">
        <v>48</v>
      </c>
      <c r="C1491" s="4">
        <v>1.0</v>
      </c>
      <c r="D1491" s="4">
        <v>1.0</v>
      </c>
      <c r="E1491" s="3"/>
      <c r="F1491" s="3"/>
      <c r="G1491" s="3"/>
      <c r="H1491" s="3"/>
      <c r="I1491" s="3"/>
    </row>
    <row r="1492">
      <c r="A1492" s="4" t="s">
        <v>2796</v>
      </c>
      <c r="B1492" s="13" t="s">
        <v>48</v>
      </c>
      <c r="C1492" s="4">
        <v>1.0</v>
      </c>
      <c r="D1492" s="4">
        <v>1.0</v>
      </c>
      <c r="E1492" s="3"/>
      <c r="F1492" s="3"/>
      <c r="G1492" s="3"/>
      <c r="H1492" s="3"/>
      <c r="I1492" s="3"/>
    </row>
    <row r="1493">
      <c r="A1493" s="4" t="s">
        <v>2797</v>
      </c>
      <c r="B1493" s="13" t="s">
        <v>48</v>
      </c>
      <c r="C1493" s="4">
        <v>1.0</v>
      </c>
      <c r="D1493" s="4">
        <v>1.0</v>
      </c>
      <c r="E1493" s="3"/>
      <c r="F1493" s="3"/>
      <c r="G1493" s="3"/>
      <c r="H1493" s="3"/>
      <c r="I1493" s="3"/>
    </row>
    <row r="1494">
      <c r="A1494" s="4" t="s">
        <v>2798</v>
      </c>
      <c r="B1494" s="13" t="s">
        <v>48</v>
      </c>
      <c r="C1494" s="4">
        <v>1.0</v>
      </c>
      <c r="D1494" s="4">
        <v>1.0</v>
      </c>
      <c r="E1494" s="3"/>
      <c r="F1494" s="3"/>
      <c r="G1494" s="3"/>
      <c r="H1494" s="3"/>
      <c r="I1494" s="3"/>
      <c r="J1494" s="4" t="s">
        <v>1757</v>
      </c>
    </row>
    <row r="1495">
      <c r="A1495" s="4" t="s">
        <v>2799</v>
      </c>
      <c r="B1495" s="13" t="s">
        <v>48</v>
      </c>
      <c r="C1495" s="4">
        <v>1.0</v>
      </c>
      <c r="D1495" s="4">
        <v>1.0</v>
      </c>
      <c r="E1495" s="3"/>
      <c r="F1495" s="3"/>
      <c r="G1495" s="3"/>
      <c r="H1495" s="3"/>
      <c r="I1495" s="3"/>
      <c r="J1495" s="4" t="s">
        <v>1757</v>
      </c>
    </row>
    <row r="1496">
      <c r="A1496" s="4" t="s">
        <v>2800</v>
      </c>
      <c r="B1496" s="13" t="s">
        <v>48</v>
      </c>
      <c r="C1496" s="4">
        <v>1.0</v>
      </c>
      <c r="D1496" s="4">
        <v>1.0</v>
      </c>
      <c r="E1496" s="3"/>
      <c r="F1496" s="3"/>
      <c r="G1496" s="3"/>
      <c r="H1496" s="3"/>
      <c r="I1496" s="3"/>
      <c r="J1496" s="4" t="s">
        <v>1757</v>
      </c>
    </row>
    <row r="1497">
      <c r="A1497" s="4" t="s">
        <v>2801</v>
      </c>
      <c r="B1497" s="13" t="s">
        <v>48</v>
      </c>
      <c r="C1497" s="4">
        <v>1.0</v>
      </c>
      <c r="D1497" s="4">
        <v>1.0</v>
      </c>
      <c r="E1497" s="3"/>
      <c r="F1497" s="3"/>
      <c r="G1497" s="3"/>
      <c r="H1497" s="3"/>
      <c r="I1497" s="3"/>
      <c r="J1497" s="4" t="s">
        <v>1757</v>
      </c>
    </row>
    <row r="1498">
      <c r="A1498" s="4" t="s">
        <v>2802</v>
      </c>
      <c r="B1498" s="13" t="s">
        <v>48</v>
      </c>
      <c r="C1498" s="4">
        <v>1.0</v>
      </c>
      <c r="D1498" s="4">
        <v>1.0</v>
      </c>
      <c r="E1498" s="3"/>
      <c r="F1498" s="3"/>
      <c r="G1498" s="3"/>
      <c r="H1498" s="3"/>
      <c r="I1498" s="3"/>
      <c r="J1498" s="4" t="s">
        <v>1757</v>
      </c>
    </row>
    <row r="1499">
      <c r="A1499" s="4" t="s">
        <v>2803</v>
      </c>
      <c r="B1499" s="13" t="s">
        <v>48</v>
      </c>
      <c r="C1499" s="4">
        <v>1.0</v>
      </c>
      <c r="D1499" s="4">
        <v>1.0</v>
      </c>
      <c r="E1499" s="3"/>
      <c r="F1499" s="3"/>
      <c r="G1499" s="3"/>
      <c r="H1499" s="3"/>
      <c r="I1499" s="3"/>
      <c r="J1499" s="4" t="s">
        <v>1757</v>
      </c>
    </row>
    <row r="1500">
      <c r="A1500" s="4" t="s">
        <v>2804</v>
      </c>
      <c r="B1500" s="13" t="s">
        <v>48</v>
      </c>
      <c r="C1500" s="4">
        <v>1.0</v>
      </c>
      <c r="D1500" s="4">
        <v>1.0</v>
      </c>
      <c r="E1500" s="3"/>
      <c r="F1500" s="3"/>
      <c r="G1500" s="3"/>
      <c r="H1500" s="3"/>
      <c r="I1500" s="3"/>
      <c r="J1500" s="4" t="s">
        <v>1757</v>
      </c>
    </row>
    <row r="1501">
      <c r="A1501" s="4" t="s">
        <v>2805</v>
      </c>
      <c r="B1501" s="13" t="s">
        <v>48</v>
      </c>
      <c r="C1501" s="4">
        <v>1.0</v>
      </c>
      <c r="D1501" s="4">
        <v>1.0</v>
      </c>
      <c r="E1501" s="3"/>
      <c r="F1501" s="3"/>
      <c r="G1501" s="3"/>
      <c r="H1501" s="3"/>
      <c r="I1501" s="3"/>
      <c r="J1501" s="4" t="s">
        <v>1757</v>
      </c>
    </row>
    <row r="1502">
      <c r="A1502" s="4" t="s">
        <v>2806</v>
      </c>
      <c r="B1502" s="13" t="s">
        <v>48</v>
      </c>
      <c r="C1502" s="4">
        <v>1.0</v>
      </c>
      <c r="D1502" s="4">
        <v>1.0</v>
      </c>
      <c r="E1502" s="3"/>
      <c r="F1502" s="3"/>
      <c r="G1502" s="3"/>
      <c r="H1502" s="3"/>
      <c r="I1502" s="3"/>
      <c r="J1502" s="4" t="s">
        <v>1757</v>
      </c>
    </row>
    <row r="1503">
      <c r="A1503" s="4" t="s">
        <v>2807</v>
      </c>
      <c r="B1503" s="13" t="s">
        <v>48</v>
      </c>
      <c r="C1503" s="4">
        <v>1.0</v>
      </c>
      <c r="D1503" s="4">
        <v>1.0</v>
      </c>
      <c r="E1503" s="3"/>
      <c r="F1503" s="3"/>
      <c r="G1503" s="3"/>
      <c r="H1503" s="3"/>
      <c r="I1503" s="3"/>
      <c r="J1503" s="4" t="s">
        <v>1757</v>
      </c>
    </row>
    <row r="1504">
      <c r="A1504" s="4" t="s">
        <v>2808</v>
      </c>
      <c r="B1504" s="13" t="s">
        <v>48</v>
      </c>
      <c r="C1504" s="4">
        <v>1.0</v>
      </c>
      <c r="D1504" s="4">
        <v>1.0</v>
      </c>
      <c r="E1504" s="3"/>
      <c r="F1504" s="3"/>
      <c r="G1504" s="3"/>
      <c r="H1504" s="3"/>
      <c r="I1504" s="3"/>
      <c r="J1504" s="4" t="s">
        <v>1757</v>
      </c>
    </row>
    <row r="1505">
      <c r="A1505" s="4" t="s">
        <v>2809</v>
      </c>
      <c r="B1505" s="13" t="s">
        <v>48</v>
      </c>
      <c r="C1505" s="4">
        <v>1.0</v>
      </c>
      <c r="D1505" s="4">
        <v>1.0</v>
      </c>
      <c r="E1505" s="3"/>
      <c r="F1505" s="3"/>
      <c r="G1505" s="3"/>
      <c r="H1505" s="3"/>
      <c r="I1505" s="3"/>
      <c r="J1505" s="4" t="s">
        <v>1757</v>
      </c>
    </row>
    <row r="1506">
      <c r="A1506" s="4" t="s">
        <v>2810</v>
      </c>
      <c r="B1506" s="13" t="s">
        <v>43</v>
      </c>
      <c r="D1506" s="3"/>
      <c r="E1506" s="3"/>
      <c r="F1506" s="3"/>
      <c r="G1506" s="3"/>
      <c r="H1506" s="3"/>
      <c r="I1506" s="3"/>
      <c r="J1506" s="4" t="s">
        <v>1757</v>
      </c>
    </row>
    <row r="1507">
      <c r="A1507" s="4" t="s">
        <v>2811</v>
      </c>
      <c r="B1507" s="13" t="s">
        <v>43</v>
      </c>
      <c r="D1507" s="3"/>
      <c r="E1507" s="3"/>
      <c r="F1507" s="3"/>
      <c r="G1507" s="3"/>
      <c r="H1507" s="3"/>
      <c r="I1507" s="3"/>
      <c r="J1507" s="4" t="s">
        <v>1757</v>
      </c>
    </row>
    <row r="1508">
      <c r="A1508" s="4" t="s">
        <v>2812</v>
      </c>
      <c r="B1508" s="13" t="s">
        <v>48</v>
      </c>
      <c r="C1508" s="4">
        <v>1.0</v>
      </c>
      <c r="D1508" s="3"/>
      <c r="E1508" s="3"/>
      <c r="F1508" s="3"/>
      <c r="G1508" s="3"/>
      <c r="H1508" s="4">
        <v>13.0</v>
      </c>
      <c r="I1508" s="3"/>
      <c r="J1508" s="4" t="s">
        <v>1757</v>
      </c>
    </row>
    <row r="1509">
      <c r="A1509" s="4" t="s">
        <v>2813</v>
      </c>
      <c r="B1509" s="13" t="s">
        <v>48</v>
      </c>
      <c r="C1509" s="4">
        <v>1.0</v>
      </c>
      <c r="D1509" s="3"/>
      <c r="E1509" s="3"/>
      <c r="F1509" s="3"/>
      <c r="G1509" s="3"/>
      <c r="H1509" s="4">
        <v>13.0</v>
      </c>
      <c r="I1509" s="3"/>
      <c r="J1509" s="4" t="s">
        <v>1757</v>
      </c>
    </row>
    <row r="1510">
      <c r="A1510" s="4" t="s">
        <v>2814</v>
      </c>
      <c r="B1510" s="13" t="s">
        <v>48</v>
      </c>
      <c r="C1510" s="4">
        <v>1.0</v>
      </c>
      <c r="D1510" s="3"/>
      <c r="E1510" s="3"/>
      <c r="F1510" s="3"/>
      <c r="G1510" s="3"/>
      <c r="H1510" s="4">
        <v>13.0</v>
      </c>
      <c r="I1510" s="3"/>
      <c r="J1510" s="4" t="s">
        <v>1757</v>
      </c>
      <c r="K1510" s="4" t="s">
        <v>1757</v>
      </c>
    </row>
    <row r="1511">
      <c r="A1511" s="4" t="s">
        <v>2815</v>
      </c>
      <c r="B1511" s="13" t="s">
        <v>48</v>
      </c>
      <c r="C1511" s="4">
        <v>1.0</v>
      </c>
      <c r="D1511" s="3"/>
      <c r="E1511" s="3"/>
      <c r="F1511" s="3"/>
      <c r="G1511" s="3"/>
      <c r="H1511" s="4">
        <v>13.0</v>
      </c>
      <c r="I1511" s="3"/>
      <c r="J1511" s="4" t="s">
        <v>1757</v>
      </c>
      <c r="K1511" s="4" t="s">
        <v>1757</v>
      </c>
    </row>
    <row r="1512">
      <c r="A1512" s="4" t="s">
        <v>2816</v>
      </c>
      <c r="B1512" s="13" t="s">
        <v>48</v>
      </c>
      <c r="C1512" s="4">
        <v>1.0</v>
      </c>
      <c r="D1512" s="3"/>
      <c r="E1512" s="3"/>
      <c r="F1512" s="3"/>
      <c r="G1512" s="3"/>
      <c r="H1512" s="4">
        <v>13.0</v>
      </c>
      <c r="I1512" s="3"/>
      <c r="J1512" s="4" t="s">
        <v>1757</v>
      </c>
      <c r="K1512" s="4" t="s">
        <v>1757</v>
      </c>
    </row>
    <row r="1513">
      <c r="A1513" s="4" t="s">
        <v>2817</v>
      </c>
      <c r="B1513" s="13" t="s">
        <v>48</v>
      </c>
      <c r="C1513" s="4">
        <v>1.0</v>
      </c>
      <c r="D1513" s="3"/>
      <c r="E1513" s="3"/>
      <c r="F1513" s="3"/>
      <c r="G1513" s="3"/>
      <c r="H1513" s="4">
        <v>13.0</v>
      </c>
      <c r="I1513" s="3"/>
      <c r="J1513" s="4" t="s">
        <v>1757</v>
      </c>
      <c r="K1513" s="4" t="s">
        <v>1757</v>
      </c>
    </row>
    <row r="1514">
      <c r="A1514" s="4" t="s">
        <v>2818</v>
      </c>
      <c r="B1514" s="13" t="s">
        <v>48</v>
      </c>
      <c r="C1514" s="4">
        <v>1.0</v>
      </c>
      <c r="D1514" s="3"/>
      <c r="E1514" s="3"/>
      <c r="F1514" s="3"/>
      <c r="G1514" s="3"/>
      <c r="H1514" s="4">
        <v>13.0</v>
      </c>
      <c r="I1514" s="3"/>
      <c r="J1514" s="4" t="s">
        <v>1757</v>
      </c>
      <c r="K1514" s="4" t="s">
        <v>1757</v>
      </c>
    </row>
    <row r="1515">
      <c r="A1515" s="4" t="s">
        <v>2819</v>
      </c>
      <c r="B1515" s="13" t="s">
        <v>48</v>
      </c>
      <c r="C1515" s="4">
        <v>1.0</v>
      </c>
      <c r="D1515" s="3"/>
      <c r="E1515" s="3"/>
      <c r="F1515" s="3"/>
      <c r="G1515" s="3"/>
      <c r="H1515" s="4">
        <v>13.0</v>
      </c>
      <c r="I1515" s="3"/>
      <c r="J1515" s="4" t="s">
        <v>1757</v>
      </c>
      <c r="K1515" s="4" t="s">
        <v>1757</v>
      </c>
    </row>
    <row r="1516">
      <c r="A1516" s="4" t="s">
        <v>2820</v>
      </c>
      <c r="B1516" s="13" t="s">
        <v>48</v>
      </c>
      <c r="C1516" s="4">
        <v>1.0</v>
      </c>
      <c r="D1516" s="3"/>
      <c r="E1516" s="3"/>
      <c r="F1516" s="3"/>
      <c r="G1516" s="3"/>
      <c r="H1516" s="4">
        <v>13.0</v>
      </c>
      <c r="I1516" s="3"/>
      <c r="J1516" s="4" t="s">
        <v>1757</v>
      </c>
      <c r="K1516" s="4" t="s">
        <v>1757</v>
      </c>
    </row>
    <row r="1517">
      <c r="A1517" s="4" t="s">
        <v>2821</v>
      </c>
      <c r="B1517" s="13" t="s">
        <v>48</v>
      </c>
      <c r="C1517" s="4">
        <v>1.0</v>
      </c>
      <c r="D1517" s="3"/>
      <c r="E1517" s="3"/>
      <c r="F1517" s="3"/>
      <c r="G1517" s="3"/>
      <c r="H1517" s="4">
        <v>13.0</v>
      </c>
      <c r="I1517" s="3"/>
      <c r="J1517" s="4" t="s">
        <v>1757</v>
      </c>
      <c r="K1517" s="4" t="s">
        <v>1757</v>
      </c>
    </row>
    <row r="1518">
      <c r="A1518" s="4" t="s">
        <v>2822</v>
      </c>
      <c r="B1518" s="13" t="s">
        <v>48</v>
      </c>
      <c r="C1518" s="4">
        <v>2.0</v>
      </c>
      <c r="D1518" s="3"/>
      <c r="E1518" s="3"/>
      <c r="F1518" s="4">
        <v>9.0</v>
      </c>
      <c r="G1518" s="3"/>
      <c r="H1518" s="4">
        <v>13.0</v>
      </c>
      <c r="I1518" s="3"/>
      <c r="J1518" s="4" t="s">
        <v>1757</v>
      </c>
      <c r="K1518" s="4" t="s">
        <v>1757</v>
      </c>
    </row>
    <row r="1519">
      <c r="A1519" s="4" t="s">
        <v>2823</v>
      </c>
      <c r="B1519" s="13" t="s">
        <v>48</v>
      </c>
      <c r="C1519" s="4">
        <v>2.0</v>
      </c>
      <c r="D1519" s="3"/>
      <c r="E1519" s="3"/>
      <c r="F1519" s="4">
        <v>9.0</v>
      </c>
      <c r="G1519" s="3"/>
      <c r="H1519" s="4">
        <v>13.0</v>
      </c>
      <c r="I1519" s="3"/>
      <c r="J1519" s="4" t="s">
        <v>1757</v>
      </c>
      <c r="K1519" s="4" t="s">
        <v>1757</v>
      </c>
    </row>
    <row r="1520">
      <c r="A1520" s="4" t="s">
        <v>2824</v>
      </c>
      <c r="B1520" s="13" t="s">
        <v>48</v>
      </c>
      <c r="C1520" s="4">
        <v>2.0</v>
      </c>
      <c r="D1520" s="3"/>
      <c r="E1520" s="3"/>
      <c r="F1520" s="4">
        <v>9.0</v>
      </c>
      <c r="G1520" s="3"/>
      <c r="H1520" s="4">
        <v>13.0</v>
      </c>
      <c r="I1520" s="3"/>
      <c r="J1520" s="4" t="s">
        <v>1757</v>
      </c>
      <c r="K1520" s="4" t="s">
        <v>1757</v>
      </c>
    </row>
    <row r="1521">
      <c r="A1521" s="4" t="s">
        <v>2825</v>
      </c>
      <c r="B1521" s="13" t="s">
        <v>48</v>
      </c>
      <c r="C1521" s="4">
        <v>3.0</v>
      </c>
      <c r="D1521" s="3"/>
      <c r="E1521" s="4">
        <v>2.0</v>
      </c>
      <c r="F1521" s="4">
        <v>9.0</v>
      </c>
      <c r="G1521" s="3"/>
      <c r="H1521" s="4">
        <v>13.0</v>
      </c>
      <c r="I1521" s="3"/>
      <c r="J1521" s="4" t="s">
        <v>1757</v>
      </c>
      <c r="K1521" s="4" t="s">
        <v>1757</v>
      </c>
    </row>
    <row r="1522">
      <c r="A1522" s="4" t="s">
        <v>2826</v>
      </c>
      <c r="B1522" s="13" t="s">
        <v>48</v>
      </c>
      <c r="C1522" s="4">
        <v>3.0</v>
      </c>
      <c r="D1522" s="3"/>
      <c r="E1522" s="4">
        <v>2.0</v>
      </c>
      <c r="F1522" s="4">
        <v>9.0</v>
      </c>
      <c r="G1522" s="3"/>
      <c r="H1522" s="4">
        <v>13.0</v>
      </c>
      <c r="I1522" s="3"/>
      <c r="J1522" s="4" t="s">
        <v>1757</v>
      </c>
    </row>
    <row r="1523">
      <c r="A1523" s="4" t="s">
        <v>2827</v>
      </c>
      <c r="B1523" s="13" t="s">
        <v>48</v>
      </c>
      <c r="C1523" s="4">
        <v>3.0</v>
      </c>
      <c r="D1523" s="3"/>
      <c r="E1523" s="4">
        <v>2.0</v>
      </c>
      <c r="F1523" s="4">
        <v>9.0</v>
      </c>
      <c r="G1523" s="3"/>
      <c r="H1523" s="4">
        <v>13.0</v>
      </c>
      <c r="I1523" s="3"/>
      <c r="J1523" s="4" t="s">
        <v>1757</v>
      </c>
    </row>
    <row r="1524">
      <c r="A1524" s="4" t="s">
        <v>2828</v>
      </c>
      <c r="B1524" s="13" t="s">
        <v>48</v>
      </c>
      <c r="C1524" s="4">
        <v>3.0</v>
      </c>
      <c r="D1524" s="3"/>
      <c r="E1524" s="4">
        <v>2.0</v>
      </c>
      <c r="F1524" s="4">
        <v>9.0</v>
      </c>
      <c r="G1524" s="3"/>
      <c r="H1524" s="4">
        <v>13.0</v>
      </c>
      <c r="I1524" s="3"/>
      <c r="J1524" s="4" t="s">
        <v>1757</v>
      </c>
    </row>
    <row r="1525">
      <c r="A1525" s="4" t="s">
        <v>2829</v>
      </c>
      <c r="B1525" s="13" t="s">
        <v>48</v>
      </c>
      <c r="C1525" s="4">
        <v>3.0</v>
      </c>
      <c r="D1525" s="3"/>
      <c r="E1525" s="4">
        <v>2.0</v>
      </c>
      <c r="F1525" s="4">
        <v>9.0</v>
      </c>
      <c r="G1525" s="3"/>
      <c r="H1525" s="4">
        <v>13.0</v>
      </c>
      <c r="I1525" s="3"/>
      <c r="J1525" s="4" t="s">
        <v>1757</v>
      </c>
    </row>
    <row r="1526">
      <c r="A1526" s="4" t="s">
        <v>2830</v>
      </c>
      <c r="B1526" s="13" t="s">
        <v>48</v>
      </c>
      <c r="C1526" s="4">
        <v>3.0</v>
      </c>
      <c r="D1526" s="3"/>
      <c r="E1526" s="4">
        <v>2.0</v>
      </c>
      <c r="F1526" s="4">
        <v>9.0</v>
      </c>
      <c r="G1526" s="3"/>
      <c r="H1526" s="4">
        <v>13.0</v>
      </c>
      <c r="I1526" s="3"/>
      <c r="J1526" s="4" t="s">
        <v>1757</v>
      </c>
    </row>
    <row r="1527">
      <c r="A1527" s="4" t="s">
        <v>2831</v>
      </c>
      <c r="B1527" s="13" t="s">
        <v>48</v>
      </c>
      <c r="C1527" s="4">
        <v>3.0</v>
      </c>
      <c r="D1527" s="3"/>
      <c r="E1527" s="4">
        <v>2.0</v>
      </c>
      <c r="F1527" s="4">
        <v>9.0</v>
      </c>
      <c r="G1527" s="3"/>
      <c r="H1527" s="4">
        <v>13.0</v>
      </c>
      <c r="I1527" s="3"/>
      <c r="J1527" s="4" t="s">
        <v>1757</v>
      </c>
    </row>
    <row r="1528">
      <c r="A1528" s="4" t="s">
        <v>2832</v>
      </c>
      <c r="B1528" s="13" t="s">
        <v>48</v>
      </c>
      <c r="C1528" s="4">
        <v>3.0</v>
      </c>
      <c r="D1528" s="3"/>
      <c r="E1528" s="4">
        <v>2.0</v>
      </c>
      <c r="F1528" s="4">
        <v>9.0</v>
      </c>
      <c r="G1528" s="3"/>
      <c r="H1528" s="4">
        <v>13.0</v>
      </c>
      <c r="I1528" s="3"/>
    </row>
    <row r="1529">
      <c r="A1529" s="4" t="s">
        <v>2833</v>
      </c>
      <c r="B1529" s="13" t="s">
        <v>48</v>
      </c>
      <c r="C1529" s="4">
        <v>3.0</v>
      </c>
      <c r="D1529" s="3"/>
      <c r="E1529" s="4">
        <v>2.0</v>
      </c>
      <c r="F1529" s="4">
        <v>9.0</v>
      </c>
      <c r="G1529" s="3"/>
      <c r="H1529" s="4">
        <v>13.0</v>
      </c>
      <c r="I1529" s="3"/>
    </row>
    <row r="1530">
      <c r="A1530" s="4" t="s">
        <v>2834</v>
      </c>
      <c r="B1530" s="13" t="s">
        <v>48</v>
      </c>
      <c r="C1530" s="4">
        <v>3.0</v>
      </c>
      <c r="D1530" s="3"/>
      <c r="E1530" s="4">
        <v>2.0</v>
      </c>
      <c r="F1530" s="4">
        <v>9.0</v>
      </c>
      <c r="G1530" s="3"/>
      <c r="H1530" s="4">
        <v>13.0</v>
      </c>
      <c r="I1530" s="3"/>
    </row>
    <row r="1531">
      <c r="A1531" s="4" t="s">
        <v>2835</v>
      </c>
      <c r="B1531" s="13" t="s">
        <v>48</v>
      </c>
      <c r="C1531" s="4">
        <v>3.0</v>
      </c>
      <c r="D1531" s="3"/>
      <c r="E1531" s="4">
        <v>2.0</v>
      </c>
      <c r="F1531" s="4">
        <v>9.0</v>
      </c>
      <c r="G1531" s="3"/>
      <c r="H1531" s="4">
        <v>13.0</v>
      </c>
      <c r="I1531" s="3"/>
    </row>
    <row r="1532">
      <c r="A1532" s="4" t="s">
        <v>2836</v>
      </c>
      <c r="B1532" s="13" t="s">
        <v>48</v>
      </c>
      <c r="C1532" s="4">
        <v>3.0</v>
      </c>
      <c r="D1532" s="3"/>
      <c r="E1532" s="4">
        <v>2.0</v>
      </c>
      <c r="F1532" s="4">
        <v>9.0</v>
      </c>
      <c r="G1532" s="3"/>
      <c r="H1532" s="4">
        <v>13.0</v>
      </c>
      <c r="I1532" s="3"/>
    </row>
    <row r="1533">
      <c r="A1533" s="4" t="s">
        <v>2837</v>
      </c>
      <c r="B1533" s="13" t="s">
        <v>48</v>
      </c>
      <c r="C1533" s="4">
        <v>3.0</v>
      </c>
      <c r="D1533" s="3"/>
      <c r="E1533" s="4">
        <v>2.0</v>
      </c>
      <c r="F1533" s="4">
        <v>9.0</v>
      </c>
      <c r="G1533" s="3"/>
      <c r="H1533" s="4">
        <v>13.0</v>
      </c>
      <c r="I1533" s="3"/>
    </row>
    <row r="1534">
      <c r="A1534" s="4" t="s">
        <v>2838</v>
      </c>
      <c r="B1534" s="13" t="s">
        <v>48</v>
      </c>
      <c r="C1534" s="4">
        <v>3.0</v>
      </c>
      <c r="D1534" s="3"/>
      <c r="E1534" s="4">
        <v>2.0</v>
      </c>
      <c r="F1534" s="4">
        <v>9.0</v>
      </c>
      <c r="G1534" s="3"/>
      <c r="H1534" s="4">
        <v>13.0</v>
      </c>
      <c r="I1534" s="3"/>
    </row>
    <row r="1535">
      <c r="A1535" s="4" t="s">
        <v>2839</v>
      </c>
      <c r="B1535" s="13" t="s">
        <v>48</v>
      </c>
      <c r="C1535" s="4">
        <v>3.0</v>
      </c>
      <c r="D1535" s="3"/>
      <c r="E1535" s="4">
        <v>2.0</v>
      </c>
      <c r="F1535" s="4">
        <v>9.0</v>
      </c>
      <c r="G1535" s="3"/>
      <c r="H1535" s="4">
        <v>13.0</v>
      </c>
      <c r="I1535" s="3"/>
    </row>
    <row r="1536">
      <c r="A1536" s="4" t="s">
        <v>2840</v>
      </c>
      <c r="B1536" s="13" t="s">
        <v>48</v>
      </c>
      <c r="C1536" s="4">
        <v>3.0</v>
      </c>
      <c r="D1536" s="3"/>
      <c r="E1536" s="4">
        <v>2.0</v>
      </c>
      <c r="F1536" s="4">
        <v>9.0</v>
      </c>
      <c r="G1536" s="3"/>
      <c r="H1536" s="4">
        <v>13.0</v>
      </c>
      <c r="I1536" s="3"/>
    </row>
    <row r="1537">
      <c r="A1537" s="4" t="s">
        <v>2841</v>
      </c>
      <c r="B1537" s="13" t="s">
        <v>48</v>
      </c>
      <c r="C1537" s="4">
        <v>3.0</v>
      </c>
      <c r="D1537" s="3"/>
      <c r="E1537" s="4">
        <v>2.0</v>
      </c>
      <c r="F1537" s="4">
        <v>9.0</v>
      </c>
      <c r="G1537" s="3"/>
      <c r="H1537" s="4">
        <v>13.0</v>
      </c>
      <c r="I1537" s="3"/>
    </row>
    <row r="1538">
      <c r="A1538" s="4" t="s">
        <v>2842</v>
      </c>
      <c r="B1538" s="13" t="s">
        <v>48</v>
      </c>
      <c r="C1538" s="4">
        <v>3.0</v>
      </c>
      <c r="D1538" s="3"/>
      <c r="E1538" s="4">
        <v>2.0</v>
      </c>
      <c r="F1538" s="4">
        <v>9.0</v>
      </c>
      <c r="G1538" s="3"/>
      <c r="H1538" s="4">
        <v>13.0</v>
      </c>
      <c r="I1538" s="3"/>
      <c r="J1538" s="4" t="s">
        <v>1757</v>
      </c>
    </row>
    <row r="1539">
      <c r="A1539" s="4" t="s">
        <v>2843</v>
      </c>
      <c r="B1539" s="13" t="s">
        <v>48</v>
      </c>
      <c r="C1539" s="4">
        <v>3.0</v>
      </c>
      <c r="D1539" s="3"/>
      <c r="E1539" s="4">
        <v>2.0</v>
      </c>
      <c r="F1539" s="4">
        <v>9.0</v>
      </c>
      <c r="G1539" s="3"/>
      <c r="H1539" s="4">
        <v>13.0</v>
      </c>
      <c r="I1539" s="3"/>
      <c r="J1539" s="4" t="s">
        <v>1757</v>
      </c>
    </row>
    <row r="1540">
      <c r="A1540" s="4" t="s">
        <v>2844</v>
      </c>
      <c r="B1540" s="13" t="s">
        <v>48</v>
      </c>
      <c r="C1540" s="4">
        <v>3.0</v>
      </c>
      <c r="D1540" s="3"/>
      <c r="E1540" s="4">
        <v>2.0</v>
      </c>
      <c r="F1540" s="4">
        <v>9.0</v>
      </c>
      <c r="G1540" s="3"/>
      <c r="H1540" s="4">
        <v>13.0</v>
      </c>
      <c r="I1540" s="3"/>
      <c r="J1540" s="4" t="s">
        <v>1757</v>
      </c>
    </row>
    <row r="1541">
      <c r="A1541" s="4" t="s">
        <v>2845</v>
      </c>
      <c r="B1541" s="13" t="s">
        <v>48</v>
      </c>
      <c r="C1541" s="4">
        <v>3.0</v>
      </c>
      <c r="D1541" s="3"/>
      <c r="E1541" s="4">
        <v>2.0</v>
      </c>
      <c r="F1541" s="4">
        <v>9.0</v>
      </c>
      <c r="G1541" s="3"/>
      <c r="H1541" s="4">
        <v>13.0</v>
      </c>
      <c r="I1541" s="3"/>
      <c r="J1541" s="4" t="s">
        <v>1757</v>
      </c>
    </row>
    <row r="1542">
      <c r="A1542" s="4" t="s">
        <v>2846</v>
      </c>
      <c r="B1542" s="13" t="s">
        <v>48</v>
      </c>
      <c r="C1542" s="4">
        <v>3.0</v>
      </c>
      <c r="D1542" s="3"/>
      <c r="E1542" s="4">
        <v>2.0</v>
      </c>
      <c r="F1542" s="4">
        <v>9.0</v>
      </c>
      <c r="G1542" s="3"/>
      <c r="H1542" s="4">
        <v>13.0</v>
      </c>
      <c r="I1542" s="3"/>
      <c r="J1542" s="4" t="s">
        <v>1757</v>
      </c>
    </row>
    <row r="1543">
      <c r="A1543" s="4" t="s">
        <v>2847</v>
      </c>
      <c r="B1543" s="13" t="s">
        <v>48</v>
      </c>
      <c r="C1543" s="4">
        <v>3.0</v>
      </c>
      <c r="D1543" s="3"/>
      <c r="E1543" s="4">
        <v>2.0</v>
      </c>
      <c r="F1543" s="4">
        <v>9.0</v>
      </c>
      <c r="G1543" s="3"/>
      <c r="H1543" s="4">
        <v>13.0</v>
      </c>
      <c r="I1543" s="3"/>
      <c r="J1543" s="4" t="s">
        <v>1757</v>
      </c>
      <c r="K1543" s="4" t="s">
        <v>1757</v>
      </c>
    </row>
    <row r="1544">
      <c r="A1544" s="4" t="s">
        <v>2848</v>
      </c>
      <c r="B1544" s="13" t="s">
        <v>48</v>
      </c>
      <c r="C1544" s="4">
        <v>4.0</v>
      </c>
      <c r="D1544" s="3"/>
      <c r="E1544" s="4">
        <v>2.0</v>
      </c>
      <c r="F1544" s="4">
        <v>9.0</v>
      </c>
      <c r="G1544" s="3"/>
      <c r="H1544" s="4">
        <v>13.0</v>
      </c>
      <c r="I1544" s="4">
        <v>15.0</v>
      </c>
      <c r="J1544" s="4" t="s">
        <v>1757</v>
      </c>
      <c r="K1544" s="4" t="s">
        <v>1757</v>
      </c>
    </row>
    <row r="1545">
      <c r="A1545" s="4" t="s">
        <v>2849</v>
      </c>
      <c r="B1545" s="13" t="s">
        <v>48</v>
      </c>
      <c r="C1545" s="4">
        <v>4.0</v>
      </c>
      <c r="D1545" s="3"/>
      <c r="E1545" s="4">
        <v>2.0</v>
      </c>
      <c r="F1545" s="4">
        <v>9.0</v>
      </c>
      <c r="G1545" s="3"/>
      <c r="H1545" s="4">
        <v>13.0</v>
      </c>
      <c r="I1545" s="4">
        <v>15.0</v>
      </c>
      <c r="J1545" s="4" t="s">
        <v>1757</v>
      </c>
      <c r="K1545" s="4" t="s">
        <v>1757</v>
      </c>
    </row>
    <row r="1546">
      <c r="A1546" s="4" t="s">
        <v>2850</v>
      </c>
      <c r="B1546" s="13" t="s">
        <v>48</v>
      </c>
      <c r="C1546" s="4">
        <v>4.0</v>
      </c>
      <c r="D1546" s="3"/>
      <c r="E1546" s="4">
        <v>2.0</v>
      </c>
      <c r="F1546" s="4">
        <v>9.0</v>
      </c>
      <c r="G1546" s="3"/>
      <c r="H1546" s="4">
        <v>13.0</v>
      </c>
      <c r="I1546" s="4">
        <v>15.0</v>
      </c>
      <c r="J1546" s="4" t="s">
        <v>1757</v>
      </c>
      <c r="K1546" s="4" t="s">
        <v>1757</v>
      </c>
    </row>
    <row r="1547">
      <c r="A1547" s="4" t="s">
        <v>2851</v>
      </c>
      <c r="B1547" s="13" t="s">
        <v>48</v>
      </c>
      <c r="C1547" s="4">
        <v>4.0</v>
      </c>
      <c r="D1547" s="3"/>
      <c r="E1547" s="4">
        <v>2.0</v>
      </c>
      <c r="F1547" s="4">
        <v>9.0</v>
      </c>
      <c r="G1547" s="3"/>
      <c r="H1547" s="4">
        <v>13.0</v>
      </c>
      <c r="I1547" s="4">
        <v>15.0</v>
      </c>
      <c r="J1547" s="4" t="s">
        <v>1757</v>
      </c>
      <c r="K1547" s="4" t="s">
        <v>1757</v>
      </c>
    </row>
    <row r="1548">
      <c r="A1548" s="4" t="s">
        <v>2852</v>
      </c>
      <c r="B1548" s="13" t="s">
        <v>48</v>
      </c>
      <c r="C1548" s="4">
        <v>4.0</v>
      </c>
      <c r="D1548" s="3"/>
      <c r="E1548" s="4">
        <v>2.0</v>
      </c>
      <c r="F1548" s="4">
        <v>9.0</v>
      </c>
      <c r="G1548" s="3"/>
      <c r="H1548" s="4">
        <v>13.0</v>
      </c>
      <c r="I1548" s="4">
        <v>15.0</v>
      </c>
      <c r="J1548" s="4" t="s">
        <v>1757</v>
      </c>
      <c r="K1548" s="4" t="s">
        <v>1757</v>
      </c>
    </row>
    <row r="1549">
      <c r="A1549" s="4" t="s">
        <v>2853</v>
      </c>
      <c r="B1549" s="13" t="s">
        <v>48</v>
      </c>
      <c r="C1549" s="4">
        <v>4.0</v>
      </c>
      <c r="D1549" s="3"/>
      <c r="E1549" s="4">
        <v>2.0</v>
      </c>
      <c r="F1549" s="4">
        <v>9.0</v>
      </c>
      <c r="G1549" s="3"/>
      <c r="H1549" s="4">
        <v>13.0</v>
      </c>
      <c r="I1549" s="4">
        <v>15.0</v>
      </c>
      <c r="J1549" s="4" t="s">
        <v>1757</v>
      </c>
      <c r="K1549" s="4" t="s">
        <v>1757</v>
      </c>
    </row>
    <row r="1550">
      <c r="A1550" s="4" t="s">
        <v>2854</v>
      </c>
      <c r="B1550" s="13" t="s">
        <v>48</v>
      </c>
      <c r="C1550" s="4">
        <v>4.0</v>
      </c>
      <c r="D1550" s="3"/>
      <c r="E1550" s="4">
        <v>2.0</v>
      </c>
      <c r="F1550" s="4">
        <v>9.0</v>
      </c>
      <c r="G1550" s="3"/>
      <c r="H1550" s="4">
        <v>13.0</v>
      </c>
      <c r="I1550" s="4">
        <v>15.0</v>
      </c>
      <c r="J1550" s="4" t="s">
        <v>1757</v>
      </c>
      <c r="K1550" s="4" t="s">
        <v>1757</v>
      </c>
    </row>
    <row r="1551">
      <c r="A1551" s="4" t="s">
        <v>2855</v>
      </c>
      <c r="B1551" s="13" t="s">
        <v>48</v>
      </c>
      <c r="C1551" s="4">
        <v>4.0</v>
      </c>
      <c r="D1551" s="3"/>
      <c r="E1551" s="4">
        <v>2.0</v>
      </c>
      <c r="F1551" s="4">
        <v>9.0</v>
      </c>
      <c r="G1551" s="3"/>
      <c r="H1551" s="4">
        <v>13.0</v>
      </c>
      <c r="I1551" s="4">
        <v>15.0</v>
      </c>
      <c r="J1551" s="4" t="s">
        <v>1757</v>
      </c>
      <c r="K1551" s="4" t="s">
        <v>1757</v>
      </c>
    </row>
    <row r="1552">
      <c r="A1552" s="4" t="s">
        <v>2856</v>
      </c>
      <c r="B1552" s="13" t="s">
        <v>48</v>
      </c>
      <c r="C1552" s="4">
        <v>4.0</v>
      </c>
      <c r="D1552" s="3"/>
      <c r="E1552" s="4">
        <v>2.0</v>
      </c>
      <c r="F1552" s="4">
        <v>9.0</v>
      </c>
      <c r="G1552" s="3"/>
      <c r="H1552" s="4">
        <v>13.0</v>
      </c>
      <c r="I1552" s="4">
        <v>15.0</v>
      </c>
      <c r="J1552" s="4" t="s">
        <v>1757</v>
      </c>
      <c r="K1552" s="4" t="s">
        <v>1757</v>
      </c>
    </row>
    <row r="1553">
      <c r="A1553" s="4" t="s">
        <v>2857</v>
      </c>
      <c r="B1553" s="13" t="s">
        <v>48</v>
      </c>
      <c r="C1553" s="4">
        <v>4.0</v>
      </c>
      <c r="D1553" s="3"/>
      <c r="E1553" s="4">
        <v>2.0</v>
      </c>
      <c r="F1553" s="4">
        <v>9.0</v>
      </c>
      <c r="G1553" s="3"/>
      <c r="H1553" s="4">
        <v>13.0</v>
      </c>
      <c r="I1553" s="4">
        <v>15.0</v>
      </c>
      <c r="J1553" s="4" t="s">
        <v>1757</v>
      </c>
      <c r="K1553" s="4" t="s">
        <v>1757</v>
      </c>
    </row>
    <row r="1554">
      <c r="A1554" s="4" t="s">
        <v>2858</v>
      </c>
      <c r="B1554" s="13" t="s">
        <v>48</v>
      </c>
      <c r="C1554" s="4">
        <v>2.0</v>
      </c>
      <c r="D1554" s="3"/>
      <c r="E1554" s="3"/>
      <c r="F1554" s="4">
        <v>9.0</v>
      </c>
      <c r="G1554" s="3"/>
      <c r="H1554" s="4">
        <v>13.0</v>
      </c>
      <c r="I1554" s="3"/>
      <c r="J1554" s="4" t="s">
        <v>1757</v>
      </c>
      <c r="K1554" s="4" t="s">
        <v>1757</v>
      </c>
    </row>
    <row r="1555">
      <c r="A1555" s="4" t="s">
        <v>2859</v>
      </c>
      <c r="B1555" s="13" t="s">
        <v>48</v>
      </c>
      <c r="C1555" s="4">
        <v>2.0</v>
      </c>
      <c r="D1555" s="3"/>
      <c r="E1555" s="3"/>
      <c r="F1555" s="4">
        <v>9.0</v>
      </c>
      <c r="G1555" s="3"/>
      <c r="H1555" s="4">
        <v>13.0</v>
      </c>
      <c r="I1555" s="3"/>
      <c r="J1555" s="4" t="s">
        <v>1757</v>
      </c>
      <c r="K1555" s="4" t="s">
        <v>1757</v>
      </c>
    </row>
    <row r="1556">
      <c r="A1556" s="4" t="s">
        <v>2860</v>
      </c>
      <c r="B1556" s="13" t="s">
        <v>48</v>
      </c>
      <c r="C1556" s="4">
        <v>1.0</v>
      </c>
      <c r="D1556" s="3"/>
      <c r="E1556" s="3"/>
      <c r="F1556" s="3"/>
      <c r="G1556" s="3"/>
      <c r="H1556" s="4">
        <v>13.0</v>
      </c>
      <c r="I1556" s="3"/>
      <c r="J1556" s="4" t="s">
        <v>1757</v>
      </c>
      <c r="K1556" s="4" t="s">
        <v>1757</v>
      </c>
    </row>
    <row r="1557">
      <c r="A1557" s="4" t="s">
        <v>2861</v>
      </c>
      <c r="B1557" s="13" t="s">
        <v>48</v>
      </c>
      <c r="C1557" s="4">
        <v>1.0</v>
      </c>
      <c r="D1557" s="3"/>
      <c r="E1557" s="3"/>
      <c r="F1557" s="3"/>
      <c r="G1557" s="3"/>
      <c r="H1557" s="4">
        <v>13.0</v>
      </c>
      <c r="I1557" s="3"/>
      <c r="J1557" s="4" t="s">
        <v>1757</v>
      </c>
    </row>
    <row r="1558">
      <c r="A1558" s="4" t="s">
        <v>2862</v>
      </c>
      <c r="B1558" s="13" t="s">
        <v>43</v>
      </c>
      <c r="D1558" s="3"/>
      <c r="E1558" s="3"/>
      <c r="F1558" s="3"/>
      <c r="G1558" s="3"/>
      <c r="H1558" s="3"/>
      <c r="I1558" s="3"/>
      <c r="J1558" s="4" t="s">
        <v>1757</v>
      </c>
    </row>
    <row r="1559">
      <c r="A1559" s="4" t="s">
        <v>2863</v>
      </c>
      <c r="B1559" s="13" t="s">
        <v>43</v>
      </c>
      <c r="D1559" s="3"/>
      <c r="E1559" s="3"/>
      <c r="F1559" s="3"/>
      <c r="G1559" s="3"/>
      <c r="H1559" s="3"/>
      <c r="I1559" s="3"/>
      <c r="J1559" s="4" t="s">
        <v>1757</v>
      </c>
    </row>
    <row r="1560">
      <c r="A1560" s="4" t="s">
        <v>2864</v>
      </c>
      <c r="B1560" s="13" t="s">
        <v>48</v>
      </c>
      <c r="C1560" s="4">
        <v>1.0</v>
      </c>
      <c r="D1560" s="3"/>
      <c r="E1560" s="3"/>
      <c r="F1560" s="3"/>
      <c r="G1560" s="3"/>
      <c r="H1560" s="4">
        <v>13.0</v>
      </c>
      <c r="I1560" s="3"/>
      <c r="J1560" s="4" t="s">
        <v>1757</v>
      </c>
    </row>
    <row r="1561">
      <c r="A1561" s="4" t="s">
        <v>2865</v>
      </c>
      <c r="B1561" s="13" t="s">
        <v>48</v>
      </c>
      <c r="C1561" s="4">
        <v>1.0</v>
      </c>
      <c r="D1561" s="3"/>
      <c r="E1561" s="3"/>
      <c r="F1561" s="3"/>
      <c r="G1561" s="3"/>
      <c r="H1561" s="4">
        <v>13.0</v>
      </c>
      <c r="I1561" s="3"/>
      <c r="J1561" s="4" t="s">
        <v>1757</v>
      </c>
    </row>
    <row r="1562">
      <c r="A1562" s="4" t="s">
        <v>2866</v>
      </c>
      <c r="B1562" s="13" t="s">
        <v>48</v>
      </c>
      <c r="C1562" s="4">
        <v>1.0</v>
      </c>
      <c r="D1562" s="3"/>
      <c r="E1562" s="3"/>
      <c r="F1562" s="3"/>
      <c r="G1562" s="3"/>
      <c r="H1562" s="4">
        <v>13.0</v>
      </c>
      <c r="I1562" s="3"/>
      <c r="J1562" s="4" t="s">
        <v>1757</v>
      </c>
    </row>
    <row r="1563">
      <c r="A1563" s="4" t="s">
        <v>2867</v>
      </c>
      <c r="B1563" s="13" t="s">
        <v>48</v>
      </c>
      <c r="C1563" s="4">
        <v>1.0</v>
      </c>
      <c r="D1563" s="3"/>
      <c r="E1563" s="3"/>
      <c r="F1563" s="3"/>
      <c r="G1563" s="3"/>
      <c r="H1563" s="4">
        <v>13.0</v>
      </c>
      <c r="I1563" s="3"/>
      <c r="J1563" s="4" t="s">
        <v>1757</v>
      </c>
    </row>
    <row r="1564">
      <c r="A1564" s="4" t="s">
        <v>2868</v>
      </c>
      <c r="B1564" s="13" t="s">
        <v>48</v>
      </c>
      <c r="C1564" s="4">
        <v>1.0</v>
      </c>
      <c r="D1564" s="3"/>
      <c r="E1564" s="3"/>
      <c r="F1564" s="3"/>
      <c r="G1564" s="3"/>
      <c r="H1564" s="4">
        <v>13.0</v>
      </c>
      <c r="I1564" s="3"/>
      <c r="J1564" s="4" t="s">
        <v>1757</v>
      </c>
      <c r="K1564" s="4" t="s">
        <v>1757</v>
      </c>
    </row>
    <row r="1565">
      <c r="A1565" s="4" t="s">
        <v>2869</v>
      </c>
      <c r="B1565" s="13" t="s">
        <v>48</v>
      </c>
      <c r="C1565" s="4">
        <v>1.0</v>
      </c>
      <c r="D1565" s="3"/>
      <c r="E1565" s="3"/>
      <c r="F1565" s="3"/>
      <c r="G1565" s="3"/>
      <c r="H1565" s="4">
        <v>13.0</v>
      </c>
      <c r="I1565" s="3"/>
      <c r="J1565" s="4" t="s">
        <v>1757</v>
      </c>
    </row>
    <row r="1566">
      <c r="A1566" s="4" t="s">
        <v>2870</v>
      </c>
      <c r="B1566" s="13" t="s">
        <v>48</v>
      </c>
      <c r="C1566" s="4">
        <v>1.0</v>
      </c>
      <c r="D1566" s="3"/>
      <c r="E1566" s="3"/>
      <c r="F1566" s="3"/>
      <c r="G1566" s="3"/>
      <c r="H1566" s="4">
        <v>13.0</v>
      </c>
      <c r="I1566" s="3"/>
      <c r="J1566" s="4" t="s">
        <v>1757</v>
      </c>
    </row>
    <row r="1567">
      <c r="A1567" s="4" t="s">
        <v>2871</v>
      </c>
      <c r="B1567" s="13" t="s">
        <v>43</v>
      </c>
      <c r="D1567" s="3"/>
      <c r="E1567" s="3"/>
      <c r="F1567" s="3"/>
      <c r="G1567" s="3"/>
      <c r="H1567" s="3"/>
      <c r="I1567" s="3"/>
      <c r="J1567" s="4" t="s">
        <v>1757</v>
      </c>
    </row>
    <row r="1568">
      <c r="A1568" s="4" t="s">
        <v>2872</v>
      </c>
      <c r="B1568" s="13" t="s">
        <v>48</v>
      </c>
      <c r="C1568" s="4">
        <v>1.0</v>
      </c>
      <c r="D1568" s="3"/>
      <c r="E1568" s="3"/>
      <c r="F1568" s="3"/>
      <c r="G1568" s="3"/>
      <c r="H1568" s="4">
        <v>13.0</v>
      </c>
      <c r="I1568" s="3"/>
      <c r="J1568" s="4" t="s">
        <v>1757</v>
      </c>
    </row>
    <row r="1569">
      <c r="A1569" s="4" t="s">
        <v>2873</v>
      </c>
      <c r="B1569" s="13" t="s">
        <v>48</v>
      </c>
      <c r="C1569" s="4">
        <v>1.0</v>
      </c>
      <c r="D1569" s="3"/>
      <c r="E1569" s="3"/>
      <c r="F1569" s="3"/>
      <c r="G1569" s="3"/>
      <c r="H1569" s="4">
        <v>13.0</v>
      </c>
      <c r="I1569" s="3"/>
      <c r="J1569" s="4" t="s">
        <v>1757</v>
      </c>
    </row>
    <row r="1570">
      <c r="A1570" s="4" t="s">
        <v>2874</v>
      </c>
      <c r="B1570" s="13" t="s">
        <v>48</v>
      </c>
      <c r="C1570" s="4">
        <v>1.0</v>
      </c>
      <c r="D1570" s="3"/>
      <c r="E1570" s="3"/>
      <c r="F1570" s="3"/>
      <c r="G1570" s="3"/>
      <c r="H1570" s="4">
        <v>13.0</v>
      </c>
      <c r="I1570" s="3"/>
      <c r="J1570" s="4" t="s">
        <v>1757</v>
      </c>
    </row>
    <row r="1571">
      <c r="A1571" s="4" t="s">
        <v>2875</v>
      </c>
      <c r="B1571" s="13" t="s">
        <v>48</v>
      </c>
      <c r="C1571" s="4">
        <v>1.0</v>
      </c>
      <c r="D1571" s="3"/>
      <c r="E1571" s="3"/>
      <c r="F1571" s="3"/>
      <c r="G1571" s="3"/>
      <c r="H1571" s="4">
        <v>13.0</v>
      </c>
      <c r="I1571" s="3"/>
      <c r="J1571" s="4" t="s">
        <v>1757</v>
      </c>
    </row>
    <row r="1572">
      <c r="A1572" s="4" t="s">
        <v>2876</v>
      </c>
      <c r="B1572" s="13" t="s">
        <v>48</v>
      </c>
      <c r="C1572" s="4">
        <v>1.0</v>
      </c>
      <c r="D1572" s="3"/>
      <c r="E1572" s="3"/>
      <c r="F1572" s="3"/>
      <c r="G1572" s="3"/>
      <c r="H1572" s="4">
        <v>13.0</v>
      </c>
      <c r="I1572" s="3"/>
      <c r="J1572" s="4" t="s">
        <v>1757</v>
      </c>
      <c r="K1572" s="4" t="s">
        <v>1757</v>
      </c>
    </row>
    <row r="1573">
      <c r="A1573" s="4" t="s">
        <v>2877</v>
      </c>
      <c r="B1573" s="13" t="s">
        <v>48</v>
      </c>
      <c r="C1573" s="4">
        <v>1.0</v>
      </c>
      <c r="D1573" s="3"/>
      <c r="E1573" s="3"/>
      <c r="F1573" s="3"/>
      <c r="G1573" s="3"/>
      <c r="H1573" s="4">
        <v>13.0</v>
      </c>
      <c r="I1573" s="3"/>
      <c r="J1573" s="4" t="s">
        <v>1757</v>
      </c>
      <c r="K1573" s="4" t="s">
        <v>1757</v>
      </c>
    </row>
    <row r="1574">
      <c r="A1574" s="4" t="s">
        <v>2878</v>
      </c>
      <c r="B1574" s="13" t="s">
        <v>48</v>
      </c>
      <c r="C1574" s="4">
        <v>1.0</v>
      </c>
      <c r="D1574" s="3"/>
      <c r="E1574" s="3"/>
      <c r="F1574" s="3"/>
      <c r="G1574" s="3"/>
      <c r="H1574" s="4">
        <v>13.0</v>
      </c>
      <c r="I1574" s="3"/>
      <c r="J1574" s="4" t="s">
        <v>1757</v>
      </c>
      <c r="K1574" s="4" t="s">
        <v>1757</v>
      </c>
    </row>
    <row r="1575">
      <c r="A1575" s="4" t="s">
        <v>2879</v>
      </c>
      <c r="B1575" s="13" t="s">
        <v>48</v>
      </c>
      <c r="C1575" s="4">
        <v>1.0</v>
      </c>
      <c r="D1575" s="3"/>
      <c r="E1575" s="3"/>
      <c r="F1575" s="3"/>
      <c r="G1575" s="3"/>
      <c r="H1575" s="4">
        <v>13.0</v>
      </c>
      <c r="I1575" s="3"/>
      <c r="J1575" s="4" t="s">
        <v>1757</v>
      </c>
      <c r="K1575" s="4" t="s">
        <v>1757</v>
      </c>
    </row>
    <row r="1576">
      <c r="A1576" s="4" t="s">
        <v>2880</v>
      </c>
      <c r="B1576" s="13" t="s">
        <v>48</v>
      </c>
      <c r="C1576" s="4">
        <v>1.0</v>
      </c>
      <c r="D1576" s="3"/>
      <c r="E1576" s="3"/>
      <c r="F1576" s="3"/>
      <c r="G1576" s="3"/>
      <c r="H1576" s="4">
        <v>13.0</v>
      </c>
      <c r="I1576" s="3"/>
      <c r="J1576" s="4" t="s">
        <v>1757</v>
      </c>
      <c r="K1576" s="4" t="s">
        <v>1757</v>
      </c>
    </row>
    <row r="1577">
      <c r="A1577" s="4" t="s">
        <v>2881</v>
      </c>
      <c r="B1577" s="13" t="s">
        <v>48</v>
      </c>
      <c r="C1577" s="4">
        <v>1.0</v>
      </c>
      <c r="D1577" s="3"/>
      <c r="E1577" s="3"/>
      <c r="F1577" s="3"/>
      <c r="G1577" s="3"/>
      <c r="H1577" s="4">
        <v>13.0</v>
      </c>
      <c r="I1577" s="3"/>
      <c r="J1577" s="4" t="s">
        <v>1757</v>
      </c>
      <c r="K1577" s="4" t="s">
        <v>1757</v>
      </c>
    </row>
    <row r="1578">
      <c r="A1578" s="4" t="s">
        <v>2882</v>
      </c>
      <c r="B1578" s="13" t="s">
        <v>48</v>
      </c>
      <c r="C1578" s="4">
        <v>1.0</v>
      </c>
      <c r="D1578" s="3"/>
      <c r="E1578" s="3"/>
      <c r="F1578" s="3"/>
      <c r="G1578" s="3"/>
      <c r="H1578" s="4">
        <v>13.0</v>
      </c>
      <c r="I1578" s="3"/>
      <c r="J1578" s="4" t="s">
        <v>1757</v>
      </c>
      <c r="K1578" s="4" t="s">
        <v>1757</v>
      </c>
    </row>
    <row r="1579">
      <c r="A1579" s="4" t="s">
        <v>2883</v>
      </c>
      <c r="B1579" s="13" t="s">
        <v>48</v>
      </c>
      <c r="C1579" s="4">
        <v>1.0</v>
      </c>
      <c r="D1579" s="3"/>
      <c r="E1579" s="3"/>
      <c r="F1579" s="3"/>
      <c r="G1579" s="3"/>
      <c r="H1579" s="4">
        <v>13.0</v>
      </c>
      <c r="I1579" s="3"/>
      <c r="J1579" s="4" t="s">
        <v>1757</v>
      </c>
    </row>
    <row r="1580">
      <c r="A1580" s="4" t="s">
        <v>2884</v>
      </c>
      <c r="B1580" s="13" t="s">
        <v>48</v>
      </c>
      <c r="C1580" s="4">
        <v>1.0</v>
      </c>
      <c r="D1580" s="3"/>
      <c r="E1580" s="3"/>
      <c r="F1580" s="3"/>
      <c r="G1580" s="3"/>
      <c r="H1580" s="4">
        <v>13.0</v>
      </c>
      <c r="I1580" s="3"/>
      <c r="J1580" s="4" t="s">
        <v>1757</v>
      </c>
    </row>
    <row r="1581">
      <c r="A1581" s="4" t="s">
        <v>2885</v>
      </c>
      <c r="B1581" s="13" t="s">
        <v>48</v>
      </c>
      <c r="C1581" s="4">
        <v>1.0</v>
      </c>
      <c r="D1581" s="3"/>
      <c r="E1581" s="3"/>
      <c r="F1581" s="3"/>
      <c r="G1581" s="3"/>
      <c r="H1581" s="4">
        <v>13.0</v>
      </c>
      <c r="I1581" s="3"/>
      <c r="J1581" s="4" t="s">
        <v>1757</v>
      </c>
    </row>
    <row r="1582">
      <c r="A1582" s="4" t="s">
        <v>2886</v>
      </c>
      <c r="B1582" s="13" t="s">
        <v>48</v>
      </c>
      <c r="C1582" s="4">
        <v>1.0</v>
      </c>
      <c r="D1582" s="3"/>
      <c r="E1582" s="3"/>
      <c r="F1582" s="3"/>
      <c r="G1582" s="3"/>
      <c r="H1582" s="4">
        <v>13.0</v>
      </c>
      <c r="I1582" s="3"/>
      <c r="J1582" s="4" t="s">
        <v>1757</v>
      </c>
    </row>
    <row r="1583">
      <c r="A1583" s="4" t="s">
        <v>2887</v>
      </c>
      <c r="B1583" s="13" t="s">
        <v>48</v>
      </c>
      <c r="C1583" s="4">
        <v>2.0</v>
      </c>
      <c r="D1583" s="3"/>
      <c r="E1583" s="4">
        <v>2.0</v>
      </c>
      <c r="F1583" s="3"/>
      <c r="G1583" s="3"/>
      <c r="H1583" s="4">
        <v>13.0</v>
      </c>
      <c r="I1583" s="3"/>
      <c r="J1583" s="4" t="s">
        <v>1757</v>
      </c>
    </row>
    <row r="1584">
      <c r="A1584" s="4" t="s">
        <v>2888</v>
      </c>
      <c r="B1584" s="13" t="s">
        <v>48</v>
      </c>
      <c r="C1584" s="4">
        <v>2.0</v>
      </c>
      <c r="D1584" s="3"/>
      <c r="E1584" s="4">
        <v>2.0</v>
      </c>
      <c r="F1584" s="3"/>
      <c r="G1584" s="3"/>
      <c r="H1584" s="4">
        <v>13.0</v>
      </c>
      <c r="I1584" s="3"/>
      <c r="J1584" s="4" t="s">
        <v>1757</v>
      </c>
    </row>
    <row r="1585">
      <c r="A1585" s="4" t="s">
        <v>2889</v>
      </c>
      <c r="B1585" s="13" t="s">
        <v>48</v>
      </c>
      <c r="C1585" s="4">
        <v>2.0</v>
      </c>
      <c r="D1585" s="3"/>
      <c r="E1585" s="4">
        <v>2.0</v>
      </c>
      <c r="F1585" s="3"/>
      <c r="G1585" s="3"/>
      <c r="H1585" s="4">
        <v>13.0</v>
      </c>
      <c r="I1585" s="3"/>
      <c r="J1585" s="4" t="s">
        <v>1757</v>
      </c>
    </row>
    <row r="1586">
      <c r="A1586" s="4" t="s">
        <v>2890</v>
      </c>
      <c r="B1586" s="13" t="s">
        <v>48</v>
      </c>
      <c r="C1586" s="4">
        <v>1.0</v>
      </c>
      <c r="D1586" s="3"/>
      <c r="E1586" s="4">
        <v>2.0</v>
      </c>
      <c r="F1586" s="3"/>
      <c r="G1586" s="3"/>
      <c r="H1586" s="3"/>
      <c r="I1586" s="3"/>
      <c r="J1586" s="4" t="s">
        <v>1757</v>
      </c>
    </row>
    <row r="1587">
      <c r="A1587" s="4" t="s">
        <v>2891</v>
      </c>
      <c r="B1587" s="13" t="s">
        <v>48</v>
      </c>
      <c r="C1587" s="4">
        <v>1.0</v>
      </c>
      <c r="D1587" s="3"/>
      <c r="E1587" s="4">
        <v>2.0</v>
      </c>
      <c r="F1587" s="3"/>
      <c r="G1587" s="3"/>
      <c r="H1587" s="3"/>
      <c r="I1587" s="3"/>
      <c r="J1587" s="4" t="s">
        <v>1757</v>
      </c>
    </row>
    <row r="1588">
      <c r="A1588" s="4" t="s">
        <v>2892</v>
      </c>
      <c r="B1588" s="13" t="s">
        <v>43</v>
      </c>
      <c r="D1588" s="3"/>
      <c r="E1588" s="3"/>
      <c r="F1588" s="3"/>
      <c r="G1588" s="3"/>
      <c r="H1588" s="3"/>
      <c r="I1588" s="3"/>
      <c r="J1588" s="4" t="s">
        <v>1757</v>
      </c>
    </row>
    <row r="1589">
      <c r="A1589" s="4" t="s">
        <v>2893</v>
      </c>
      <c r="B1589" s="13" t="s">
        <v>43</v>
      </c>
      <c r="D1589" s="3"/>
      <c r="E1589" s="3"/>
      <c r="F1589" s="3"/>
      <c r="G1589" s="3"/>
      <c r="H1589" s="3"/>
      <c r="I1589" s="3"/>
      <c r="J1589" s="4" t="s">
        <v>1757</v>
      </c>
    </row>
    <row r="1590">
      <c r="A1590" s="4" t="s">
        <v>2894</v>
      </c>
      <c r="B1590" s="13" t="s">
        <v>43</v>
      </c>
      <c r="D1590" s="3"/>
      <c r="E1590" s="3"/>
      <c r="F1590" s="3"/>
      <c r="G1590" s="3"/>
      <c r="H1590" s="3"/>
      <c r="I1590" s="3"/>
    </row>
    <row r="1591">
      <c r="A1591" s="4" t="s">
        <v>2895</v>
      </c>
      <c r="B1591" s="13" t="s">
        <v>43</v>
      </c>
      <c r="D1591" s="3"/>
      <c r="E1591" s="3"/>
      <c r="F1591" s="3"/>
      <c r="G1591" s="3"/>
      <c r="H1591" s="3"/>
      <c r="I1591" s="3"/>
    </row>
    <row r="1592">
      <c r="A1592" s="4" t="s">
        <v>2896</v>
      </c>
      <c r="B1592" s="13" t="s">
        <v>43</v>
      </c>
      <c r="D1592" s="3"/>
      <c r="E1592" s="3"/>
      <c r="F1592" s="3"/>
      <c r="G1592" s="3"/>
      <c r="H1592" s="3"/>
      <c r="I1592" s="3"/>
    </row>
    <row r="1593">
      <c r="A1593" s="4" t="s">
        <v>2897</v>
      </c>
      <c r="B1593" s="13" t="s">
        <v>43</v>
      </c>
      <c r="D1593" s="3"/>
      <c r="E1593" s="3"/>
      <c r="F1593" s="3"/>
      <c r="G1593" s="3"/>
      <c r="H1593" s="3"/>
      <c r="I1593" s="3"/>
    </row>
    <row r="1594">
      <c r="A1594" s="4" t="s">
        <v>2898</v>
      </c>
      <c r="B1594" s="13" t="s">
        <v>43</v>
      </c>
      <c r="D1594" s="3"/>
      <c r="E1594" s="3"/>
      <c r="F1594" s="3"/>
      <c r="G1594" s="3"/>
      <c r="H1594" s="3"/>
      <c r="I1594" s="3"/>
    </row>
    <row r="1595">
      <c r="A1595" s="4" t="s">
        <v>2899</v>
      </c>
      <c r="B1595" s="13" t="s">
        <v>43</v>
      </c>
      <c r="D1595" s="3"/>
      <c r="E1595" s="3"/>
      <c r="F1595" s="3"/>
      <c r="G1595" s="3"/>
      <c r="H1595" s="3"/>
      <c r="I1595" s="3"/>
    </row>
    <row r="1596">
      <c r="A1596" s="4" t="s">
        <v>2900</v>
      </c>
      <c r="B1596" s="13" t="s">
        <v>43</v>
      </c>
      <c r="D1596" s="3"/>
      <c r="E1596" s="3"/>
      <c r="F1596" s="3"/>
      <c r="G1596" s="3"/>
      <c r="H1596" s="3"/>
      <c r="I1596" s="3"/>
    </row>
    <row r="1597">
      <c r="A1597" s="4" t="s">
        <v>2901</v>
      </c>
      <c r="B1597" s="13" t="s">
        <v>43</v>
      </c>
      <c r="D1597" s="3"/>
      <c r="E1597" s="3"/>
      <c r="F1597" s="3"/>
      <c r="G1597" s="3"/>
      <c r="H1597" s="3"/>
      <c r="I1597" s="3"/>
      <c r="J1597" s="4" t="s">
        <v>1757</v>
      </c>
    </row>
    <row r="1598">
      <c r="A1598" s="4" t="s">
        <v>2902</v>
      </c>
      <c r="B1598" s="13" t="s">
        <v>43</v>
      </c>
      <c r="D1598" s="3"/>
      <c r="E1598" s="3"/>
      <c r="F1598" s="3"/>
      <c r="G1598" s="3"/>
      <c r="H1598" s="3"/>
      <c r="I1598" s="3"/>
      <c r="J1598" s="4" t="s">
        <v>1757</v>
      </c>
    </row>
    <row r="1599">
      <c r="A1599" s="4" t="s">
        <v>2903</v>
      </c>
      <c r="B1599" s="13" t="s">
        <v>43</v>
      </c>
      <c r="D1599" s="3"/>
      <c r="E1599" s="3"/>
      <c r="F1599" s="3"/>
      <c r="G1599" s="3"/>
      <c r="H1599" s="3"/>
      <c r="I1599" s="3"/>
      <c r="J1599" s="4" t="s">
        <v>1757</v>
      </c>
    </row>
    <row r="1600">
      <c r="A1600" s="4" t="s">
        <v>2904</v>
      </c>
      <c r="B1600" s="13" t="s">
        <v>43</v>
      </c>
      <c r="D1600" s="3"/>
      <c r="E1600" s="3"/>
      <c r="F1600" s="3"/>
      <c r="G1600" s="3"/>
      <c r="H1600" s="3"/>
      <c r="I1600" s="3"/>
      <c r="J1600" s="4" t="s">
        <v>1757</v>
      </c>
    </row>
    <row r="1601">
      <c r="A1601" s="4" t="s">
        <v>2905</v>
      </c>
      <c r="B1601" s="13" t="s">
        <v>43</v>
      </c>
      <c r="D1601" s="3"/>
      <c r="E1601" s="3"/>
      <c r="F1601" s="3"/>
      <c r="G1601" s="3"/>
      <c r="H1601" s="3"/>
      <c r="I1601" s="3"/>
      <c r="J1601" s="4" t="s">
        <v>1757</v>
      </c>
    </row>
    <row r="1602">
      <c r="A1602" s="4" t="s">
        <v>2906</v>
      </c>
      <c r="B1602" s="13" t="s">
        <v>43</v>
      </c>
      <c r="D1602" s="3"/>
      <c r="E1602" s="3"/>
      <c r="F1602" s="3"/>
      <c r="G1602" s="3"/>
      <c r="H1602" s="3"/>
      <c r="I1602" s="3"/>
      <c r="J1602" s="4" t="s">
        <v>1757</v>
      </c>
    </row>
    <row r="1603">
      <c r="A1603" s="4" t="s">
        <v>2907</v>
      </c>
      <c r="B1603" s="13" t="s">
        <v>43</v>
      </c>
      <c r="D1603" s="3"/>
      <c r="E1603" s="3"/>
      <c r="F1603" s="3"/>
      <c r="G1603" s="3"/>
      <c r="H1603" s="3"/>
      <c r="I1603" s="3"/>
      <c r="J1603" s="4" t="s">
        <v>1757</v>
      </c>
    </row>
    <row r="1604">
      <c r="A1604" s="4" t="s">
        <v>2908</v>
      </c>
      <c r="B1604" s="13" t="s">
        <v>43</v>
      </c>
      <c r="D1604" s="3"/>
      <c r="E1604" s="3"/>
      <c r="F1604" s="3"/>
      <c r="G1604" s="3"/>
      <c r="H1604" s="3"/>
      <c r="I1604" s="3"/>
      <c r="J1604" s="4" t="s">
        <v>1757</v>
      </c>
    </row>
    <row r="1605">
      <c r="A1605" s="4" t="s">
        <v>2909</v>
      </c>
      <c r="B1605" s="13" t="s">
        <v>43</v>
      </c>
      <c r="D1605" s="3"/>
      <c r="E1605" s="3"/>
      <c r="F1605" s="3"/>
      <c r="G1605" s="3"/>
      <c r="H1605" s="3"/>
      <c r="I1605" s="3"/>
      <c r="J1605" s="4" t="s">
        <v>1757</v>
      </c>
    </row>
    <row r="1606">
      <c r="A1606" s="4" t="s">
        <v>2910</v>
      </c>
      <c r="B1606" s="13" t="s">
        <v>43</v>
      </c>
      <c r="D1606" s="3"/>
      <c r="E1606" s="3"/>
      <c r="F1606" s="3"/>
      <c r="G1606" s="3"/>
      <c r="H1606" s="3"/>
      <c r="I1606" s="3"/>
      <c r="J1606" s="4" t="s">
        <v>1757</v>
      </c>
    </row>
    <row r="1607">
      <c r="A1607" s="4" t="s">
        <v>2911</v>
      </c>
      <c r="B1607" s="13" t="s">
        <v>43</v>
      </c>
      <c r="D1607" s="3"/>
      <c r="E1607" s="3"/>
      <c r="F1607" s="3"/>
      <c r="G1607" s="3"/>
      <c r="H1607" s="3"/>
      <c r="I1607" s="3"/>
      <c r="J1607" s="4" t="s">
        <v>1757</v>
      </c>
    </row>
    <row r="1608">
      <c r="A1608" s="4" t="s">
        <v>2912</v>
      </c>
      <c r="B1608" s="13" t="s">
        <v>43</v>
      </c>
      <c r="D1608" s="3"/>
      <c r="E1608" s="3"/>
      <c r="F1608" s="3"/>
      <c r="G1608" s="3"/>
      <c r="H1608" s="3"/>
      <c r="I1608" s="3"/>
      <c r="J1608" s="4" t="s">
        <v>1757</v>
      </c>
    </row>
    <row r="1609">
      <c r="A1609" s="4" t="s">
        <v>2913</v>
      </c>
      <c r="B1609" s="13" t="s">
        <v>43</v>
      </c>
      <c r="D1609" s="3"/>
      <c r="E1609" s="3"/>
      <c r="F1609" s="3"/>
      <c r="G1609" s="3"/>
      <c r="H1609" s="3"/>
      <c r="I1609" s="3"/>
      <c r="J1609" s="4" t="s">
        <v>1757</v>
      </c>
    </row>
    <row r="1610">
      <c r="A1610" s="4" t="s">
        <v>2914</v>
      </c>
      <c r="B1610" s="13" t="s">
        <v>43</v>
      </c>
      <c r="D1610" s="3"/>
      <c r="E1610" s="3"/>
      <c r="F1610" s="3"/>
      <c r="G1610" s="3"/>
      <c r="H1610" s="3"/>
      <c r="I1610" s="3"/>
      <c r="J1610" s="4" t="s">
        <v>1757</v>
      </c>
    </row>
    <row r="1611">
      <c r="A1611" s="4" t="s">
        <v>2915</v>
      </c>
      <c r="B1611" s="13" t="s">
        <v>43</v>
      </c>
      <c r="D1611" s="3"/>
      <c r="E1611" s="3"/>
      <c r="F1611" s="3"/>
      <c r="G1611" s="3"/>
      <c r="H1611" s="3"/>
      <c r="I1611" s="3"/>
      <c r="J1611" s="4" t="s">
        <v>1757</v>
      </c>
    </row>
    <row r="1612">
      <c r="A1612" s="4" t="s">
        <v>2916</v>
      </c>
      <c r="B1612" s="13" t="s">
        <v>43</v>
      </c>
      <c r="D1612" s="3"/>
      <c r="E1612" s="3"/>
      <c r="F1612" s="3"/>
      <c r="G1612" s="3"/>
      <c r="H1612" s="3"/>
      <c r="I1612" s="3"/>
      <c r="J1612" s="4" t="s">
        <v>1757</v>
      </c>
    </row>
    <row r="1613">
      <c r="A1613" s="4" t="s">
        <v>2917</v>
      </c>
      <c r="B1613" s="13" t="s">
        <v>43</v>
      </c>
      <c r="D1613" s="3"/>
      <c r="E1613" s="3"/>
      <c r="F1613" s="3"/>
      <c r="G1613" s="3"/>
      <c r="H1613" s="3"/>
      <c r="I1613" s="3"/>
      <c r="J1613" s="4" t="s">
        <v>1757</v>
      </c>
    </row>
    <row r="1614">
      <c r="A1614" s="4" t="s">
        <v>2918</v>
      </c>
      <c r="B1614" s="13" t="s">
        <v>43</v>
      </c>
      <c r="D1614" s="3"/>
      <c r="E1614" s="3"/>
      <c r="F1614" s="3"/>
      <c r="G1614" s="3"/>
      <c r="H1614" s="3"/>
      <c r="I1614" s="3"/>
      <c r="J1614" s="4" t="s">
        <v>1757</v>
      </c>
    </row>
    <row r="1615">
      <c r="A1615" s="4" t="s">
        <v>2919</v>
      </c>
      <c r="B1615" s="13" t="s">
        <v>43</v>
      </c>
      <c r="D1615" s="3"/>
      <c r="E1615" s="3"/>
      <c r="F1615" s="3"/>
      <c r="G1615" s="3"/>
      <c r="H1615" s="3"/>
      <c r="I1615" s="3"/>
      <c r="J1615" s="4" t="s">
        <v>1757</v>
      </c>
    </row>
    <row r="1616">
      <c r="A1616" s="4" t="s">
        <v>2920</v>
      </c>
      <c r="B1616" s="13" t="s">
        <v>43</v>
      </c>
      <c r="D1616" s="3"/>
      <c r="E1616" s="3"/>
      <c r="F1616" s="3"/>
      <c r="G1616" s="3"/>
      <c r="H1616" s="3"/>
      <c r="I1616" s="3"/>
      <c r="J1616" s="4" t="s">
        <v>1757</v>
      </c>
    </row>
    <row r="1617">
      <c r="A1617" s="4" t="s">
        <v>2921</v>
      </c>
      <c r="B1617" s="13" t="s">
        <v>43</v>
      </c>
      <c r="D1617" s="3"/>
      <c r="E1617" s="3"/>
      <c r="F1617" s="3"/>
      <c r="G1617" s="3"/>
      <c r="H1617" s="3"/>
      <c r="I1617" s="3"/>
      <c r="J1617" s="4" t="s">
        <v>1757</v>
      </c>
    </row>
    <row r="1618">
      <c r="A1618" s="4" t="s">
        <v>2922</v>
      </c>
      <c r="B1618" s="13" t="s">
        <v>43</v>
      </c>
      <c r="D1618" s="3"/>
      <c r="E1618" s="3"/>
      <c r="F1618" s="3"/>
      <c r="G1618" s="3"/>
      <c r="H1618" s="3"/>
      <c r="I1618" s="3"/>
      <c r="J1618" s="4" t="s">
        <v>1757</v>
      </c>
    </row>
    <row r="1619">
      <c r="A1619" s="4" t="s">
        <v>2923</v>
      </c>
      <c r="B1619" s="13" t="s">
        <v>43</v>
      </c>
      <c r="D1619" s="3"/>
      <c r="E1619" s="3"/>
      <c r="F1619" s="3"/>
      <c r="G1619" s="3"/>
      <c r="H1619" s="3"/>
      <c r="I1619" s="3"/>
      <c r="J1619" s="4" t="s">
        <v>1757</v>
      </c>
    </row>
    <row r="1620">
      <c r="A1620" s="4" t="s">
        <v>2924</v>
      </c>
      <c r="B1620" s="13" t="s">
        <v>43</v>
      </c>
      <c r="D1620" s="3"/>
      <c r="E1620" s="3"/>
      <c r="F1620" s="3"/>
      <c r="G1620" s="3"/>
      <c r="H1620" s="3"/>
      <c r="I1620" s="3"/>
      <c r="J1620" s="4" t="s">
        <v>1757</v>
      </c>
    </row>
    <row r="1621">
      <c r="A1621" s="4" t="s">
        <v>2925</v>
      </c>
      <c r="B1621" s="13" t="s">
        <v>43</v>
      </c>
      <c r="D1621" s="3"/>
      <c r="E1621" s="3"/>
      <c r="F1621" s="3"/>
      <c r="G1621" s="3"/>
      <c r="H1621" s="3"/>
      <c r="I1621" s="3"/>
      <c r="J1621" s="4" t="s">
        <v>1757</v>
      </c>
    </row>
    <row r="1622">
      <c r="A1622" s="4" t="s">
        <v>2926</v>
      </c>
      <c r="B1622" s="13" t="s">
        <v>43</v>
      </c>
      <c r="D1622" s="3"/>
      <c r="E1622" s="3"/>
      <c r="F1622" s="3"/>
      <c r="G1622" s="3"/>
      <c r="H1622" s="3"/>
      <c r="I1622" s="3"/>
      <c r="J1622" s="4" t="s">
        <v>1757</v>
      </c>
    </row>
    <row r="1623">
      <c r="A1623" s="4" t="s">
        <v>2927</v>
      </c>
      <c r="B1623" s="13" t="s">
        <v>43</v>
      </c>
      <c r="D1623" s="3"/>
      <c r="E1623" s="3"/>
      <c r="F1623" s="3"/>
      <c r="G1623" s="3"/>
      <c r="H1623" s="3"/>
      <c r="I1623" s="3"/>
      <c r="J1623" s="4" t="s">
        <v>1757</v>
      </c>
    </row>
    <row r="1624">
      <c r="A1624" s="4" t="s">
        <v>2928</v>
      </c>
      <c r="B1624" s="13" t="s">
        <v>43</v>
      </c>
      <c r="D1624" s="3"/>
      <c r="E1624" s="3"/>
      <c r="F1624" s="3"/>
      <c r="G1624" s="3"/>
      <c r="H1624" s="3"/>
      <c r="I1624" s="3"/>
      <c r="J1624" s="4" t="s">
        <v>1757</v>
      </c>
    </row>
    <row r="1625">
      <c r="A1625" s="4" t="s">
        <v>2929</v>
      </c>
      <c r="B1625" s="13" t="s">
        <v>43</v>
      </c>
      <c r="D1625" s="3"/>
      <c r="E1625" s="3"/>
      <c r="F1625" s="3"/>
      <c r="G1625" s="3"/>
      <c r="H1625" s="3"/>
      <c r="I1625" s="3"/>
      <c r="J1625" s="4" t="s">
        <v>1757</v>
      </c>
    </row>
    <row r="1626">
      <c r="A1626" s="4" t="s">
        <v>2930</v>
      </c>
      <c r="B1626" s="13" t="s">
        <v>43</v>
      </c>
      <c r="D1626" s="3"/>
      <c r="E1626" s="3"/>
      <c r="F1626" s="3"/>
      <c r="G1626" s="3"/>
      <c r="H1626" s="3"/>
      <c r="I1626" s="3"/>
      <c r="J1626" s="4" t="s">
        <v>1757</v>
      </c>
    </row>
    <row r="1627">
      <c r="A1627" s="4" t="s">
        <v>2931</v>
      </c>
      <c r="B1627" s="13" t="s">
        <v>43</v>
      </c>
      <c r="D1627" s="3"/>
      <c r="E1627" s="3"/>
      <c r="F1627" s="3"/>
      <c r="G1627" s="3"/>
      <c r="H1627" s="3"/>
      <c r="I1627" s="3"/>
      <c r="J1627" s="4" t="s">
        <v>1757</v>
      </c>
    </row>
    <row r="1628">
      <c r="A1628" s="4" t="s">
        <v>2932</v>
      </c>
      <c r="B1628" s="13" t="s">
        <v>43</v>
      </c>
      <c r="D1628" s="3"/>
      <c r="E1628" s="3"/>
      <c r="F1628" s="3"/>
      <c r="G1628" s="3"/>
      <c r="H1628" s="3"/>
      <c r="I1628" s="3"/>
      <c r="J1628" s="4" t="s">
        <v>1757</v>
      </c>
    </row>
    <row r="1629">
      <c r="A1629" s="4" t="s">
        <v>2933</v>
      </c>
      <c r="B1629" s="13" t="s">
        <v>43</v>
      </c>
      <c r="D1629" s="3"/>
      <c r="E1629" s="3"/>
      <c r="F1629" s="3"/>
      <c r="G1629" s="3"/>
      <c r="H1629" s="3"/>
      <c r="I1629" s="3"/>
      <c r="J1629" s="4" t="s">
        <v>1757</v>
      </c>
    </row>
    <row r="1630">
      <c r="A1630" s="4" t="s">
        <v>2934</v>
      </c>
      <c r="B1630" s="13" t="s">
        <v>43</v>
      </c>
      <c r="D1630" s="3"/>
      <c r="E1630" s="3"/>
      <c r="F1630" s="3"/>
      <c r="G1630" s="3"/>
      <c r="H1630" s="3"/>
      <c r="I1630" s="3"/>
      <c r="J1630" s="4" t="s">
        <v>1757</v>
      </c>
    </row>
    <row r="1631">
      <c r="A1631" s="4" t="s">
        <v>2935</v>
      </c>
      <c r="B1631" s="13" t="s">
        <v>43</v>
      </c>
      <c r="D1631" s="3"/>
      <c r="E1631" s="3"/>
      <c r="F1631" s="3"/>
      <c r="G1631" s="3"/>
      <c r="H1631" s="3"/>
      <c r="I1631" s="3"/>
      <c r="J1631" s="4" t="s">
        <v>1757</v>
      </c>
    </row>
    <row r="1632">
      <c r="A1632" s="4" t="s">
        <v>2936</v>
      </c>
      <c r="B1632" s="19" t="s">
        <v>48</v>
      </c>
      <c r="C1632" s="4">
        <v>1.0</v>
      </c>
      <c r="D1632" s="3"/>
      <c r="E1632" s="3"/>
      <c r="F1632" s="3"/>
      <c r="G1632" s="3"/>
      <c r="H1632" s="4">
        <v>13.0</v>
      </c>
      <c r="I1632" s="3"/>
      <c r="J1632" s="4" t="s">
        <v>1757</v>
      </c>
      <c r="K1632" s="4" t="s">
        <v>1757</v>
      </c>
    </row>
    <row r="1633">
      <c r="A1633" s="4" t="s">
        <v>2937</v>
      </c>
      <c r="B1633" s="19" t="s">
        <v>48</v>
      </c>
      <c r="C1633" s="4">
        <v>1.0</v>
      </c>
      <c r="D1633" s="3"/>
      <c r="E1633" s="3"/>
      <c r="F1633" s="3"/>
      <c r="G1633" s="3"/>
      <c r="H1633" s="4">
        <v>13.0</v>
      </c>
      <c r="I1633" s="3"/>
      <c r="J1633" s="4" t="s">
        <v>1757</v>
      </c>
      <c r="K1633" s="4" t="s">
        <v>1757</v>
      </c>
    </row>
    <row r="1634">
      <c r="A1634" s="4" t="s">
        <v>2938</v>
      </c>
      <c r="B1634" s="19" t="s">
        <v>48</v>
      </c>
      <c r="C1634" s="4">
        <v>1.0</v>
      </c>
      <c r="D1634" s="3"/>
      <c r="E1634" s="3"/>
      <c r="F1634" s="3"/>
      <c r="G1634" s="3"/>
      <c r="H1634" s="4">
        <v>13.0</v>
      </c>
      <c r="I1634" s="3"/>
      <c r="J1634" s="4" t="s">
        <v>1757</v>
      </c>
      <c r="K1634" s="4" t="s">
        <v>1757</v>
      </c>
    </row>
    <row r="1635">
      <c r="A1635" s="4" t="s">
        <v>2939</v>
      </c>
      <c r="B1635" s="19" t="s">
        <v>48</v>
      </c>
      <c r="C1635" s="4">
        <v>1.0</v>
      </c>
      <c r="D1635" s="3"/>
      <c r="E1635" s="3"/>
      <c r="F1635" s="3"/>
      <c r="G1635" s="3"/>
      <c r="H1635" s="4">
        <v>13.0</v>
      </c>
      <c r="I1635" s="3"/>
      <c r="J1635" s="4" t="s">
        <v>1757</v>
      </c>
      <c r="K1635" s="4" t="s">
        <v>1757</v>
      </c>
    </row>
    <row r="1636">
      <c r="A1636" s="4" t="s">
        <v>2940</v>
      </c>
      <c r="B1636" s="13" t="s">
        <v>43</v>
      </c>
      <c r="D1636" s="3"/>
      <c r="E1636" s="3"/>
      <c r="F1636" s="3"/>
      <c r="G1636" s="3"/>
      <c r="H1636" s="3"/>
      <c r="I1636" s="3"/>
      <c r="J1636" s="4" t="s">
        <v>1757</v>
      </c>
    </row>
    <row r="1637">
      <c r="A1637" s="4" t="s">
        <v>2941</v>
      </c>
      <c r="B1637" s="19" t="s">
        <v>48</v>
      </c>
      <c r="C1637" s="4">
        <v>1.0</v>
      </c>
      <c r="D1637" s="3"/>
      <c r="E1637" s="3"/>
      <c r="F1637" s="3"/>
      <c r="G1637" s="3"/>
      <c r="H1637" s="4">
        <v>13.0</v>
      </c>
      <c r="I1637" s="3"/>
      <c r="J1637" s="4" t="s">
        <v>1757</v>
      </c>
    </row>
    <row r="1638">
      <c r="A1638" s="4" t="s">
        <v>2942</v>
      </c>
      <c r="B1638" s="19" t="s">
        <v>48</v>
      </c>
      <c r="C1638" s="4">
        <v>1.0</v>
      </c>
      <c r="D1638" s="3"/>
      <c r="E1638" s="3"/>
      <c r="F1638" s="3"/>
      <c r="G1638" s="3"/>
      <c r="H1638" s="4">
        <v>13.0</v>
      </c>
      <c r="I1638" s="3"/>
      <c r="J1638" s="4" t="s">
        <v>1757</v>
      </c>
    </row>
    <row r="1639">
      <c r="A1639" s="4" t="s">
        <v>2943</v>
      </c>
      <c r="B1639" s="19" t="s">
        <v>48</v>
      </c>
      <c r="C1639" s="4">
        <v>1.0</v>
      </c>
      <c r="D1639" s="3"/>
      <c r="E1639" s="3"/>
      <c r="F1639" s="3"/>
      <c r="G1639" s="3"/>
      <c r="H1639" s="4">
        <v>13.0</v>
      </c>
      <c r="I1639" s="3"/>
      <c r="J1639" s="4" t="s">
        <v>1757</v>
      </c>
    </row>
    <row r="1640">
      <c r="A1640" s="4" t="s">
        <v>2944</v>
      </c>
      <c r="B1640" s="19" t="s">
        <v>48</v>
      </c>
      <c r="C1640" s="4">
        <v>1.0</v>
      </c>
      <c r="D1640" s="3"/>
      <c r="E1640" s="3"/>
      <c r="F1640" s="3"/>
      <c r="G1640" s="3"/>
      <c r="H1640" s="4">
        <v>13.0</v>
      </c>
      <c r="I1640" s="3"/>
      <c r="J1640" s="4" t="s">
        <v>1757</v>
      </c>
    </row>
    <row r="1641">
      <c r="A1641" s="4" t="s">
        <v>2945</v>
      </c>
      <c r="B1641" s="19" t="s">
        <v>48</v>
      </c>
      <c r="C1641" s="4">
        <v>1.0</v>
      </c>
      <c r="D1641" s="3"/>
      <c r="E1641" s="3"/>
      <c r="F1641" s="3"/>
      <c r="G1641" s="3"/>
      <c r="H1641" s="4">
        <v>13.0</v>
      </c>
      <c r="I1641" s="3"/>
      <c r="J1641" s="4" t="s">
        <v>1757</v>
      </c>
    </row>
    <row r="1642">
      <c r="A1642" s="4" t="s">
        <v>2946</v>
      </c>
      <c r="B1642" s="19" t="s">
        <v>48</v>
      </c>
      <c r="C1642" s="4">
        <v>1.0</v>
      </c>
      <c r="D1642" s="3"/>
      <c r="E1642" s="3"/>
      <c r="F1642" s="3"/>
      <c r="G1642" s="3"/>
      <c r="H1642" s="4">
        <v>13.0</v>
      </c>
      <c r="I1642" s="3"/>
      <c r="J1642" s="4" t="s">
        <v>1757</v>
      </c>
    </row>
    <row r="1643">
      <c r="A1643" s="4" t="s">
        <v>2947</v>
      </c>
      <c r="B1643" s="19" t="s">
        <v>48</v>
      </c>
      <c r="C1643" s="4">
        <v>1.0</v>
      </c>
      <c r="D1643" s="3"/>
      <c r="E1643" s="3"/>
      <c r="F1643" s="3"/>
      <c r="G1643" s="3"/>
      <c r="H1643" s="4">
        <v>13.0</v>
      </c>
      <c r="I1643" s="3"/>
      <c r="J1643" s="4" t="s">
        <v>1757</v>
      </c>
    </row>
    <row r="1644">
      <c r="A1644" s="4" t="s">
        <v>2948</v>
      </c>
      <c r="B1644" s="13" t="s">
        <v>43</v>
      </c>
      <c r="D1644" s="3"/>
      <c r="E1644" s="3"/>
      <c r="F1644" s="3"/>
      <c r="G1644" s="3"/>
      <c r="H1644" s="3"/>
      <c r="I1644" s="3"/>
      <c r="J1644" s="4" t="s">
        <v>1757</v>
      </c>
    </row>
    <row r="1645">
      <c r="A1645" s="4" t="s">
        <v>2949</v>
      </c>
      <c r="B1645" s="13" t="s">
        <v>43</v>
      </c>
      <c r="D1645" s="3"/>
      <c r="E1645" s="3"/>
      <c r="F1645" s="3"/>
      <c r="G1645" s="3"/>
      <c r="H1645" s="3"/>
      <c r="I1645" s="3"/>
      <c r="J1645" s="4" t="s">
        <v>1757</v>
      </c>
    </row>
    <row r="1646">
      <c r="A1646" s="4" t="s">
        <v>2950</v>
      </c>
      <c r="B1646" s="13" t="s">
        <v>48</v>
      </c>
      <c r="C1646" s="4">
        <v>1.0</v>
      </c>
      <c r="D1646" s="4">
        <v>1.0</v>
      </c>
      <c r="E1646" s="3"/>
      <c r="F1646" s="3"/>
      <c r="G1646" s="3"/>
      <c r="H1646" s="3"/>
      <c r="I1646" s="3"/>
      <c r="J1646" s="4" t="s">
        <v>1757</v>
      </c>
    </row>
    <row r="1647">
      <c r="A1647" s="4" t="s">
        <v>2951</v>
      </c>
      <c r="B1647" s="13" t="s">
        <v>48</v>
      </c>
      <c r="C1647" s="4">
        <v>1.0</v>
      </c>
      <c r="D1647" s="4">
        <v>1.0</v>
      </c>
      <c r="E1647" s="3"/>
      <c r="F1647" s="3"/>
      <c r="G1647" s="3"/>
      <c r="H1647" s="3"/>
      <c r="I1647" s="3"/>
      <c r="J1647" s="4" t="s">
        <v>1757</v>
      </c>
    </row>
    <row r="1648">
      <c r="A1648" s="4" t="s">
        <v>2952</v>
      </c>
      <c r="B1648" s="13" t="s">
        <v>43</v>
      </c>
      <c r="D1648" s="3"/>
      <c r="E1648" s="3"/>
      <c r="F1648" s="3"/>
      <c r="G1648" s="3"/>
      <c r="H1648" s="3"/>
      <c r="I1648" s="3"/>
      <c r="J1648" s="4" t="s">
        <v>1757</v>
      </c>
    </row>
    <row r="1649">
      <c r="A1649" s="4" t="s">
        <v>2953</v>
      </c>
      <c r="B1649" s="13" t="s">
        <v>43</v>
      </c>
      <c r="D1649" s="3"/>
      <c r="E1649" s="3"/>
      <c r="F1649" s="3"/>
      <c r="G1649" s="3"/>
      <c r="H1649" s="3"/>
      <c r="I1649" s="3"/>
      <c r="J1649" s="4" t="s">
        <v>1757</v>
      </c>
    </row>
    <row r="1650">
      <c r="A1650" s="4" t="s">
        <v>2954</v>
      </c>
      <c r="B1650" s="13" t="s">
        <v>48</v>
      </c>
      <c r="C1650" s="4">
        <v>1.0</v>
      </c>
      <c r="D1650" s="4">
        <v>1.0</v>
      </c>
      <c r="E1650" s="3"/>
      <c r="F1650" s="3"/>
      <c r="G1650" s="3"/>
      <c r="H1650" s="3"/>
      <c r="I1650" s="3"/>
      <c r="J1650" s="4" t="s">
        <v>1757</v>
      </c>
    </row>
    <row r="1651">
      <c r="A1651" s="4" t="s">
        <v>2955</v>
      </c>
      <c r="B1651" s="13" t="s">
        <v>48</v>
      </c>
      <c r="C1651" s="4">
        <v>1.0</v>
      </c>
      <c r="D1651" s="4">
        <v>1.0</v>
      </c>
      <c r="E1651" s="3"/>
      <c r="F1651" s="3"/>
      <c r="G1651" s="3"/>
      <c r="H1651" s="3"/>
      <c r="I1651" s="3"/>
      <c r="J1651" s="4" t="s">
        <v>1757</v>
      </c>
    </row>
    <row r="1652">
      <c r="A1652" s="4" t="s">
        <v>2956</v>
      </c>
      <c r="B1652" s="13" t="s">
        <v>48</v>
      </c>
      <c r="C1652" s="4">
        <v>1.0</v>
      </c>
      <c r="D1652" s="4">
        <v>1.0</v>
      </c>
      <c r="E1652" s="3"/>
      <c r="F1652" s="3"/>
      <c r="G1652" s="3"/>
      <c r="H1652" s="3"/>
      <c r="I1652" s="3"/>
    </row>
    <row r="1653">
      <c r="A1653" s="4" t="s">
        <v>2957</v>
      </c>
      <c r="B1653" s="13" t="s">
        <v>48</v>
      </c>
      <c r="C1653" s="4">
        <v>1.0</v>
      </c>
      <c r="D1653" s="4">
        <v>1.0</v>
      </c>
      <c r="E1653" s="3"/>
      <c r="F1653" s="3"/>
      <c r="G1653" s="3"/>
      <c r="H1653" s="3"/>
      <c r="I1653" s="3"/>
    </row>
    <row r="1654">
      <c r="A1654" s="4" t="s">
        <v>2958</v>
      </c>
      <c r="B1654" s="13" t="s">
        <v>48</v>
      </c>
      <c r="C1654" s="4">
        <v>1.0</v>
      </c>
      <c r="D1654" s="4">
        <v>1.0</v>
      </c>
      <c r="E1654" s="3"/>
      <c r="F1654" s="3"/>
      <c r="G1654" s="3"/>
      <c r="H1654" s="3"/>
      <c r="I1654" s="3"/>
    </row>
    <row r="1655">
      <c r="A1655" s="4" t="s">
        <v>2959</v>
      </c>
      <c r="B1655" s="13" t="s">
        <v>48</v>
      </c>
      <c r="C1655" s="4">
        <v>1.0</v>
      </c>
      <c r="D1655" s="4">
        <v>1.0</v>
      </c>
      <c r="E1655" s="3"/>
      <c r="F1655" s="3"/>
      <c r="G1655" s="3"/>
      <c r="H1655" s="3"/>
      <c r="I1655" s="3"/>
    </row>
    <row r="1656">
      <c r="A1656" s="4" t="s">
        <v>2960</v>
      </c>
      <c r="B1656" s="13" t="s">
        <v>48</v>
      </c>
      <c r="C1656" s="4">
        <v>1.0</v>
      </c>
      <c r="D1656" s="4">
        <v>1.0</v>
      </c>
      <c r="E1656" s="3"/>
      <c r="F1656" s="3"/>
      <c r="G1656" s="3"/>
      <c r="H1656" s="3"/>
      <c r="I1656" s="3"/>
    </row>
    <row r="1657">
      <c r="A1657" s="4" t="s">
        <v>2961</v>
      </c>
      <c r="B1657" s="13" t="s">
        <v>43</v>
      </c>
      <c r="D1657" s="3"/>
      <c r="E1657" s="3"/>
      <c r="F1657" s="3"/>
      <c r="G1657" s="3"/>
      <c r="H1657" s="3"/>
      <c r="I1657" s="3"/>
    </row>
    <row r="1658">
      <c r="A1658" s="4" t="s">
        <v>2962</v>
      </c>
      <c r="B1658" s="13" t="s">
        <v>43</v>
      </c>
      <c r="D1658" s="3"/>
      <c r="E1658" s="3"/>
      <c r="F1658" s="3"/>
      <c r="G1658" s="3"/>
      <c r="H1658" s="3"/>
      <c r="I1658" s="3"/>
    </row>
    <row r="1659">
      <c r="A1659" s="4" t="s">
        <v>2963</v>
      </c>
      <c r="B1659" s="13" t="s">
        <v>43</v>
      </c>
      <c r="D1659" s="3"/>
      <c r="E1659" s="3"/>
      <c r="F1659" s="3"/>
      <c r="G1659" s="3"/>
      <c r="H1659" s="3"/>
      <c r="I1659" s="3"/>
    </row>
    <row r="1660">
      <c r="A1660" s="4" t="s">
        <v>2964</v>
      </c>
      <c r="B1660" s="13" t="s">
        <v>43</v>
      </c>
      <c r="D1660" s="3"/>
      <c r="E1660" s="3"/>
      <c r="F1660" s="3"/>
      <c r="G1660" s="3"/>
      <c r="H1660" s="3"/>
      <c r="I1660" s="3"/>
    </row>
    <row r="1661">
      <c r="A1661" s="4" t="s">
        <v>2965</v>
      </c>
      <c r="B1661" s="13" t="s">
        <v>43</v>
      </c>
      <c r="D1661" s="3"/>
      <c r="E1661" s="3"/>
      <c r="F1661" s="3"/>
      <c r="G1661" s="3"/>
      <c r="H1661" s="3"/>
      <c r="I1661" s="3"/>
    </row>
    <row r="1662">
      <c r="A1662" s="4" t="s">
        <v>2966</v>
      </c>
      <c r="B1662" s="13" t="s">
        <v>43</v>
      </c>
      <c r="D1662" s="3"/>
      <c r="E1662" s="3"/>
      <c r="F1662" s="3"/>
      <c r="G1662" s="3"/>
      <c r="H1662" s="3"/>
      <c r="I1662" s="3"/>
    </row>
    <row r="1663">
      <c r="A1663" s="4" t="s">
        <v>2967</v>
      </c>
      <c r="B1663" s="13" t="s">
        <v>43</v>
      </c>
      <c r="D1663" s="3"/>
      <c r="E1663" s="3"/>
      <c r="F1663" s="3"/>
      <c r="G1663" s="3"/>
      <c r="H1663" s="3"/>
      <c r="I1663" s="3"/>
    </row>
    <row r="1664">
      <c r="A1664" s="4" t="s">
        <v>2968</v>
      </c>
      <c r="B1664" s="13" t="s">
        <v>43</v>
      </c>
      <c r="D1664" s="3"/>
      <c r="E1664" s="3"/>
      <c r="F1664" s="3"/>
      <c r="G1664" s="3"/>
      <c r="H1664" s="3"/>
      <c r="I1664" s="3"/>
    </row>
    <row r="1665">
      <c r="A1665" s="4" t="s">
        <v>2969</v>
      </c>
      <c r="B1665" s="13" t="s">
        <v>43</v>
      </c>
      <c r="D1665" s="3"/>
      <c r="E1665" s="3"/>
      <c r="F1665" s="3"/>
      <c r="G1665" s="3"/>
      <c r="H1665" s="3"/>
      <c r="I1665" s="3"/>
    </row>
    <row r="1666">
      <c r="A1666" s="4" t="s">
        <v>2970</v>
      </c>
      <c r="B1666" s="13" t="s">
        <v>43</v>
      </c>
      <c r="D1666" s="3"/>
      <c r="E1666" s="3"/>
      <c r="F1666" s="3"/>
      <c r="G1666" s="3"/>
      <c r="H1666" s="3"/>
      <c r="I1666" s="3"/>
    </row>
    <row r="1667">
      <c r="A1667" s="4" t="s">
        <v>2971</v>
      </c>
      <c r="B1667" s="13" t="s">
        <v>43</v>
      </c>
      <c r="D1667" s="3"/>
      <c r="E1667" s="3"/>
      <c r="F1667" s="3"/>
      <c r="G1667" s="3"/>
      <c r="H1667" s="3"/>
      <c r="I1667" s="3"/>
    </row>
    <row r="1668">
      <c r="A1668" s="4" t="s">
        <v>2972</v>
      </c>
      <c r="B1668" s="13" t="s">
        <v>43</v>
      </c>
      <c r="D1668" s="3"/>
      <c r="E1668" s="3"/>
      <c r="F1668" s="3"/>
      <c r="G1668" s="3"/>
      <c r="H1668" s="3"/>
      <c r="I1668" s="3"/>
    </row>
    <row r="1669">
      <c r="A1669" s="4" t="s">
        <v>2973</v>
      </c>
      <c r="B1669" s="13" t="s">
        <v>43</v>
      </c>
      <c r="D1669" s="3"/>
      <c r="E1669" s="3"/>
      <c r="F1669" s="3"/>
      <c r="G1669" s="3"/>
      <c r="H1669" s="3"/>
      <c r="I1669" s="3"/>
    </row>
    <row r="1670">
      <c r="A1670" s="4" t="s">
        <v>2974</v>
      </c>
      <c r="B1670" s="13" t="s">
        <v>43</v>
      </c>
      <c r="D1670" s="3"/>
      <c r="E1670" s="3"/>
      <c r="F1670" s="3"/>
      <c r="G1670" s="3"/>
      <c r="H1670" s="3"/>
      <c r="I1670" s="3"/>
    </row>
    <row r="1671">
      <c r="A1671" s="4" t="s">
        <v>2975</v>
      </c>
      <c r="B1671" s="13" t="s">
        <v>43</v>
      </c>
      <c r="D1671" s="3"/>
      <c r="E1671" s="3"/>
      <c r="F1671" s="3"/>
      <c r="G1671" s="3"/>
      <c r="H1671" s="3"/>
      <c r="I1671" s="3"/>
    </row>
    <row r="1672">
      <c r="A1672" s="4" t="s">
        <v>2976</v>
      </c>
      <c r="B1672" s="13" t="s">
        <v>43</v>
      </c>
      <c r="D1672" s="3"/>
      <c r="E1672" s="3"/>
      <c r="F1672" s="3"/>
      <c r="G1672" s="3"/>
      <c r="H1672" s="3"/>
      <c r="I1672" s="3"/>
    </row>
    <row r="1673">
      <c r="A1673" s="4" t="s">
        <v>2977</v>
      </c>
      <c r="B1673" s="13" t="s">
        <v>43</v>
      </c>
      <c r="D1673" s="3"/>
      <c r="E1673" s="3"/>
      <c r="F1673" s="3"/>
      <c r="G1673" s="3"/>
      <c r="H1673" s="3"/>
      <c r="I1673" s="3"/>
    </row>
    <row r="1674">
      <c r="A1674" s="4" t="s">
        <v>2978</v>
      </c>
      <c r="B1674" s="13" t="s">
        <v>43</v>
      </c>
      <c r="D1674" s="3"/>
      <c r="E1674" s="3"/>
      <c r="F1674" s="3"/>
      <c r="G1674" s="3"/>
      <c r="H1674" s="3"/>
      <c r="I1674" s="3"/>
    </row>
    <row r="1675">
      <c r="A1675" s="4" t="s">
        <v>2979</v>
      </c>
      <c r="B1675" s="13" t="s">
        <v>43</v>
      </c>
      <c r="D1675" s="3"/>
      <c r="E1675" s="3"/>
      <c r="F1675" s="3"/>
      <c r="G1675" s="3"/>
      <c r="H1675" s="3"/>
      <c r="I1675" s="3"/>
    </row>
    <row r="1676">
      <c r="A1676" s="4" t="s">
        <v>2980</v>
      </c>
      <c r="B1676" s="13" t="s">
        <v>43</v>
      </c>
      <c r="D1676" s="3"/>
      <c r="E1676" s="3"/>
      <c r="F1676" s="3"/>
      <c r="G1676" s="3"/>
      <c r="H1676" s="3"/>
      <c r="I1676" s="3"/>
    </row>
    <row r="1677">
      <c r="A1677" s="4" t="s">
        <v>2981</v>
      </c>
      <c r="B1677" s="13" t="s">
        <v>43</v>
      </c>
      <c r="D1677" s="3"/>
      <c r="E1677" s="3"/>
      <c r="F1677" s="3"/>
      <c r="G1677" s="3"/>
      <c r="H1677" s="3"/>
      <c r="I1677" s="3"/>
    </row>
    <row r="1678">
      <c r="A1678" s="4" t="s">
        <v>2982</v>
      </c>
      <c r="B1678" s="13" t="s">
        <v>43</v>
      </c>
      <c r="D1678" s="3"/>
      <c r="E1678" s="3"/>
      <c r="F1678" s="3"/>
      <c r="G1678" s="3"/>
      <c r="H1678" s="3"/>
      <c r="I1678" s="3"/>
    </row>
    <row r="1679">
      <c r="A1679" s="4" t="s">
        <v>2983</v>
      </c>
      <c r="B1679" s="13" t="s">
        <v>43</v>
      </c>
      <c r="D1679" s="3"/>
      <c r="E1679" s="3"/>
      <c r="F1679" s="3"/>
      <c r="G1679" s="3"/>
      <c r="H1679" s="3"/>
      <c r="I1679" s="3"/>
    </row>
    <row r="1680">
      <c r="A1680" s="4" t="s">
        <v>2984</v>
      </c>
      <c r="B1680" s="13" t="s">
        <v>43</v>
      </c>
      <c r="D1680" s="3"/>
      <c r="E1680" s="3"/>
      <c r="F1680" s="3"/>
      <c r="G1680" s="3"/>
      <c r="H1680" s="3"/>
      <c r="I1680" s="3"/>
    </row>
    <row r="1681">
      <c r="A1681" s="4" t="s">
        <v>2985</v>
      </c>
      <c r="B1681" s="13" t="s">
        <v>43</v>
      </c>
      <c r="D1681" s="3"/>
      <c r="E1681" s="3"/>
      <c r="F1681" s="3"/>
      <c r="G1681" s="3"/>
      <c r="H1681" s="3"/>
      <c r="I1681" s="3"/>
    </row>
    <row r="1682">
      <c r="A1682" s="4" t="s">
        <v>2986</v>
      </c>
      <c r="B1682" s="13" t="s">
        <v>43</v>
      </c>
      <c r="D1682" s="3"/>
      <c r="E1682" s="3"/>
      <c r="F1682" s="3"/>
      <c r="G1682" s="3"/>
      <c r="H1682" s="3"/>
      <c r="I1682" s="3"/>
    </row>
    <row r="1683">
      <c r="A1683" s="4" t="s">
        <v>2987</v>
      </c>
      <c r="B1683" s="13" t="s">
        <v>43</v>
      </c>
      <c r="D1683" s="3"/>
      <c r="E1683" s="3"/>
      <c r="F1683" s="3"/>
      <c r="G1683" s="3"/>
      <c r="H1683" s="3"/>
      <c r="I1683" s="3"/>
    </row>
    <row r="1684">
      <c r="A1684" s="4" t="s">
        <v>2988</v>
      </c>
      <c r="B1684" s="13" t="s">
        <v>43</v>
      </c>
      <c r="D1684" s="3"/>
      <c r="E1684" s="3"/>
      <c r="F1684" s="3"/>
      <c r="G1684" s="3"/>
      <c r="H1684" s="3"/>
      <c r="I1684" s="3"/>
    </row>
    <row r="1685">
      <c r="A1685" s="4" t="s">
        <v>2989</v>
      </c>
      <c r="B1685" s="13" t="s">
        <v>43</v>
      </c>
      <c r="D1685" s="3"/>
      <c r="E1685" s="3"/>
      <c r="F1685" s="3"/>
      <c r="G1685" s="3"/>
      <c r="H1685" s="3"/>
      <c r="I1685" s="3"/>
    </row>
    <row r="1686">
      <c r="A1686" s="4" t="s">
        <v>2990</v>
      </c>
      <c r="B1686" s="13" t="s">
        <v>43</v>
      </c>
      <c r="D1686" s="3"/>
      <c r="E1686" s="3"/>
      <c r="F1686" s="3"/>
      <c r="G1686" s="3"/>
      <c r="H1686" s="3"/>
      <c r="I1686" s="3"/>
    </row>
    <row r="1687">
      <c r="A1687" s="4" t="s">
        <v>2991</v>
      </c>
      <c r="B1687" s="13" t="s">
        <v>43</v>
      </c>
      <c r="D1687" s="3"/>
      <c r="E1687" s="3"/>
      <c r="F1687" s="3"/>
      <c r="G1687" s="3"/>
      <c r="H1687" s="3"/>
      <c r="I1687" s="3"/>
    </row>
    <row r="1688">
      <c r="A1688" s="4" t="s">
        <v>2992</v>
      </c>
      <c r="B1688" s="13" t="s">
        <v>43</v>
      </c>
      <c r="D1688" s="3"/>
      <c r="E1688" s="3"/>
      <c r="F1688" s="3"/>
      <c r="G1688" s="3"/>
      <c r="H1688" s="3"/>
      <c r="I1688" s="3"/>
    </row>
    <row r="1689">
      <c r="A1689" s="4" t="s">
        <v>2993</v>
      </c>
      <c r="B1689" s="13" t="s">
        <v>43</v>
      </c>
      <c r="D1689" s="3"/>
      <c r="E1689" s="3"/>
      <c r="F1689" s="3"/>
      <c r="G1689" s="3"/>
      <c r="H1689" s="3"/>
      <c r="I1689" s="3"/>
    </row>
    <row r="1690">
      <c r="A1690" s="4" t="s">
        <v>2994</v>
      </c>
      <c r="B1690" s="13" t="s">
        <v>43</v>
      </c>
      <c r="D1690" s="3"/>
      <c r="E1690" s="3"/>
      <c r="F1690" s="3"/>
      <c r="G1690" s="3"/>
      <c r="H1690" s="3"/>
      <c r="I1690" s="3"/>
    </row>
    <row r="1691">
      <c r="A1691" s="4" t="s">
        <v>2995</v>
      </c>
      <c r="B1691" s="13" t="s">
        <v>43</v>
      </c>
      <c r="D1691" s="3"/>
      <c r="E1691" s="3"/>
      <c r="F1691" s="3"/>
      <c r="G1691" s="3"/>
      <c r="H1691" s="3"/>
      <c r="I1691" s="3"/>
    </row>
    <row r="1692">
      <c r="A1692" s="4" t="s">
        <v>2996</v>
      </c>
      <c r="B1692" s="13" t="s">
        <v>43</v>
      </c>
      <c r="D1692" s="3"/>
      <c r="E1692" s="3"/>
      <c r="F1692" s="3"/>
      <c r="G1692" s="3"/>
      <c r="H1692" s="3"/>
      <c r="I1692" s="3"/>
    </row>
    <row r="1693">
      <c r="A1693" s="4" t="s">
        <v>2997</v>
      </c>
      <c r="B1693" s="13" t="s">
        <v>48</v>
      </c>
      <c r="C1693" s="4">
        <v>1.0</v>
      </c>
      <c r="D1693" s="3"/>
      <c r="E1693" s="3"/>
      <c r="F1693" s="3"/>
      <c r="G1693" s="3"/>
      <c r="H1693" s="4">
        <v>13.0</v>
      </c>
      <c r="I1693" s="3"/>
    </row>
    <row r="1694">
      <c r="A1694" s="4" t="s">
        <v>2998</v>
      </c>
      <c r="B1694" s="13" t="s">
        <v>43</v>
      </c>
      <c r="D1694" s="3"/>
      <c r="E1694" s="3"/>
      <c r="F1694" s="3"/>
      <c r="G1694" s="3"/>
      <c r="H1694" s="3"/>
      <c r="I1694" s="3"/>
      <c r="J1694" s="4" t="s">
        <v>1757</v>
      </c>
    </row>
    <row r="1695">
      <c r="A1695" s="4" t="s">
        <v>2999</v>
      </c>
      <c r="B1695" s="13" t="s">
        <v>43</v>
      </c>
      <c r="D1695" s="3"/>
      <c r="E1695" s="3"/>
      <c r="F1695" s="3"/>
      <c r="G1695" s="3"/>
      <c r="H1695" s="3"/>
      <c r="I1695" s="3"/>
    </row>
    <row r="1696">
      <c r="A1696" s="4" t="s">
        <v>3000</v>
      </c>
      <c r="B1696" s="13" t="s">
        <v>43</v>
      </c>
      <c r="D1696" s="3"/>
      <c r="E1696" s="3"/>
      <c r="F1696" s="3"/>
      <c r="G1696" s="3"/>
      <c r="H1696" s="3"/>
      <c r="I1696" s="3"/>
    </row>
    <row r="1697">
      <c r="A1697" s="4" t="s">
        <v>3001</v>
      </c>
      <c r="B1697" s="13" t="s">
        <v>43</v>
      </c>
      <c r="D1697" s="3"/>
      <c r="E1697" s="3"/>
      <c r="F1697" s="3"/>
      <c r="G1697" s="3"/>
      <c r="H1697" s="3"/>
      <c r="I1697" s="3"/>
    </row>
    <row r="1698">
      <c r="A1698" s="4" t="s">
        <v>3002</v>
      </c>
      <c r="B1698" s="13" t="s">
        <v>43</v>
      </c>
      <c r="D1698" s="3"/>
      <c r="E1698" s="3"/>
      <c r="F1698" s="3"/>
      <c r="G1698" s="3"/>
      <c r="H1698" s="3"/>
      <c r="I1698" s="3"/>
    </row>
    <row r="1699">
      <c r="A1699" s="4" t="s">
        <v>3003</v>
      </c>
      <c r="B1699" s="13" t="s">
        <v>43</v>
      </c>
      <c r="D1699" s="3"/>
      <c r="E1699" s="3"/>
      <c r="F1699" s="3"/>
      <c r="G1699" s="3"/>
      <c r="H1699" s="3"/>
      <c r="I1699" s="3"/>
    </row>
    <row r="1700">
      <c r="A1700" s="4" t="s">
        <v>3004</v>
      </c>
      <c r="B1700" s="13" t="s">
        <v>43</v>
      </c>
      <c r="D1700" s="3"/>
      <c r="E1700" s="3"/>
      <c r="F1700" s="3"/>
      <c r="G1700" s="3"/>
      <c r="H1700" s="3"/>
      <c r="I1700" s="3"/>
    </row>
    <row r="1701">
      <c r="A1701" s="4" t="s">
        <v>3005</v>
      </c>
      <c r="B1701" s="13" t="s">
        <v>43</v>
      </c>
      <c r="D1701" s="3"/>
      <c r="E1701" s="3"/>
      <c r="F1701" s="3"/>
      <c r="G1701" s="3"/>
      <c r="H1701" s="3"/>
      <c r="I1701" s="3"/>
    </row>
    <row r="1702">
      <c r="A1702" s="4" t="s">
        <v>3006</v>
      </c>
      <c r="B1702" s="13" t="s">
        <v>43</v>
      </c>
      <c r="D1702" s="3"/>
      <c r="E1702" s="3"/>
      <c r="F1702" s="3"/>
      <c r="G1702" s="3"/>
      <c r="H1702" s="3"/>
      <c r="I1702" s="3"/>
    </row>
    <row r="1703">
      <c r="A1703" s="4" t="s">
        <v>3007</v>
      </c>
      <c r="B1703" s="13" t="s">
        <v>43</v>
      </c>
      <c r="D1703" s="3"/>
      <c r="E1703" s="3"/>
      <c r="F1703" s="3"/>
      <c r="G1703" s="3"/>
      <c r="H1703" s="3"/>
      <c r="I1703" s="3"/>
    </row>
    <row r="1704">
      <c r="A1704" s="4" t="s">
        <v>3008</v>
      </c>
      <c r="B1704" s="13" t="s">
        <v>43</v>
      </c>
      <c r="D1704" s="3"/>
      <c r="E1704" s="3"/>
      <c r="F1704" s="3"/>
      <c r="G1704" s="3"/>
      <c r="H1704" s="3"/>
      <c r="I1704" s="3"/>
    </row>
    <row r="1705">
      <c r="A1705" s="4" t="s">
        <v>3009</v>
      </c>
      <c r="B1705" s="13" t="s">
        <v>43</v>
      </c>
      <c r="D1705" s="3"/>
      <c r="E1705" s="3"/>
      <c r="F1705" s="3"/>
      <c r="G1705" s="3"/>
      <c r="H1705" s="3"/>
      <c r="I1705" s="3"/>
    </row>
    <row r="1706">
      <c r="A1706" s="4" t="s">
        <v>3010</v>
      </c>
      <c r="B1706" s="13" t="s">
        <v>43</v>
      </c>
      <c r="D1706" s="3"/>
      <c r="E1706" s="3"/>
      <c r="F1706" s="3"/>
      <c r="G1706" s="3"/>
      <c r="H1706" s="3"/>
      <c r="I1706" s="3"/>
    </row>
    <row r="1707">
      <c r="A1707" s="4" t="s">
        <v>3011</v>
      </c>
      <c r="B1707" s="13" t="s">
        <v>43</v>
      </c>
      <c r="D1707" s="3"/>
      <c r="E1707" s="3"/>
      <c r="F1707" s="3"/>
      <c r="G1707" s="3"/>
      <c r="H1707" s="3"/>
      <c r="I1707" s="3"/>
      <c r="J1707" s="4" t="s">
        <v>1757</v>
      </c>
    </row>
    <row r="1708">
      <c r="A1708" s="4" t="s">
        <v>3012</v>
      </c>
      <c r="B1708" s="13" t="s">
        <v>43</v>
      </c>
      <c r="D1708" s="3"/>
      <c r="E1708" s="3"/>
      <c r="F1708" s="3"/>
      <c r="G1708" s="3"/>
      <c r="H1708" s="3"/>
      <c r="I1708" s="3"/>
      <c r="J1708" s="4" t="s">
        <v>1757</v>
      </c>
    </row>
    <row r="1709">
      <c r="A1709" s="4" t="s">
        <v>3013</v>
      </c>
      <c r="B1709" s="13" t="s">
        <v>43</v>
      </c>
      <c r="D1709" s="3"/>
      <c r="E1709" s="3"/>
      <c r="F1709" s="3"/>
      <c r="G1709" s="3"/>
      <c r="H1709" s="3"/>
      <c r="I1709" s="3"/>
      <c r="J1709" s="4" t="s">
        <v>1757</v>
      </c>
    </row>
    <row r="1710">
      <c r="A1710" s="4" t="s">
        <v>3014</v>
      </c>
      <c r="B1710" s="13" t="s">
        <v>43</v>
      </c>
      <c r="D1710" s="3"/>
      <c r="E1710" s="3"/>
      <c r="F1710" s="3"/>
      <c r="G1710" s="3"/>
      <c r="H1710" s="3"/>
      <c r="I1710" s="3"/>
      <c r="J1710" s="4" t="s">
        <v>1757</v>
      </c>
    </row>
    <row r="1711">
      <c r="A1711" s="4" t="s">
        <v>3015</v>
      </c>
      <c r="B1711" s="13" t="s">
        <v>43</v>
      </c>
      <c r="D1711" s="3"/>
      <c r="E1711" s="3"/>
      <c r="F1711" s="3"/>
      <c r="G1711" s="3"/>
      <c r="H1711" s="3"/>
      <c r="I1711" s="3"/>
      <c r="J1711" s="4" t="s">
        <v>1757</v>
      </c>
    </row>
    <row r="1712">
      <c r="A1712" s="4" t="s">
        <v>3016</v>
      </c>
      <c r="B1712" s="13" t="s">
        <v>43</v>
      </c>
      <c r="D1712" s="3"/>
      <c r="E1712" s="3"/>
      <c r="F1712" s="3"/>
      <c r="G1712" s="3"/>
      <c r="H1712" s="3"/>
      <c r="I1712" s="3"/>
      <c r="J1712" s="4" t="s">
        <v>1757</v>
      </c>
    </row>
    <row r="1713">
      <c r="A1713" s="4" t="s">
        <v>3017</v>
      </c>
      <c r="B1713" s="13" t="s">
        <v>48</v>
      </c>
      <c r="C1713" s="4">
        <v>1.0</v>
      </c>
      <c r="D1713" s="3"/>
      <c r="E1713" s="4">
        <v>2.0</v>
      </c>
      <c r="F1713" s="3"/>
      <c r="G1713" s="3"/>
      <c r="H1713" s="3"/>
      <c r="I1713" s="3"/>
      <c r="J1713" s="4" t="s">
        <v>1757</v>
      </c>
    </row>
    <row r="1714">
      <c r="A1714" s="4" t="s">
        <v>3018</v>
      </c>
      <c r="B1714" s="13" t="s">
        <v>48</v>
      </c>
      <c r="C1714" s="4">
        <v>1.0</v>
      </c>
      <c r="D1714" s="3"/>
      <c r="E1714" s="4">
        <v>2.0</v>
      </c>
      <c r="F1714" s="3"/>
      <c r="G1714" s="3"/>
      <c r="H1714" s="3"/>
      <c r="I1714" s="3"/>
      <c r="J1714" s="4" t="s">
        <v>1757</v>
      </c>
    </row>
    <row r="1715">
      <c r="A1715" s="4" t="s">
        <v>3019</v>
      </c>
      <c r="B1715" s="13" t="s">
        <v>48</v>
      </c>
      <c r="C1715" s="4">
        <v>1.0</v>
      </c>
      <c r="D1715" s="3"/>
      <c r="E1715" s="4">
        <v>2.0</v>
      </c>
      <c r="F1715" s="3"/>
      <c r="G1715" s="3"/>
      <c r="H1715" s="3"/>
      <c r="I1715" s="3"/>
      <c r="J1715" s="4" t="s">
        <v>1757</v>
      </c>
    </row>
    <row r="1716">
      <c r="A1716" s="4" t="s">
        <v>3020</v>
      </c>
      <c r="B1716" s="13" t="s">
        <v>48</v>
      </c>
      <c r="C1716" s="4">
        <v>1.0</v>
      </c>
      <c r="D1716" s="3"/>
      <c r="E1716" s="4">
        <v>2.0</v>
      </c>
      <c r="F1716" s="3"/>
      <c r="G1716" s="3"/>
      <c r="H1716" s="3"/>
      <c r="I1716" s="3"/>
      <c r="J1716" s="4" t="s">
        <v>1757</v>
      </c>
    </row>
    <row r="1717">
      <c r="A1717" s="4" t="s">
        <v>3021</v>
      </c>
      <c r="B1717" s="13" t="s">
        <v>48</v>
      </c>
      <c r="C1717" s="4">
        <v>1.0</v>
      </c>
      <c r="D1717" s="3"/>
      <c r="E1717" s="4">
        <v>2.0</v>
      </c>
      <c r="F1717" s="3"/>
      <c r="G1717" s="3"/>
      <c r="H1717" s="3"/>
      <c r="I1717" s="3"/>
      <c r="J1717" s="4" t="s">
        <v>1757</v>
      </c>
    </row>
    <row r="1718">
      <c r="A1718" s="4" t="s">
        <v>3022</v>
      </c>
      <c r="B1718" s="13" t="s">
        <v>48</v>
      </c>
      <c r="C1718" s="4">
        <v>1.0</v>
      </c>
      <c r="D1718" s="3"/>
      <c r="E1718" s="4">
        <v>2.0</v>
      </c>
      <c r="F1718" s="3"/>
      <c r="G1718" s="3"/>
      <c r="H1718" s="3"/>
      <c r="I1718" s="3"/>
    </row>
    <row r="1719">
      <c r="A1719" s="4" t="s">
        <v>3023</v>
      </c>
      <c r="B1719" s="13" t="s">
        <v>48</v>
      </c>
      <c r="C1719" s="4">
        <v>1.0</v>
      </c>
      <c r="D1719" s="3"/>
      <c r="E1719" s="4">
        <v>2.0</v>
      </c>
      <c r="F1719" s="3"/>
      <c r="G1719" s="3"/>
      <c r="H1719" s="3"/>
      <c r="I1719" s="3"/>
    </row>
    <row r="1720">
      <c r="A1720" s="4" t="s">
        <v>3024</v>
      </c>
      <c r="B1720" s="13" t="s">
        <v>48</v>
      </c>
      <c r="C1720" s="4">
        <v>1.0</v>
      </c>
      <c r="D1720" s="3"/>
      <c r="E1720" s="4">
        <v>2.0</v>
      </c>
      <c r="F1720" s="3"/>
      <c r="G1720" s="3"/>
      <c r="H1720" s="3"/>
      <c r="I1720" s="3"/>
    </row>
    <row r="1721">
      <c r="A1721" s="4" t="s">
        <v>3025</v>
      </c>
      <c r="B1721" s="13" t="s">
        <v>48</v>
      </c>
      <c r="C1721" s="4">
        <v>1.0</v>
      </c>
      <c r="D1721" s="3"/>
      <c r="E1721" s="4">
        <v>2.0</v>
      </c>
      <c r="F1721" s="3"/>
      <c r="G1721" s="3"/>
      <c r="H1721" s="3"/>
      <c r="I1721" s="3"/>
    </row>
    <row r="1722">
      <c r="A1722" s="4" t="s">
        <v>3026</v>
      </c>
      <c r="B1722" s="13" t="s">
        <v>48</v>
      </c>
      <c r="C1722" s="4">
        <v>1.0</v>
      </c>
      <c r="D1722" s="3"/>
      <c r="E1722" s="4">
        <v>2.0</v>
      </c>
      <c r="F1722" s="3"/>
      <c r="G1722" s="3"/>
      <c r="H1722" s="3"/>
      <c r="I1722" s="3"/>
    </row>
    <row r="1723">
      <c r="A1723" s="4" t="s">
        <v>3027</v>
      </c>
      <c r="B1723" s="13" t="s">
        <v>43</v>
      </c>
      <c r="D1723" s="3"/>
      <c r="E1723" s="3"/>
      <c r="F1723" s="3"/>
      <c r="G1723" s="3"/>
      <c r="H1723" s="3"/>
      <c r="I1723" s="3"/>
    </row>
    <row r="1724">
      <c r="A1724" s="4" t="s">
        <v>3028</v>
      </c>
      <c r="B1724" s="13" t="s">
        <v>43</v>
      </c>
      <c r="D1724" s="3"/>
      <c r="E1724" s="3"/>
      <c r="F1724" s="3"/>
      <c r="G1724" s="3"/>
      <c r="H1724" s="3"/>
      <c r="I1724" s="3"/>
    </row>
    <row r="1725">
      <c r="A1725" s="4" t="s">
        <v>3029</v>
      </c>
      <c r="B1725" s="13" t="s">
        <v>43</v>
      </c>
      <c r="D1725" s="3"/>
      <c r="E1725" s="3"/>
      <c r="F1725" s="3"/>
      <c r="G1725" s="3"/>
      <c r="H1725" s="3"/>
      <c r="I1725" s="3"/>
    </row>
    <row r="1726">
      <c r="A1726" s="4" t="s">
        <v>3030</v>
      </c>
      <c r="B1726" s="13" t="s">
        <v>43</v>
      </c>
      <c r="D1726" s="3"/>
      <c r="E1726" s="3"/>
      <c r="F1726" s="3"/>
      <c r="G1726" s="3"/>
      <c r="H1726" s="3"/>
      <c r="I1726" s="3"/>
    </row>
    <row r="1727">
      <c r="A1727" s="4" t="s">
        <v>3031</v>
      </c>
      <c r="B1727" s="13" t="s">
        <v>43</v>
      </c>
      <c r="D1727" s="3"/>
      <c r="E1727" s="3"/>
      <c r="F1727" s="3"/>
      <c r="G1727" s="3"/>
      <c r="H1727" s="3"/>
      <c r="I1727" s="3"/>
    </row>
    <row r="1728">
      <c r="A1728" s="4" t="s">
        <v>3032</v>
      </c>
      <c r="B1728" s="13" t="s">
        <v>43</v>
      </c>
      <c r="D1728" s="3"/>
      <c r="E1728" s="3"/>
      <c r="F1728" s="3"/>
      <c r="G1728" s="3"/>
      <c r="H1728" s="3"/>
      <c r="I1728" s="3"/>
    </row>
    <row r="1729">
      <c r="A1729" s="4" t="s">
        <v>3033</v>
      </c>
      <c r="B1729" s="13" t="s">
        <v>43</v>
      </c>
      <c r="D1729" s="3"/>
      <c r="E1729" s="3"/>
      <c r="F1729" s="3"/>
      <c r="G1729" s="3"/>
      <c r="H1729" s="3"/>
      <c r="I1729" s="3"/>
    </row>
    <row r="1730">
      <c r="A1730" s="4" t="s">
        <v>3034</v>
      </c>
      <c r="B1730" s="13" t="s">
        <v>43</v>
      </c>
      <c r="D1730" s="3"/>
      <c r="E1730" s="3"/>
      <c r="F1730" s="3"/>
      <c r="G1730" s="3"/>
      <c r="H1730" s="3"/>
      <c r="I1730" s="3"/>
    </row>
    <row r="1731">
      <c r="A1731" s="4" t="s">
        <v>3035</v>
      </c>
      <c r="B1731" s="13" t="s">
        <v>43</v>
      </c>
      <c r="D1731" s="3"/>
      <c r="E1731" s="3"/>
      <c r="F1731" s="3"/>
      <c r="G1731" s="3"/>
      <c r="H1731" s="3"/>
      <c r="I1731" s="3"/>
    </row>
    <row r="1732">
      <c r="A1732" s="4" t="s">
        <v>3036</v>
      </c>
      <c r="B1732" s="13" t="s">
        <v>43</v>
      </c>
      <c r="D1732" s="3"/>
      <c r="E1732" s="3"/>
      <c r="F1732" s="3"/>
      <c r="G1732" s="3"/>
      <c r="H1732" s="3"/>
      <c r="I1732" s="3"/>
      <c r="J1732" s="4" t="s">
        <v>1757</v>
      </c>
    </row>
    <row r="1733">
      <c r="A1733" s="4" t="s">
        <v>3037</v>
      </c>
      <c r="B1733" s="13" t="s">
        <v>43</v>
      </c>
      <c r="D1733" s="3"/>
      <c r="E1733" s="3"/>
      <c r="F1733" s="3"/>
      <c r="G1733" s="3"/>
      <c r="H1733" s="3"/>
      <c r="I1733" s="3"/>
      <c r="J1733" s="4" t="s">
        <v>1757</v>
      </c>
    </row>
    <row r="1734">
      <c r="A1734" s="4" t="s">
        <v>3038</v>
      </c>
      <c r="B1734" s="13" t="s">
        <v>43</v>
      </c>
      <c r="D1734" s="3"/>
      <c r="E1734" s="3"/>
      <c r="F1734" s="3"/>
      <c r="G1734" s="3"/>
      <c r="H1734" s="3"/>
      <c r="I1734" s="3"/>
      <c r="J1734" s="4" t="s">
        <v>1757</v>
      </c>
    </row>
    <row r="1735">
      <c r="A1735" s="4" t="s">
        <v>3039</v>
      </c>
      <c r="B1735" s="13" t="s">
        <v>43</v>
      </c>
      <c r="D1735" s="3"/>
      <c r="E1735" s="3"/>
      <c r="F1735" s="3"/>
      <c r="G1735" s="3"/>
      <c r="H1735" s="3"/>
      <c r="I1735" s="3"/>
      <c r="J1735" s="4" t="s">
        <v>1757</v>
      </c>
    </row>
    <row r="1736">
      <c r="A1736" s="4" t="s">
        <v>3040</v>
      </c>
      <c r="B1736" s="13" t="s">
        <v>43</v>
      </c>
      <c r="D1736" s="3"/>
      <c r="E1736" s="3"/>
      <c r="F1736" s="3"/>
      <c r="G1736" s="3"/>
      <c r="H1736" s="3"/>
      <c r="I1736" s="3"/>
      <c r="J1736" s="4" t="s">
        <v>1757</v>
      </c>
    </row>
    <row r="1737">
      <c r="A1737" s="4" t="s">
        <v>3041</v>
      </c>
      <c r="B1737" s="13" t="s">
        <v>43</v>
      </c>
      <c r="D1737" s="3"/>
      <c r="E1737" s="3"/>
      <c r="F1737" s="3"/>
      <c r="G1737" s="3"/>
      <c r="H1737" s="3"/>
      <c r="I1737" s="3"/>
      <c r="J1737" s="4" t="s">
        <v>1757</v>
      </c>
    </row>
    <row r="1738">
      <c r="A1738" s="4" t="s">
        <v>3042</v>
      </c>
      <c r="B1738" s="13" t="s">
        <v>43</v>
      </c>
      <c r="D1738" s="3"/>
      <c r="E1738" s="3"/>
      <c r="F1738" s="3"/>
      <c r="G1738" s="3"/>
      <c r="H1738" s="3"/>
      <c r="I1738" s="3"/>
      <c r="J1738" s="4" t="s">
        <v>1757</v>
      </c>
    </row>
    <row r="1739">
      <c r="A1739" s="4" t="s">
        <v>3043</v>
      </c>
      <c r="B1739" s="13" t="s">
        <v>43</v>
      </c>
      <c r="D1739" s="3"/>
      <c r="E1739" s="3"/>
      <c r="F1739" s="3"/>
      <c r="G1739" s="3"/>
      <c r="H1739" s="3"/>
      <c r="I1739" s="3"/>
      <c r="J1739" s="4" t="s">
        <v>1757</v>
      </c>
    </row>
    <row r="1740">
      <c r="A1740" s="4" t="s">
        <v>3044</v>
      </c>
      <c r="B1740" s="13" t="s">
        <v>43</v>
      </c>
      <c r="D1740" s="3"/>
      <c r="E1740" s="3"/>
      <c r="F1740" s="3"/>
      <c r="G1740" s="3"/>
      <c r="H1740" s="3"/>
      <c r="I1740" s="3"/>
      <c r="J1740" s="4" t="s">
        <v>1757</v>
      </c>
    </row>
    <row r="1741">
      <c r="A1741" s="4" t="s">
        <v>3045</v>
      </c>
      <c r="B1741" s="13" t="s">
        <v>43</v>
      </c>
      <c r="D1741" s="3"/>
      <c r="E1741" s="3"/>
      <c r="F1741" s="3"/>
      <c r="G1741" s="3"/>
      <c r="H1741" s="3"/>
      <c r="I1741" s="3"/>
      <c r="J1741" s="4" t="s">
        <v>1757</v>
      </c>
    </row>
    <row r="1742">
      <c r="A1742" s="4" t="s">
        <v>3046</v>
      </c>
      <c r="B1742" s="13" t="s">
        <v>43</v>
      </c>
      <c r="D1742" s="3"/>
      <c r="E1742" s="3"/>
      <c r="F1742" s="3"/>
      <c r="G1742" s="3"/>
      <c r="H1742" s="3"/>
      <c r="I1742" s="3"/>
      <c r="J1742" s="4" t="s">
        <v>1757</v>
      </c>
    </row>
    <row r="1743">
      <c r="A1743" s="4" t="s">
        <v>3047</v>
      </c>
      <c r="B1743" s="13" t="s">
        <v>43</v>
      </c>
      <c r="D1743" s="3"/>
      <c r="E1743" s="3"/>
      <c r="F1743" s="3"/>
      <c r="G1743" s="3"/>
      <c r="H1743" s="3"/>
      <c r="I1743" s="3"/>
      <c r="J1743" s="4" t="s">
        <v>1757</v>
      </c>
    </row>
    <row r="1744">
      <c r="A1744" s="4" t="s">
        <v>3048</v>
      </c>
      <c r="B1744" s="13" t="s">
        <v>43</v>
      </c>
      <c r="D1744" s="3"/>
      <c r="E1744" s="3"/>
      <c r="F1744" s="3"/>
      <c r="G1744" s="3"/>
      <c r="H1744" s="3"/>
      <c r="I1744" s="3"/>
      <c r="J1744" s="4" t="s">
        <v>1757</v>
      </c>
    </row>
    <row r="1745">
      <c r="A1745" s="4" t="s">
        <v>3049</v>
      </c>
      <c r="B1745" s="13" t="s">
        <v>43</v>
      </c>
      <c r="D1745" s="3"/>
      <c r="E1745" s="3"/>
      <c r="F1745" s="3"/>
      <c r="G1745" s="3"/>
      <c r="H1745" s="3"/>
      <c r="I1745" s="3"/>
      <c r="J1745" s="4" t="s">
        <v>1757</v>
      </c>
    </row>
    <row r="1746">
      <c r="A1746" s="4" t="s">
        <v>3050</v>
      </c>
      <c r="B1746" s="13" t="s">
        <v>43</v>
      </c>
      <c r="D1746" s="3"/>
      <c r="E1746" s="3"/>
      <c r="F1746" s="3"/>
      <c r="G1746" s="3"/>
      <c r="H1746" s="3"/>
      <c r="I1746" s="3"/>
      <c r="J1746" s="4" t="s">
        <v>1757</v>
      </c>
    </row>
    <row r="1747">
      <c r="A1747" s="4" t="s">
        <v>3051</v>
      </c>
      <c r="B1747" s="13" t="s">
        <v>43</v>
      </c>
      <c r="D1747" s="3"/>
      <c r="E1747" s="3"/>
      <c r="F1747" s="3"/>
      <c r="G1747" s="3"/>
      <c r="H1747" s="3"/>
      <c r="I1747" s="3"/>
      <c r="J1747" s="4" t="s">
        <v>1757</v>
      </c>
    </row>
    <row r="1748">
      <c r="A1748" s="4" t="s">
        <v>3052</v>
      </c>
      <c r="B1748" s="13" t="s">
        <v>43</v>
      </c>
      <c r="D1748" s="3"/>
      <c r="E1748" s="3"/>
      <c r="F1748" s="3"/>
      <c r="G1748" s="3"/>
      <c r="H1748" s="3"/>
      <c r="I1748" s="3"/>
      <c r="J1748" s="4" t="s">
        <v>1757</v>
      </c>
    </row>
    <row r="1749">
      <c r="A1749" s="4" t="s">
        <v>3053</v>
      </c>
      <c r="B1749" s="13" t="s">
        <v>43</v>
      </c>
      <c r="D1749" s="3"/>
      <c r="E1749" s="3"/>
      <c r="F1749" s="3"/>
      <c r="G1749" s="3"/>
      <c r="H1749" s="3"/>
      <c r="I1749" s="3"/>
      <c r="J1749" s="4" t="s">
        <v>1757</v>
      </c>
    </row>
    <row r="1750">
      <c r="A1750" s="4" t="s">
        <v>3054</v>
      </c>
      <c r="B1750" s="13" t="s">
        <v>43</v>
      </c>
      <c r="D1750" s="3"/>
      <c r="E1750" s="3"/>
      <c r="F1750" s="3"/>
      <c r="G1750" s="3"/>
      <c r="H1750" s="3"/>
      <c r="I1750" s="3"/>
      <c r="J1750" s="4" t="s">
        <v>1757</v>
      </c>
    </row>
    <row r="1751">
      <c r="A1751" s="4" t="s">
        <v>3055</v>
      </c>
      <c r="B1751" s="13" t="s">
        <v>43</v>
      </c>
      <c r="D1751" s="3"/>
      <c r="E1751" s="3"/>
      <c r="F1751" s="3"/>
      <c r="G1751" s="3"/>
      <c r="H1751" s="3"/>
      <c r="I1751" s="3"/>
      <c r="J1751" s="4" t="s">
        <v>1757</v>
      </c>
    </row>
    <row r="1752">
      <c r="A1752" s="4" t="s">
        <v>3056</v>
      </c>
      <c r="B1752" s="13" t="s">
        <v>43</v>
      </c>
      <c r="D1752" s="3"/>
      <c r="E1752" s="3"/>
      <c r="F1752" s="3"/>
      <c r="G1752" s="3"/>
      <c r="H1752" s="3"/>
      <c r="I1752" s="3"/>
      <c r="J1752" s="4" t="s">
        <v>1757</v>
      </c>
    </row>
    <row r="1753">
      <c r="A1753" s="4" t="s">
        <v>3057</v>
      </c>
      <c r="B1753" s="13" t="s">
        <v>43</v>
      </c>
      <c r="D1753" s="3"/>
      <c r="E1753" s="3"/>
      <c r="F1753" s="3"/>
      <c r="G1753" s="3"/>
      <c r="H1753" s="3"/>
      <c r="I1753" s="3"/>
      <c r="J1753" s="4" t="s">
        <v>1757</v>
      </c>
    </row>
    <row r="1754">
      <c r="A1754" s="4" t="s">
        <v>3058</v>
      </c>
      <c r="B1754" s="13" t="s">
        <v>43</v>
      </c>
      <c r="D1754" s="3"/>
      <c r="E1754" s="3"/>
      <c r="F1754" s="3"/>
      <c r="G1754" s="3"/>
      <c r="H1754" s="3"/>
      <c r="I1754" s="3"/>
      <c r="J1754" s="4" t="s">
        <v>1757</v>
      </c>
    </row>
    <row r="1755">
      <c r="A1755" s="4" t="s">
        <v>3059</v>
      </c>
      <c r="B1755" s="13" t="s">
        <v>43</v>
      </c>
      <c r="D1755" s="3"/>
      <c r="E1755" s="3"/>
      <c r="F1755" s="3"/>
      <c r="G1755" s="3"/>
      <c r="H1755" s="3"/>
      <c r="I1755" s="3"/>
      <c r="J1755" s="4" t="s">
        <v>1757</v>
      </c>
    </row>
    <row r="1756">
      <c r="A1756" s="4" t="s">
        <v>3060</v>
      </c>
      <c r="B1756" s="13" t="s">
        <v>43</v>
      </c>
      <c r="D1756" s="3"/>
      <c r="E1756" s="3"/>
      <c r="F1756" s="3"/>
      <c r="G1756" s="3"/>
      <c r="H1756" s="3"/>
      <c r="I1756" s="3"/>
      <c r="J1756" s="4" t="s">
        <v>1757</v>
      </c>
    </row>
    <row r="1757">
      <c r="A1757" s="4" t="s">
        <v>3061</v>
      </c>
      <c r="B1757" s="13" t="s">
        <v>43</v>
      </c>
      <c r="D1757" s="3"/>
      <c r="E1757" s="3"/>
      <c r="F1757" s="3"/>
      <c r="G1757" s="3"/>
      <c r="H1757" s="3"/>
      <c r="I1757" s="3"/>
      <c r="J1757" s="4" t="s">
        <v>1757</v>
      </c>
    </row>
    <row r="1758">
      <c r="A1758" s="4" t="s">
        <v>3062</v>
      </c>
      <c r="B1758" s="13" t="s">
        <v>43</v>
      </c>
      <c r="D1758" s="3"/>
      <c r="E1758" s="3"/>
      <c r="F1758" s="3"/>
      <c r="G1758" s="3"/>
      <c r="H1758" s="3"/>
      <c r="I1758" s="3"/>
    </row>
    <row r="1759">
      <c r="A1759" s="4" t="s">
        <v>3063</v>
      </c>
      <c r="B1759" s="13" t="s">
        <v>43</v>
      </c>
      <c r="D1759" s="3"/>
      <c r="E1759" s="3"/>
      <c r="F1759" s="3"/>
      <c r="G1759" s="3"/>
      <c r="H1759" s="3"/>
      <c r="I1759" s="3"/>
    </row>
    <row r="1760">
      <c r="A1760" s="4" t="s">
        <v>3064</v>
      </c>
      <c r="B1760" s="13" t="s">
        <v>43</v>
      </c>
      <c r="D1760" s="3"/>
      <c r="E1760" s="3"/>
      <c r="F1760" s="3"/>
      <c r="G1760" s="3"/>
      <c r="H1760" s="3"/>
      <c r="I1760" s="3"/>
    </row>
    <row r="1761">
      <c r="A1761" s="4" t="s">
        <v>3065</v>
      </c>
      <c r="B1761" s="13" t="s">
        <v>43</v>
      </c>
      <c r="D1761" s="3"/>
      <c r="E1761" s="3"/>
      <c r="F1761" s="3"/>
      <c r="G1761" s="3"/>
      <c r="H1761" s="3"/>
      <c r="I1761" s="3"/>
    </row>
    <row r="1762">
      <c r="A1762" s="4" t="s">
        <v>3066</v>
      </c>
      <c r="B1762" s="13" t="s">
        <v>43</v>
      </c>
      <c r="D1762" s="3"/>
      <c r="E1762" s="3"/>
      <c r="F1762" s="3"/>
      <c r="G1762" s="3"/>
      <c r="H1762" s="3"/>
      <c r="I1762" s="3"/>
    </row>
    <row r="1763">
      <c r="A1763" s="4" t="s">
        <v>3067</v>
      </c>
      <c r="B1763" s="13" t="s">
        <v>43</v>
      </c>
      <c r="D1763" s="3"/>
      <c r="E1763" s="3"/>
      <c r="F1763" s="3"/>
      <c r="G1763" s="3"/>
      <c r="H1763" s="3"/>
      <c r="I1763" s="3"/>
    </row>
    <row r="1764">
      <c r="A1764" s="4" t="s">
        <v>3068</v>
      </c>
      <c r="B1764" s="13" t="s">
        <v>43</v>
      </c>
      <c r="D1764" s="3"/>
      <c r="E1764" s="3"/>
      <c r="F1764" s="3"/>
      <c r="G1764" s="3"/>
      <c r="H1764" s="3"/>
      <c r="I1764" s="3"/>
    </row>
    <row r="1765">
      <c r="A1765" s="4" t="s">
        <v>3069</v>
      </c>
      <c r="B1765" s="13" t="s">
        <v>43</v>
      </c>
      <c r="D1765" s="3"/>
      <c r="E1765" s="3"/>
      <c r="F1765" s="3"/>
      <c r="G1765" s="3"/>
      <c r="H1765" s="3"/>
      <c r="I1765" s="3"/>
    </row>
    <row r="1766">
      <c r="A1766" s="4" t="s">
        <v>3070</v>
      </c>
      <c r="B1766" s="13" t="s">
        <v>43</v>
      </c>
      <c r="D1766" s="3"/>
      <c r="E1766" s="3"/>
      <c r="F1766" s="3"/>
      <c r="G1766" s="3"/>
      <c r="H1766" s="3"/>
      <c r="I1766" s="3"/>
    </row>
    <row r="1767">
      <c r="A1767" s="4" t="s">
        <v>3071</v>
      </c>
      <c r="B1767" s="13" t="s">
        <v>43</v>
      </c>
      <c r="D1767" s="3"/>
      <c r="E1767" s="3"/>
      <c r="F1767" s="3"/>
      <c r="G1767" s="3"/>
      <c r="H1767" s="3"/>
      <c r="I1767" s="3"/>
    </row>
    <row r="1768">
      <c r="A1768" s="4" t="s">
        <v>3072</v>
      </c>
      <c r="B1768" s="13" t="s">
        <v>43</v>
      </c>
      <c r="D1768" s="3"/>
      <c r="E1768" s="3"/>
      <c r="F1768" s="3"/>
      <c r="G1768" s="3"/>
      <c r="H1768" s="3"/>
      <c r="I1768" s="3"/>
    </row>
    <row r="1769">
      <c r="A1769" s="4" t="s">
        <v>3073</v>
      </c>
      <c r="B1769" s="13" t="s">
        <v>43</v>
      </c>
      <c r="D1769" s="3"/>
      <c r="E1769" s="3"/>
      <c r="F1769" s="3"/>
      <c r="G1769" s="3"/>
      <c r="H1769" s="3"/>
      <c r="I1769" s="3"/>
    </row>
    <row r="1770">
      <c r="A1770" s="4" t="s">
        <v>3074</v>
      </c>
      <c r="B1770" s="13" t="s">
        <v>43</v>
      </c>
      <c r="D1770" s="3"/>
      <c r="E1770" s="3"/>
      <c r="F1770" s="3"/>
      <c r="G1770" s="3"/>
      <c r="H1770" s="3"/>
      <c r="I1770" s="3"/>
    </row>
    <row r="1771">
      <c r="A1771" s="4" t="s">
        <v>3075</v>
      </c>
      <c r="B1771" s="13" t="s">
        <v>43</v>
      </c>
      <c r="D1771" s="3"/>
      <c r="E1771" s="3"/>
      <c r="F1771" s="3"/>
      <c r="G1771" s="3"/>
      <c r="H1771" s="3"/>
      <c r="I1771" s="3"/>
    </row>
    <row r="1772">
      <c r="A1772" s="4" t="s">
        <v>3076</v>
      </c>
      <c r="B1772" s="13" t="s">
        <v>43</v>
      </c>
      <c r="D1772" s="3"/>
      <c r="E1772" s="3"/>
      <c r="F1772" s="3"/>
      <c r="G1772" s="3"/>
      <c r="H1772" s="3"/>
      <c r="I1772" s="3"/>
    </row>
    <row r="1773">
      <c r="A1773" s="4" t="s">
        <v>3077</v>
      </c>
      <c r="B1773" s="13" t="s">
        <v>43</v>
      </c>
      <c r="D1773" s="3"/>
      <c r="E1773" s="3"/>
      <c r="F1773" s="3"/>
      <c r="G1773" s="3"/>
      <c r="H1773" s="3"/>
      <c r="I1773" s="3"/>
    </row>
    <row r="1774">
      <c r="A1774" s="4" t="s">
        <v>3078</v>
      </c>
      <c r="B1774" s="13" t="s">
        <v>43</v>
      </c>
      <c r="D1774" s="3"/>
      <c r="E1774" s="3"/>
      <c r="F1774" s="3"/>
      <c r="G1774" s="3"/>
      <c r="H1774" s="3"/>
      <c r="I1774" s="3"/>
    </row>
    <row r="1775">
      <c r="A1775" s="4" t="s">
        <v>3079</v>
      </c>
      <c r="B1775" s="13" t="s">
        <v>43</v>
      </c>
      <c r="D1775" s="3"/>
      <c r="E1775" s="3"/>
      <c r="F1775" s="3"/>
      <c r="G1775" s="3"/>
      <c r="H1775" s="3"/>
      <c r="I1775" s="3"/>
    </row>
    <row r="1776">
      <c r="A1776" s="4" t="s">
        <v>3080</v>
      </c>
      <c r="B1776" s="13" t="s">
        <v>43</v>
      </c>
      <c r="D1776" s="3"/>
      <c r="E1776" s="3"/>
      <c r="F1776" s="3"/>
      <c r="G1776" s="3"/>
      <c r="H1776" s="3"/>
      <c r="I1776" s="3"/>
    </row>
    <row r="1777">
      <c r="A1777" s="4" t="s">
        <v>3081</v>
      </c>
      <c r="B1777" s="13" t="s">
        <v>43</v>
      </c>
      <c r="D1777" s="3"/>
      <c r="E1777" s="3"/>
      <c r="F1777" s="3"/>
      <c r="G1777" s="3"/>
      <c r="H1777" s="3"/>
      <c r="I1777" s="3"/>
    </row>
    <row r="1778">
      <c r="A1778" s="4" t="s">
        <v>3082</v>
      </c>
      <c r="B1778" s="13" t="s">
        <v>43</v>
      </c>
      <c r="D1778" s="3"/>
      <c r="E1778" s="3"/>
      <c r="F1778" s="3"/>
      <c r="G1778" s="3"/>
      <c r="H1778" s="3"/>
      <c r="I1778" s="3"/>
    </row>
    <row r="1779">
      <c r="A1779" s="4" t="s">
        <v>3083</v>
      </c>
      <c r="B1779" s="13" t="s">
        <v>43</v>
      </c>
      <c r="D1779" s="3"/>
      <c r="E1779" s="3"/>
      <c r="F1779" s="3"/>
      <c r="G1779" s="3"/>
      <c r="H1779" s="3"/>
      <c r="I1779" s="3"/>
    </row>
    <row r="1780">
      <c r="A1780" s="4" t="s">
        <v>3084</v>
      </c>
      <c r="B1780" s="13" t="s">
        <v>43</v>
      </c>
      <c r="D1780" s="3"/>
      <c r="E1780" s="3"/>
      <c r="F1780" s="3"/>
      <c r="G1780" s="3"/>
      <c r="H1780" s="3"/>
      <c r="I1780" s="3"/>
    </row>
    <row r="1781">
      <c r="A1781" s="4" t="s">
        <v>3085</v>
      </c>
      <c r="B1781" s="13" t="s">
        <v>43</v>
      </c>
      <c r="D1781" s="3"/>
      <c r="E1781" s="3"/>
      <c r="F1781" s="3"/>
      <c r="G1781" s="3"/>
      <c r="H1781" s="3"/>
      <c r="I1781" s="3"/>
    </row>
    <row r="1782">
      <c r="A1782" s="4" t="s">
        <v>3086</v>
      </c>
      <c r="B1782" s="13" t="s">
        <v>43</v>
      </c>
      <c r="D1782" s="3"/>
      <c r="E1782" s="3"/>
      <c r="F1782" s="3"/>
      <c r="G1782" s="3"/>
      <c r="H1782" s="3"/>
      <c r="I1782" s="3"/>
    </row>
    <row r="1783">
      <c r="A1783" s="4" t="s">
        <v>3087</v>
      </c>
      <c r="B1783" s="13" t="s">
        <v>43</v>
      </c>
      <c r="D1783" s="3"/>
      <c r="E1783" s="3"/>
      <c r="F1783" s="3"/>
      <c r="G1783" s="3"/>
      <c r="H1783" s="3"/>
      <c r="I1783" s="3"/>
    </row>
    <row r="1784">
      <c r="A1784" s="4" t="s">
        <v>3088</v>
      </c>
      <c r="B1784" s="13" t="s">
        <v>43</v>
      </c>
      <c r="D1784" s="3"/>
      <c r="E1784" s="3"/>
      <c r="F1784" s="3"/>
      <c r="G1784" s="3"/>
      <c r="H1784" s="3"/>
      <c r="I1784" s="3"/>
    </row>
    <row r="1785">
      <c r="A1785" s="4" t="s">
        <v>3089</v>
      </c>
      <c r="B1785" s="13" t="s">
        <v>43</v>
      </c>
      <c r="D1785" s="3"/>
      <c r="E1785" s="3"/>
      <c r="F1785" s="3"/>
      <c r="G1785" s="3"/>
      <c r="H1785" s="3"/>
      <c r="I1785" s="3"/>
    </row>
    <row r="1786">
      <c r="A1786" s="4" t="s">
        <v>3090</v>
      </c>
      <c r="B1786" s="13" t="s">
        <v>43</v>
      </c>
      <c r="D1786" s="3"/>
      <c r="E1786" s="3"/>
      <c r="F1786" s="3"/>
      <c r="G1786" s="3"/>
      <c r="H1786" s="3"/>
      <c r="I1786" s="3"/>
    </row>
    <row r="1787">
      <c r="A1787" s="4" t="s">
        <v>3091</v>
      </c>
      <c r="B1787" s="13" t="s">
        <v>43</v>
      </c>
      <c r="D1787" s="3"/>
      <c r="E1787" s="3"/>
      <c r="F1787" s="3"/>
      <c r="G1787" s="3"/>
      <c r="H1787" s="3"/>
      <c r="I1787" s="3"/>
    </row>
    <row r="1788">
      <c r="A1788" s="4" t="s">
        <v>3092</v>
      </c>
      <c r="B1788" s="13" t="s">
        <v>43</v>
      </c>
      <c r="D1788" s="3"/>
      <c r="E1788" s="3"/>
      <c r="F1788" s="3"/>
      <c r="G1788" s="3"/>
      <c r="H1788" s="3"/>
      <c r="I1788" s="3"/>
    </row>
    <row r="1789">
      <c r="A1789" s="4" t="s">
        <v>3093</v>
      </c>
      <c r="B1789" s="13" t="s">
        <v>43</v>
      </c>
      <c r="D1789" s="3"/>
      <c r="E1789" s="3"/>
      <c r="F1789" s="3"/>
      <c r="G1789" s="3"/>
      <c r="H1789" s="3"/>
      <c r="I1789" s="3"/>
    </row>
    <row r="1790">
      <c r="A1790" s="4" t="s">
        <v>3094</v>
      </c>
      <c r="B1790" s="13" t="s">
        <v>43</v>
      </c>
      <c r="D1790" s="3"/>
      <c r="E1790" s="3"/>
      <c r="F1790" s="3"/>
      <c r="G1790" s="3"/>
      <c r="H1790" s="3"/>
      <c r="I1790" s="3"/>
    </row>
    <row r="1791">
      <c r="A1791" s="4" t="s">
        <v>3095</v>
      </c>
      <c r="B1791" s="13" t="s">
        <v>43</v>
      </c>
      <c r="D1791" s="3"/>
      <c r="E1791" s="3"/>
      <c r="F1791" s="3"/>
      <c r="G1791" s="3"/>
      <c r="H1791" s="3"/>
      <c r="I1791" s="3"/>
    </row>
    <row r="1792">
      <c r="A1792" s="4" t="s">
        <v>3096</v>
      </c>
      <c r="B1792" s="13" t="s">
        <v>43</v>
      </c>
      <c r="D1792" s="3"/>
      <c r="E1792" s="3"/>
      <c r="F1792" s="3"/>
      <c r="G1792" s="3"/>
      <c r="H1792" s="3"/>
      <c r="I1792" s="3"/>
    </row>
    <row r="1793">
      <c r="A1793" s="4" t="s">
        <v>3097</v>
      </c>
      <c r="B1793" s="13" t="s">
        <v>43</v>
      </c>
      <c r="D1793" s="3"/>
      <c r="E1793" s="3"/>
      <c r="F1793" s="3"/>
      <c r="G1793" s="3"/>
      <c r="H1793" s="3"/>
      <c r="I1793" s="3"/>
    </row>
    <row r="1794">
      <c r="A1794" s="4" t="s">
        <v>3098</v>
      </c>
      <c r="B1794" s="13" t="s">
        <v>43</v>
      </c>
      <c r="D1794" s="3"/>
      <c r="E1794" s="3"/>
      <c r="F1794" s="3"/>
      <c r="G1794" s="3"/>
      <c r="H1794" s="3"/>
      <c r="I1794" s="3"/>
    </row>
    <row r="1795">
      <c r="A1795" s="4" t="s">
        <v>3099</v>
      </c>
      <c r="B1795" s="13" t="s">
        <v>43</v>
      </c>
      <c r="D1795" s="3"/>
      <c r="E1795" s="3"/>
      <c r="F1795" s="3"/>
      <c r="G1795" s="3"/>
      <c r="H1795" s="3"/>
      <c r="I1795" s="3"/>
    </row>
    <row r="1796">
      <c r="A1796" s="4" t="s">
        <v>3100</v>
      </c>
      <c r="B1796" s="13" t="s">
        <v>43</v>
      </c>
      <c r="D1796" s="3"/>
      <c r="E1796" s="3"/>
      <c r="F1796" s="3"/>
      <c r="G1796" s="3"/>
      <c r="H1796" s="3"/>
      <c r="I1796" s="3"/>
    </row>
    <row r="1797">
      <c r="A1797" s="4" t="s">
        <v>3101</v>
      </c>
      <c r="B1797" s="13" t="s">
        <v>43</v>
      </c>
      <c r="D1797" s="3"/>
      <c r="E1797" s="3"/>
      <c r="F1797" s="3"/>
      <c r="G1797" s="3"/>
      <c r="H1797" s="3"/>
      <c r="I1797" s="3"/>
    </row>
    <row r="1798">
      <c r="A1798" s="4" t="s">
        <v>3102</v>
      </c>
      <c r="B1798" s="13" t="s">
        <v>43</v>
      </c>
      <c r="D1798" s="3"/>
      <c r="E1798" s="3"/>
      <c r="F1798" s="3"/>
      <c r="G1798" s="3"/>
      <c r="H1798" s="3"/>
      <c r="I1798" s="3"/>
    </row>
    <row r="1799">
      <c r="A1799" s="4" t="s">
        <v>3103</v>
      </c>
      <c r="B1799" s="13" t="s">
        <v>43</v>
      </c>
      <c r="D1799" s="3"/>
      <c r="E1799" s="3"/>
      <c r="F1799" s="3"/>
      <c r="G1799" s="3"/>
      <c r="H1799" s="3"/>
      <c r="I1799" s="3"/>
    </row>
    <row r="1800">
      <c r="A1800" s="4" t="s">
        <v>3104</v>
      </c>
      <c r="B1800" s="13" t="s">
        <v>43</v>
      </c>
      <c r="D1800" s="3"/>
      <c r="E1800" s="3"/>
      <c r="F1800" s="3"/>
      <c r="G1800" s="3"/>
      <c r="H1800" s="3"/>
      <c r="I1800" s="3"/>
    </row>
    <row r="1801">
      <c r="A1801" s="4" t="s">
        <v>3105</v>
      </c>
      <c r="B1801" s="13" t="s">
        <v>43</v>
      </c>
      <c r="D1801" s="3"/>
      <c r="E1801" s="3"/>
      <c r="F1801" s="3"/>
      <c r="G1801" s="3"/>
      <c r="H1801" s="3"/>
      <c r="I1801" s="3"/>
    </row>
    <row r="1802">
      <c r="A1802" s="4" t="s">
        <v>3106</v>
      </c>
      <c r="B1802" s="13" t="s">
        <v>43</v>
      </c>
      <c r="D1802" s="3"/>
      <c r="E1802" s="3"/>
      <c r="F1802" s="3"/>
      <c r="G1802" s="3"/>
      <c r="H1802" s="3"/>
      <c r="I1802" s="3"/>
    </row>
    <row r="1803">
      <c r="A1803" s="4" t="s">
        <v>3107</v>
      </c>
      <c r="B1803" s="13" t="s">
        <v>43</v>
      </c>
      <c r="D1803" s="3"/>
      <c r="E1803" s="3"/>
      <c r="F1803" s="3"/>
      <c r="G1803" s="3"/>
      <c r="H1803" s="3"/>
      <c r="I1803" s="3"/>
    </row>
    <row r="1804">
      <c r="A1804" s="4" t="s">
        <v>3108</v>
      </c>
      <c r="B1804" s="13" t="s">
        <v>43</v>
      </c>
      <c r="D1804" s="3"/>
      <c r="E1804" s="3"/>
      <c r="F1804" s="3"/>
      <c r="G1804" s="3"/>
      <c r="H1804" s="3"/>
      <c r="I1804" s="3"/>
    </row>
    <row r="1805">
      <c r="A1805" s="4" t="s">
        <v>3109</v>
      </c>
      <c r="B1805" s="13" t="s">
        <v>43</v>
      </c>
      <c r="D1805" s="3"/>
      <c r="E1805" s="3"/>
      <c r="F1805" s="3"/>
      <c r="G1805" s="3"/>
      <c r="H1805" s="3"/>
      <c r="I1805" s="3"/>
    </row>
    <row r="1806">
      <c r="A1806" s="4" t="s">
        <v>3110</v>
      </c>
      <c r="B1806" s="13" t="s">
        <v>43</v>
      </c>
      <c r="D1806" s="3"/>
      <c r="E1806" s="3"/>
      <c r="F1806" s="3"/>
      <c r="G1806" s="3"/>
      <c r="H1806" s="3"/>
      <c r="I1806" s="3"/>
    </row>
    <row r="1807">
      <c r="A1807" s="4" t="s">
        <v>3111</v>
      </c>
      <c r="B1807" s="13" t="s">
        <v>43</v>
      </c>
      <c r="D1807" s="3"/>
      <c r="E1807" s="3"/>
      <c r="F1807" s="3"/>
      <c r="G1807" s="3"/>
      <c r="H1807" s="3"/>
      <c r="I1807" s="3"/>
    </row>
    <row r="1808">
      <c r="A1808" s="4" t="s">
        <v>3112</v>
      </c>
      <c r="B1808" s="13" t="s">
        <v>43</v>
      </c>
      <c r="D1808" s="3"/>
      <c r="E1808" s="3"/>
      <c r="F1808" s="3"/>
      <c r="G1808" s="3"/>
      <c r="H1808" s="3"/>
      <c r="I1808" s="3"/>
    </row>
    <row r="1809">
      <c r="A1809" s="4" t="s">
        <v>3113</v>
      </c>
      <c r="B1809" s="13" t="s">
        <v>43</v>
      </c>
      <c r="D1809" s="3"/>
      <c r="E1809" s="3"/>
      <c r="F1809" s="3"/>
      <c r="G1809" s="3"/>
      <c r="H1809" s="3"/>
      <c r="I1809" s="3"/>
    </row>
    <row r="1810">
      <c r="A1810" s="4" t="s">
        <v>3114</v>
      </c>
      <c r="B1810" s="13" t="s">
        <v>43</v>
      </c>
      <c r="D1810" s="3"/>
      <c r="E1810" s="3"/>
      <c r="F1810" s="3"/>
      <c r="G1810" s="3"/>
      <c r="H1810" s="3"/>
      <c r="I1810" s="3"/>
    </row>
    <row r="1811">
      <c r="A1811" s="4" t="s">
        <v>3115</v>
      </c>
      <c r="B1811" s="13" t="s">
        <v>43</v>
      </c>
      <c r="D1811" s="3"/>
      <c r="E1811" s="3"/>
      <c r="F1811" s="3"/>
      <c r="G1811" s="3"/>
      <c r="H1811" s="3"/>
      <c r="I1811" s="3"/>
    </row>
    <row r="1812">
      <c r="A1812" s="4" t="s">
        <v>3116</v>
      </c>
      <c r="B1812" s="13" t="s">
        <v>43</v>
      </c>
      <c r="D1812" s="3"/>
      <c r="E1812" s="3"/>
      <c r="F1812" s="3"/>
      <c r="G1812" s="3"/>
      <c r="H1812" s="3"/>
      <c r="I1812" s="3"/>
    </row>
    <row r="1813">
      <c r="A1813" s="4" t="s">
        <v>3117</v>
      </c>
      <c r="B1813" s="13" t="s">
        <v>43</v>
      </c>
      <c r="D1813" s="3"/>
      <c r="E1813" s="3"/>
      <c r="F1813" s="3"/>
      <c r="G1813" s="3"/>
      <c r="H1813" s="3"/>
      <c r="I1813" s="3"/>
    </row>
    <row r="1814">
      <c r="A1814" s="4" t="s">
        <v>3118</v>
      </c>
      <c r="B1814" s="13" t="s">
        <v>43</v>
      </c>
      <c r="D1814" s="3"/>
      <c r="E1814" s="3"/>
      <c r="F1814" s="3"/>
      <c r="G1814" s="3"/>
      <c r="H1814" s="3"/>
      <c r="I1814" s="3"/>
    </row>
    <row r="1815">
      <c r="A1815" s="4" t="s">
        <v>3119</v>
      </c>
      <c r="B1815" s="13" t="s">
        <v>43</v>
      </c>
      <c r="D1815" s="3"/>
      <c r="E1815" s="3"/>
      <c r="F1815" s="3"/>
      <c r="G1815" s="3"/>
      <c r="H1815" s="3"/>
      <c r="I1815" s="3"/>
    </row>
    <row r="1816">
      <c r="A1816" s="4" t="s">
        <v>3120</v>
      </c>
      <c r="B1816" s="13" t="s">
        <v>43</v>
      </c>
      <c r="D1816" s="3"/>
      <c r="E1816" s="3"/>
      <c r="F1816" s="3"/>
      <c r="G1816" s="3"/>
      <c r="H1816" s="3"/>
      <c r="I1816" s="3"/>
    </row>
    <row r="1817">
      <c r="A1817" s="4" t="s">
        <v>3121</v>
      </c>
      <c r="B1817" s="13" t="s">
        <v>43</v>
      </c>
      <c r="D1817" s="3"/>
      <c r="E1817" s="3"/>
      <c r="F1817" s="3"/>
      <c r="G1817" s="3"/>
      <c r="H1817" s="3"/>
      <c r="I1817" s="3"/>
    </row>
    <row r="1818">
      <c r="A1818" s="4" t="s">
        <v>3122</v>
      </c>
      <c r="B1818" s="13" t="s">
        <v>43</v>
      </c>
      <c r="D1818" s="3"/>
      <c r="E1818" s="3"/>
      <c r="F1818" s="3"/>
      <c r="G1818" s="3"/>
      <c r="H1818" s="3"/>
      <c r="I1818" s="3"/>
    </row>
    <row r="1819">
      <c r="A1819" s="4" t="s">
        <v>3123</v>
      </c>
      <c r="B1819" s="13" t="s">
        <v>43</v>
      </c>
      <c r="D1819" s="3"/>
      <c r="E1819" s="3"/>
      <c r="F1819" s="3"/>
      <c r="G1819" s="3"/>
      <c r="H1819" s="3"/>
      <c r="I1819" s="3"/>
    </row>
    <row r="1820">
      <c r="A1820" s="4" t="s">
        <v>3124</v>
      </c>
      <c r="B1820" s="13" t="s">
        <v>43</v>
      </c>
      <c r="D1820" s="3"/>
      <c r="E1820" s="3"/>
      <c r="F1820" s="3"/>
      <c r="G1820" s="3"/>
      <c r="H1820" s="3"/>
      <c r="I1820" s="3"/>
    </row>
    <row r="1821">
      <c r="A1821" s="4" t="s">
        <v>3125</v>
      </c>
      <c r="B1821" s="13" t="s">
        <v>43</v>
      </c>
      <c r="D1821" s="3"/>
      <c r="E1821" s="3"/>
      <c r="F1821" s="3"/>
      <c r="G1821" s="3"/>
      <c r="H1821" s="3"/>
      <c r="I1821" s="3"/>
    </row>
    <row r="1822">
      <c r="A1822" s="4" t="s">
        <v>3126</v>
      </c>
      <c r="B1822" s="13" t="s">
        <v>43</v>
      </c>
      <c r="D1822" s="3"/>
      <c r="E1822" s="3"/>
      <c r="F1822" s="3"/>
      <c r="G1822" s="3"/>
      <c r="H1822" s="3"/>
      <c r="I1822" s="3"/>
    </row>
    <row r="1823">
      <c r="A1823" s="4" t="s">
        <v>3127</v>
      </c>
      <c r="B1823" s="13" t="s">
        <v>43</v>
      </c>
      <c r="D1823" s="3"/>
      <c r="E1823" s="3"/>
      <c r="F1823" s="3"/>
      <c r="G1823" s="3"/>
      <c r="H1823" s="3"/>
      <c r="I1823" s="3"/>
    </row>
    <row r="1824">
      <c r="A1824" s="4" t="s">
        <v>3128</v>
      </c>
      <c r="B1824" s="13" t="s">
        <v>43</v>
      </c>
      <c r="D1824" s="3"/>
      <c r="E1824" s="3"/>
      <c r="F1824" s="3"/>
      <c r="G1824" s="3"/>
      <c r="H1824" s="3"/>
      <c r="I1824" s="3"/>
    </row>
    <row r="1825">
      <c r="A1825" s="4" t="s">
        <v>3129</v>
      </c>
      <c r="B1825" s="13" t="s">
        <v>43</v>
      </c>
      <c r="D1825" s="3"/>
      <c r="E1825" s="3"/>
      <c r="F1825" s="3"/>
      <c r="G1825" s="3"/>
      <c r="H1825" s="3"/>
      <c r="I1825" s="3"/>
    </row>
    <row r="1826">
      <c r="A1826" s="4" t="s">
        <v>3130</v>
      </c>
      <c r="B1826" s="13" t="s">
        <v>43</v>
      </c>
      <c r="D1826" s="3"/>
      <c r="E1826" s="3"/>
      <c r="F1826" s="3"/>
      <c r="G1826" s="3"/>
      <c r="H1826" s="3"/>
      <c r="I1826" s="3"/>
    </row>
    <row r="1827">
      <c r="A1827" s="4" t="s">
        <v>3131</v>
      </c>
      <c r="B1827" s="13" t="s">
        <v>43</v>
      </c>
      <c r="D1827" s="3"/>
      <c r="E1827" s="3"/>
      <c r="F1827" s="3"/>
      <c r="G1827" s="3"/>
      <c r="H1827" s="3"/>
      <c r="I1827" s="3"/>
    </row>
    <row r="1828">
      <c r="A1828" s="4" t="s">
        <v>3132</v>
      </c>
      <c r="B1828" s="13" t="s">
        <v>43</v>
      </c>
      <c r="D1828" s="3"/>
      <c r="E1828" s="3"/>
      <c r="F1828" s="3"/>
      <c r="G1828" s="3"/>
      <c r="H1828" s="3"/>
      <c r="I1828" s="3"/>
    </row>
    <row r="1829">
      <c r="A1829" s="4" t="s">
        <v>3133</v>
      </c>
      <c r="B1829" s="13" t="s">
        <v>43</v>
      </c>
      <c r="D1829" s="3"/>
      <c r="E1829" s="3"/>
      <c r="F1829" s="3"/>
      <c r="G1829" s="3"/>
      <c r="H1829" s="3"/>
      <c r="I1829" s="3"/>
    </row>
    <row r="1830">
      <c r="A1830" s="4" t="s">
        <v>3134</v>
      </c>
      <c r="B1830" s="13" t="s">
        <v>43</v>
      </c>
      <c r="D1830" s="3"/>
      <c r="E1830" s="3"/>
      <c r="F1830" s="3"/>
      <c r="G1830" s="3"/>
      <c r="H1830" s="3"/>
      <c r="I1830" s="3"/>
    </row>
    <row r="1831">
      <c r="A1831" s="4" t="s">
        <v>3135</v>
      </c>
      <c r="B1831" s="13" t="s">
        <v>43</v>
      </c>
      <c r="D1831" s="3"/>
      <c r="E1831" s="3"/>
      <c r="F1831" s="3"/>
      <c r="G1831" s="3"/>
      <c r="H1831" s="3"/>
      <c r="I1831" s="3"/>
    </row>
    <row r="1832">
      <c r="A1832" s="4" t="s">
        <v>3136</v>
      </c>
      <c r="B1832" s="13" t="s">
        <v>43</v>
      </c>
      <c r="D1832" s="3"/>
      <c r="E1832" s="3"/>
      <c r="F1832" s="3"/>
      <c r="G1832" s="3"/>
      <c r="H1832" s="3"/>
      <c r="I1832" s="3"/>
    </row>
    <row r="1833">
      <c r="A1833" s="4" t="s">
        <v>3137</v>
      </c>
      <c r="B1833" s="13" t="s">
        <v>43</v>
      </c>
      <c r="D1833" s="3"/>
      <c r="E1833" s="3"/>
      <c r="F1833" s="3"/>
      <c r="G1833" s="3"/>
      <c r="H1833" s="3"/>
      <c r="I1833" s="3"/>
    </row>
    <row r="1834">
      <c r="A1834" s="4" t="s">
        <v>3138</v>
      </c>
      <c r="B1834" s="13" t="s">
        <v>43</v>
      </c>
      <c r="D1834" s="3"/>
      <c r="E1834" s="3"/>
      <c r="F1834" s="3"/>
      <c r="G1834" s="3"/>
      <c r="H1834" s="3"/>
      <c r="I1834" s="3"/>
    </row>
    <row r="1835">
      <c r="A1835" s="4" t="s">
        <v>3139</v>
      </c>
      <c r="B1835" s="13" t="s">
        <v>43</v>
      </c>
      <c r="D1835" s="3"/>
      <c r="E1835" s="3"/>
      <c r="F1835" s="3"/>
      <c r="G1835" s="3"/>
      <c r="H1835" s="3"/>
      <c r="I1835" s="3"/>
    </row>
    <row r="1836">
      <c r="A1836" s="4" t="s">
        <v>3140</v>
      </c>
      <c r="B1836" s="13" t="s">
        <v>43</v>
      </c>
      <c r="D1836" s="3"/>
      <c r="E1836" s="3"/>
      <c r="F1836" s="3"/>
      <c r="G1836" s="3"/>
      <c r="H1836" s="3"/>
      <c r="I1836" s="3"/>
    </row>
    <row r="1837">
      <c r="A1837" s="4" t="s">
        <v>3141</v>
      </c>
      <c r="B1837" s="13" t="s">
        <v>43</v>
      </c>
      <c r="D1837" s="3"/>
      <c r="E1837" s="3"/>
      <c r="F1837" s="3"/>
      <c r="G1837" s="3"/>
      <c r="H1837" s="3"/>
      <c r="I1837" s="3"/>
    </row>
    <row r="1838">
      <c r="A1838" s="4" t="s">
        <v>3142</v>
      </c>
      <c r="B1838" s="13" t="s">
        <v>43</v>
      </c>
      <c r="D1838" s="3"/>
      <c r="E1838" s="3"/>
      <c r="F1838" s="3"/>
      <c r="G1838" s="3"/>
      <c r="H1838" s="3"/>
      <c r="I1838" s="3"/>
    </row>
    <row r="1839">
      <c r="A1839" s="4" t="s">
        <v>3143</v>
      </c>
      <c r="B1839" s="13" t="s">
        <v>43</v>
      </c>
      <c r="D1839" s="3"/>
      <c r="E1839" s="3"/>
      <c r="F1839" s="3"/>
      <c r="G1839" s="3"/>
      <c r="H1839" s="3"/>
      <c r="I1839" s="3"/>
    </row>
    <row r="1840">
      <c r="A1840" s="4" t="s">
        <v>3144</v>
      </c>
      <c r="B1840" s="13" t="s">
        <v>43</v>
      </c>
      <c r="D1840" s="3"/>
      <c r="E1840" s="3"/>
      <c r="F1840" s="3"/>
      <c r="G1840" s="3"/>
      <c r="H1840" s="3"/>
      <c r="I1840" s="3"/>
    </row>
    <row r="1841">
      <c r="A1841" s="4" t="s">
        <v>3145</v>
      </c>
      <c r="B1841" s="13" t="s">
        <v>43</v>
      </c>
      <c r="D1841" s="3"/>
      <c r="E1841" s="3"/>
      <c r="F1841" s="3"/>
      <c r="G1841" s="3"/>
      <c r="H1841" s="3"/>
      <c r="I1841" s="3"/>
    </row>
    <row r="1842">
      <c r="A1842" s="4" t="s">
        <v>3146</v>
      </c>
      <c r="B1842" s="13" t="s">
        <v>43</v>
      </c>
      <c r="D1842" s="3"/>
      <c r="E1842" s="3"/>
      <c r="F1842" s="3"/>
      <c r="G1842" s="3"/>
      <c r="H1842" s="3"/>
      <c r="I1842" s="3"/>
    </row>
    <row r="1843">
      <c r="A1843" s="4" t="s">
        <v>3147</v>
      </c>
      <c r="B1843" s="13" t="s">
        <v>43</v>
      </c>
      <c r="D1843" s="3"/>
      <c r="E1843" s="3"/>
      <c r="F1843" s="3"/>
      <c r="G1843" s="3"/>
      <c r="H1843" s="3"/>
      <c r="I1843" s="3"/>
    </row>
    <row r="1844">
      <c r="A1844" s="4" t="s">
        <v>3148</v>
      </c>
      <c r="B1844" s="13" t="s">
        <v>43</v>
      </c>
      <c r="D1844" s="3"/>
      <c r="E1844" s="3"/>
      <c r="F1844" s="3"/>
      <c r="G1844" s="3"/>
      <c r="H1844" s="3"/>
      <c r="I1844" s="3"/>
    </row>
    <row r="1845">
      <c r="A1845" s="4" t="s">
        <v>3149</v>
      </c>
      <c r="B1845" s="13" t="s">
        <v>43</v>
      </c>
      <c r="D1845" s="3"/>
      <c r="E1845" s="3"/>
      <c r="F1845" s="3"/>
      <c r="G1845" s="3"/>
      <c r="H1845" s="3"/>
      <c r="I1845" s="3"/>
    </row>
    <row r="1846">
      <c r="A1846" s="4" t="s">
        <v>3150</v>
      </c>
      <c r="B1846" s="13" t="s">
        <v>43</v>
      </c>
      <c r="D1846" s="3"/>
      <c r="E1846" s="3"/>
      <c r="F1846" s="3"/>
      <c r="G1846" s="3"/>
      <c r="H1846" s="3"/>
      <c r="I1846" s="3"/>
    </row>
    <row r="1847">
      <c r="A1847" s="4" t="s">
        <v>3151</v>
      </c>
      <c r="B1847" s="13" t="s">
        <v>43</v>
      </c>
      <c r="D1847" s="3"/>
      <c r="E1847" s="3"/>
      <c r="F1847" s="3"/>
      <c r="G1847" s="3"/>
      <c r="H1847" s="3"/>
      <c r="I1847" s="3"/>
    </row>
    <row r="1848">
      <c r="A1848" s="4" t="s">
        <v>3152</v>
      </c>
      <c r="B1848" s="13" t="s">
        <v>43</v>
      </c>
      <c r="D1848" s="3"/>
      <c r="E1848" s="3"/>
      <c r="F1848" s="3"/>
      <c r="G1848" s="3"/>
      <c r="H1848" s="3"/>
      <c r="I1848" s="3"/>
    </row>
    <row r="1849">
      <c r="A1849" s="4" t="s">
        <v>3153</v>
      </c>
      <c r="B1849" s="13" t="s">
        <v>43</v>
      </c>
      <c r="D1849" s="3"/>
      <c r="E1849" s="3"/>
      <c r="F1849" s="3"/>
      <c r="G1849" s="3"/>
      <c r="H1849" s="3"/>
      <c r="I1849" s="3"/>
    </row>
    <row r="1850">
      <c r="A1850" s="4" t="s">
        <v>3154</v>
      </c>
      <c r="B1850" s="13" t="s">
        <v>43</v>
      </c>
      <c r="D1850" s="3"/>
      <c r="E1850" s="3"/>
      <c r="F1850" s="3"/>
      <c r="G1850" s="3"/>
      <c r="H1850" s="3"/>
      <c r="I1850" s="3"/>
    </row>
    <row r="1851">
      <c r="A1851" s="4" t="s">
        <v>3155</v>
      </c>
      <c r="B1851" s="13" t="s">
        <v>43</v>
      </c>
      <c r="D1851" s="3"/>
      <c r="E1851" s="3"/>
      <c r="F1851" s="3"/>
      <c r="G1851" s="3"/>
      <c r="H1851" s="3"/>
      <c r="I1851" s="3"/>
    </row>
    <row r="1852">
      <c r="A1852" s="4" t="s">
        <v>3156</v>
      </c>
      <c r="B1852" s="13" t="s">
        <v>43</v>
      </c>
      <c r="D1852" s="3"/>
      <c r="E1852" s="3"/>
      <c r="F1852" s="3"/>
      <c r="G1852" s="3"/>
      <c r="H1852" s="3"/>
      <c r="I1852" s="3"/>
    </row>
    <row r="1853">
      <c r="A1853" s="4" t="s">
        <v>3157</v>
      </c>
      <c r="B1853" s="13" t="s">
        <v>43</v>
      </c>
      <c r="D1853" s="3"/>
      <c r="E1853" s="3"/>
      <c r="F1853" s="3"/>
      <c r="G1853" s="3"/>
      <c r="H1853" s="3"/>
      <c r="I1853" s="3"/>
    </row>
    <row r="1854">
      <c r="A1854" s="4" t="s">
        <v>3158</v>
      </c>
      <c r="B1854" s="13" t="s">
        <v>43</v>
      </c>
      <c r="D1854" s="3"/>
      <c r="E1854" s="3"/>
      <c r="F1854" s="3"/>
      <c r="G1854" s="3"/>
      <c r="H1854" s="3"/>
      <c r="I1854" s="3"/>
    </row>
    <row r="1855">
      <c r="A1855" s="4" t="s">
        <v>3159</v>
      </c>
      <c r="B1855" s="13" t="s">
        <v>43</v>
      </c>
      <c r="D1855" s="3"/>
      <c r="E1855" s="3"/>
      <c r="F1855" s="3"/>
      <c r="G1855" s="3"/>
      <c r="H1855" s="3"/>
      <c r="I1855" s="3"/>
    </row>
    <row r="1856">
      <c r="A1856" s="4" t="s">
        <v>3160</v>
      </c>
      <c r="B1856" s="13" t="s">
        <v>43</v>
      </c>
      <c r="D1856" s="3"/>
      <c r="E1856" s="3"/>
      <c r="F1856" s="3"/>
      <c r="G1856" s="3"/>
      <c r="H1856" s="3"/>
      <c r="I1856" s="3"/>
    </row>
    <row r="1857">
      <c r="A1857" s="4" t="s">
        <v>3161</v>
      </c>
      <c r="B1857" s="13" t="s">
        <v>43</v>
      </c>
      <c r="D1857" s="3"/>
      <c r="E1857" s="3"/>
      <c r="F1857" s="3"/>
      <c r="G1857" s="3"/>
      <c r="H1857" s="3"/>
      <c r="I1857" s="3"/>
    </row>
    <row r="1858">
      <c r="A1858" s="4" t="s">
        <v>3162</v>
      </c>
      <c r="B1858" s="13" t="s">
        <v>43</v>
      </c>
      <c r="D1858" s="3"/>
      <c r="E1858" s="3"/>
      <c r="F1858" s="3"/>
      <c r="G1858" s="3"/>
      <c r="H1858" s="3"/>
      <c r="I1858" s="3"/>
    </row>
    <row r="1859">
      <c r="A1859" s="4" t="s">
        <v>3163</v>
      </c>
      <c r="B1859" s="13" t="s">
        <v>43</v>
      </c>
      <c r="D1859" s="3"/>
      <c r="E1859" s="3"/>
      <c r="F1859" s="3"/>
      <c r="G1859" s="3"/>
      <c r="H1859" s="3"/>
      <c r="I1859" s="3"/>
    </row>
    <row r="1860">
      <c r="A1860" s="4" t="s">
        <v>3164</v>
      </c>
      <c r="B1860" s="13" t="s">
        <v>43</v>
      </c>
      <c r="D1860" s="3"/>
      <c r="E1860" s="3"/>
      <c r="F1860" s="3"/>
      <c r="G1860" s="3"/>
      <c r="H1860" s="3"/>
      <c r="I1860" s="3"/>
    </row>
    <row r="1861">
      <c r="A1861" s="4" t="s">
        <v>3165</v>
      </c>
      <c r="B1861" s="13" t="s">
        <v>43</v>
      </c>
      <c r="D1861" s="3"/>
      <c r="E1861" s="3"/>
      <c r="F1861" s="3"/>
      <c r="G1861" s="3"/>
      <c r="H1861" s="3"/>
      <c r="I1861" s="3"/>
    </row>
    <row r="1862">
      <c r="A1862" s="4" t="s">
        <v>3166</v>
      </c>
      <c r="B1862" s="13" t="s">
        <v>43</v>
      </c>
      <c r="D1862" s="3"/>
      <c r="E1862" s="3"/>
      <c r="F1862" s="3"/>
      <c r="G1862" s="3"/>
      <c r="H1862" s="3"/>
      <c r="I1862" s="3"/>
    </row>
    <row r="1863">
      <c r="A1863" s="4" t="s">
        <v>3167</v>
      </c>
      <c r="B1863" s="13" t="s">
        <v>43</v>
      </c>
      <c r="D1863" s="3"/>
      <c r="E1863" s="3"/>
      <c r="F1863" s="3"/>
      <c r="G1863" s="3"/>
      <c r="H1863" s="3"/>
      <c r="I1863" s="3"/>
    </row>
    <row r="1864">
      <c r="A1864" s="4" t="s">
        <v>3168</v>
      </c>
      <c r="B1864" s="13" t="s">
        <v>43</v>
      </c>
      <c r="D1864" s="3"/>
      <c r="E1864" s="3"/>
      <c r="F1864" s="3"/>
      <c r="G1864" s="3"/>
      <c r="H1864" s="3"/>
      <c r="I1864" s="3"/>
    </row>
    <row r="1865">
      <c r="A1865" s="4" t="s">
        <v>3169</v>
      </c>
      <c r="B1865" s="13" t="s">
        <v>43</v>
      </c>
      <c r="D1865" s="3"/>
      <c r="E1865" s="3"/>
      <c r="F1865" s="3"/>
      <c r="G1865" s="3"/>
      <c r="H1865" s="3"/>
      <c r="I1865" s="3"/>
    </row>
    <row r="1866">
      <c r="A1866" s="4" t="s">
        <v>3170</v>
      </c>
      <c r="B1866" s="13" t="s">
        <v>43</v>
      </c>
      <c r="D1866" s="3"/>
      <c r="E1866" s="3"/>
      <c r="F1866" s="3"/>
      <c r="G1866" s="3"/>
      <c r="H1866" s="3"/>
      <c r="I1866" s="3"/>
    </row>
    <row r="1867">
      <c r="A1867" s="4" t="s">
        <v>3171</v>
      </c>
      <c r="B1867" s="13" t="s">
        <v>43</v>
      </c>
      <c r="D1867" s="3"/>
      <c r="E1867" s="3"/>
      <c r="F1867" s="3"/>
      <c r="G1867" s="3"/>
      <c r="H1867" s="3"/>
      <c r="I1867" s="3"/>
    </row>
    <row r="1868">
      <c r="A1868" s="4" t="s">
        <v>3172</v>
      </c>
      <c r="B1868" s="13" t="s">
        <v>43</v>
      </c>
      <c r="D1868" s="3"/>
      <c r="E1868" s="3"/>
      <c r="F1868" s="3"/>
      <c r="G1868" s="3"/>
      <c r="H1868" s="3"/>
      <c r="I1868" s="3"/>
    </row>
    <row r="1869">
      <c r="A1869" s="4" t="s">
        <v>3173</v>
      </c>
      <c r="B1869" s="13" t="s">
        <v>43</v>
      </c>
      <c r="D1869" s="3"/>
      <c r="E1869" s="3"/>
      <c r="F1869" s="3"/>
      <c r="G1869" s="3"/>
      <c r="H1869" s="3"/>
      <c r="I1869" s="3"/>
    </row>
    <row r="1870">
      <c r="A1870" s="4" t="s">
        <v>3174</v>
      </c>
      <c r="B1870" s="13" t="s">
        <v>43</v>
      </c>
      <c r="D1870" s="3"/>
      <c r="E1870" s="3"/>
      <c r="F1870" s="3"/>
      <c r="G1870" s="3"/>
      <c r="H1870" s="3"/>
      <c r="I1870" s="3"/>
    </row>
    <row r="1871">
      <c r="A1871" s="4" t="s">
        <v>3175</v>
      </c>
      <c r="B1871" s="13" t="s">
        <v>43</v>
      </c>
      <c r="D1871" s="3"/>
      <c r="E1871" s="3"/>
      <c r="F1871" s="3"/>
      <c r="G1871" s="3"/>
      <c r="H1871" s="3"/>
      <c r="I1871" s="3"/>
    </row>
    <row r="1872">
      <c r="A1872" s="4" t="s">
        <v>3176</v>
      </c>
      <c r="B1872" s="13" t="s">
        <v>43</v>
      </c>
      <c r="D1872" s="3"/>
      <c r="E1872" s="3"/>
      <c r="F1872" s="3"/>
      <c r="G1872" s="3"/>
      <c r="H1872" s="3"/>
      <c r="I1872" s="3"/>
    </row>
    <row r="1873">
      <c r="A1873" s="4" t="s">
        <v>3177</v>
      </c>
      <c r="B1873" s="13" t="s">
        <v>43</v>
      </c>
      <c r="D1873" s="3"/>
      <c r="E1873" s="3"/>
      <c r="F1873" s="3"/>
      <c r="G1873" s="3"/>
      <c r="H1873" s="3"/>
      <c r="I1873" s="3"/>
    </row>
    <row r="1874">
      <c r="A1874" s="4" t="s">
        <v>3178</v>
      </c>
      <c r="B1874" s="13" t="s">
        <v>43</v>
      </c>
      <c r="D1874" s="3"/>
      <c r="E1874" s="3"/>
      <c r="F1874" s="3"/>
      <c r="G1874" s="3"/>
      <c r="H1874" s="3"/>
      <c r="I1874" s="3"/>
    </row>
    <row r="1875">
      <c r="A1875" s="4" t="s">
        <v>3179</v>
      </c>
      <c r="B1875" s="13" t="s">
        <v>43</v>
      </c>
      <c r="D1875" s="3"/>
      <c r="E1875" s="3"/>
      <c r="F1875" s="3"/>
      <c r="G1875" s="3"/>
      <c r="H1875" s="3"/>
      <c r="I1875" s="3"/>
    </row>
    <row r="1876">
      <c r="A1876" s="4" t="s">
        <v>3180</v>
      </c>
      <c r="B1876" s="13" t="s">
        <v>43</v>
      </c>
      <c r="D1876" s="3"/>
      <c r="E1876" s="3"/>
      <c r="F1876" s="3"/>
      <c r="G1876" s="3"/>
      <c r="H1876" s="3"/>
      <c r="I1876" s="3"/>
    </row>
    <row r="1877">
      <c r="A1877" s="4" t="s">
        <v>3181</v>
      </c>
      <c r="B1877" s="13" t="s">
        <v>43</v>
      </c>
      <c r="D1877" s="3"/>
      <c r="E1877" s="3"/>
      <c r="F1877" s="3"/>
      <c r="G1877" s="3"/>
      <c r="H1877" s="3"/>
      <c r="I1877" s="3"/>
    </row>
    <row r="1878">
      <c r="A1878" s="4" t="s">
        <v>3182</v>
      </c>
      <c r="B1878" s="13" t="s">
        <v>43</v>
      </c>
      <c r="D1878" s="3"/>
      <c r="E1878" s="3"/>
      <c r="F1878" s="3"/>
      <c r="G1878" s="3"/>
      <c r="H1878" s="3"/>
      <c r="I1878" s="3"/>
    </row>
    <row r="1879">
      <c r="A1879" s="4" t="s">
        <v>3183</v>
      </c>
      <c r="B1879" s="13" t="s">
        <v>43</v>
      </c>
      <c r="D1879" s="3"/>
      <c r="E1879" s="3"/>
      <c r="F1879" s="3"/>
      <c r="G1879" s="3"/>
      <c r="H1879" s="3"/>
      <c r="I1879" s="3"/>
    </row>
    <row r="1880">
      <c r="A1880" s="4" t="s">
        <v>3184</v>
      </c>
      <c r="B1880" s="13" t="s">
        <v>43</v>
      </c>
      <c r="D1880" s="3"/>
      <c r="E1880" s="3"/>
      <c r="F1880" s="3"/>
      <c r="G1880" s="3"/>
      <c r="H1880" s="3"/>
      <c r="I1880" s="3"/>
    </row>
    <row r="1881">
      <c r="A1881" s="4" t="s">
        <v>3185</v>
      </c>
      <c r="B1881" s="13" t="s">
        <v>43</v>
      </c>
      <c r="D1881" s="3"/>
      <c r="E1881" s="3"/>
      <c r="F1881" s="3"/>
      <c r="G1881" s="3"/>
      <c r="H1881" s="3"/>
      <c r="I1881" s="3"/>
    </row>
    <row r="1882">
      <c r="A1882" s="4" t="s">
        <v>3186</v>
      </c>
      <c r="B1882" s="13" t="s">
        <v>43</v>
      </c>
      <c r="D1882" s="3"/>
      <c r="E1882" s="3"/>
      <c r="F1882" s="3"/>
      <c r="G1882" s="3"/>
      <c r="H1882" s="3"/>
      <c r="I1882" s="3"/>
    </row>
    <row r="1883">
      <c r="A1883" s="4" t="s">
        <v>3187</v>
      </c>
      <c r="B1883" s="13" t="s">
        <v>43</v>
      </c>
      <c r="D1883" s="3"/>
      <c r="E1883" s="3"/>
      <c r="F1883" s="3"/>
      <c r="G1883" s="3"/>
      <c r="H1883" s="3"/>
      <c r="I1883" s="3"/>
    </row>
    <row r="1884">
      <c r="A1884" s="4" t="s">
        <v>3188</v>
      </c>
      <c r="B1884" s="13" t="s">
        <v>43</v>
      </c>
      <c r="D1884" s="3"/>
      <c r="E1884" s="3"/>
      <c r="F1884" s="3"/>
      <c r="G1884" s="3"/>
      <c r="H1884" s="3"/>
      <c r="I1884" s="3"/>
    </row>
    <row r="1885">
      <c r="A1885" s="4" t="s">
        <v>3189</v>
      </c>
      <c r="B1885" s="13" t="s">
        <v>43</v>
      </c>
      <c r="D1885" s="3"/>
      <c r="E1885" s="3"/>
      <c r="F1885" s="3"/>
      <c r="G1885" s="3"/>
      <c r="H1885" s="3"/>
      <c r="I1885" s="3"/>
    </row>
    <row r="1886">
      <c r="A1886" s="4" t="s">
        <v>3190</v>
      </c>
      <c r="B1886" s="13" t="s">
        <v>43</v>
      </c>
      <c r="D1886" s="3"/>
      <c r="E1886" s="3"/>
      <c r="F1886" s="3"/>
      <c r="G1886" s="3"/>
      <c r="H1886" s="3"/>
      <c r="I1886" s="3"/>
    </row>
    <row r="1887">
      <c r="A1887" s="4" t="s">
        <v>3191</v>
      </c>
      <c r="B1887" s="13" t="s">
        <v>43</v>
      </c>
      <c r="D1887" s="3"/>
      <c r="E1887" s="3"/>
      <c r="F1887" s="3"/>
      <c r="G1887" s="3"/>
      <c r="H1887" s="3"/>
      <c r="I1887" s="3"/>
    </row>
    <row r="1888">
      <c r="A1888" s="4" t="s">
        <v>3192</v>
      </c>
      <c r="B1888" s="13" t="s">
        <v>43</v>
      </c>
      <c r="D1888" s="3"/>
      <c r="E1888" s="3"/>
      <c r="F1888" s="3"/>
      <c r="G1888" s="3"/>
      <c r="H1888" s="3"/>
      <c r="I1888" s="3"/>
    </row>
    <row r="1889">
      <c r="A1889" s="4" t="s">
        <v>3193</v>
      </c>
      <c r="B1889" s="13" t="s">
        <v>43</v>
      </c>
      <c r="D1889" s="3"/>
      <c r="E1889" s="3"/>
      <c r="F1889" s="3"/>
      <c r="G1889" s="3"/>
      <c r="H1889" s="3"/>
      <c r="I1889" s="3"/>
    </row>
    <row r="1890">
      <c r="A1890" s="4" t="s">
        <v>3194</v>
      </c>
      <c r="B1890" s="13" t="s">
        <v>43</v>
      </c>
      <c r="D1890" s="3"/>
      <c r="E1890" s="3"/>
      <c r="F1890" s="3"/>
      <c r="G1890" s="3"/>
      <c r="H1890" s="3"/>
      <c r="I1890" s="3"/>
    </row>
    <row r="1891">
      <c r="A1891" s="4" t="s">
        <v>3195</v>
      </c>
      <c r="B1891" s="13" t="s">
        <v>43</v>
      </c>
      <c r="D1891" s="3"/>
      <c r="E1891" s="3"/>
      <c r="F1891" s="3"/>
      <c r="G1891" s="3"/>
      <c r="H1891" s="3"/>
      <c r="I1891" s="3"/>
    </row>
    <row r="1892">
      <c r="A1892" s="4" t="s">
        <v>3196</v>
      </c>
      <c r="B1892" s="13" t="s">
        <v>43</v>
      </c>
      <c r="D1892" s="3"/>
      <c r="E1892" s="3"/>
      <c r="F1892" s="3"/>
      <c r="G1892" s="3"/>
      <c r="H1892" s="3"/>
      <c r="I1892" s="3"/>
    </row>
    <row r="1893">
      <c r="A1893" s="4" t="s">
        <v>3197</v>
      </c>
      <c r="B1893" s="13" t="s">
        <v>43</v>
      </c>
      <c r="D1893" s="3"/>
      <c r="E1893" s="3"/>
      <c r="F1893" s="3"/>
      <c r="G1893" s="3"/>
      <c r="H1893" s="3"/>
      <c r="I1893" s="3"/>
    </row>
    <row r="1894">
      <c r="A1894" s="4" t="s">
        <v>3198</v>
      </c>
      <c r="B1894" s="13" t="s">
        <v>43</v>
      </c>
      <c r="D1894" s="3"/>
      <c r="E1894" s="3"/>
      <c r="F1894" s="3"/>
      <c r="G1894" s="3"/>
      <c r="H1894" s="3"/>
      <c r="I1894" s="3"/>
    </row>
    <row r="1895">
      <c r="A1895" s="4" t="s">
        <v>3199</v>
      </c>
      <c r="B1895" s="13" t="s">
        <v>43</v>
      </c>
      <c r="D1895" s="3"/>
      <c r="E1895" s="3"/>
      <c r="F1895" s="3"/>
      <c r="G1895" s="3"/>
      <c r="H1895" s="3"/>
      <c r="I1895" s="3"/>
    </row>
    <row r="1896">
      <c r="A1896" s="4" t="s">
        <v>3200</v>
      </c>
      <c r="B1896" s="13" t="s">
        <v>43</v>
      </c>
      <c r="D1896" s="3"/>
      <c r="E1896" s="3"/>
      <c r="F1896" s="3"/>
      <c r="G1896" s="3"/>
      <c r="H1896" s="3"/>
      <c r="I1896" s="3"/>
    </row>
    <row r="1897">
      <c r="A1897" s="4" t="s">
        <v>3201</v>
      </c>
      <c r="B1897" s="13" t="s">
        <v>43</v>
      </c>
      <c r="D1897" s="3"/>
      <c r="E1897" s="3"/>
      <c r="F1897" s="3"/>
      <c r="G1897" s="3"/>
      <c r="H1897" s="3"/>
      <c r="I1897" s="3"/>
    </row>
    <row r="1898">
      <c r="A1898" s="4" t="s">
        <v>3202</v>
      </c>
      <c r="B1898" s="13" t="s">
        <v>43</v>
      </c>
      <c r="D1898" s="3"/>
      <c r="E1898" s="3"/>
      <c r="F1898" s="3"/>
      <c r="G1898" s="3"/>
      <c r="H1898" s="3"/>
      <c r="I1898" s="3"/>
    </row>
    <row r="1899">
      <c r="A1899" s="4" t="s">
        <v>3203</v>
      </c>
      <c r="B1899" s="13" t="s">
        <v>43</v>
      </c>
      <c r="D1899" s="3"/>
      <c r="E1899" s="3"/>
      <c r="F1899" s="3"/>
      <c r="G1899" s="3"/>
      <c r="H1899" s="3"/>
      <c r="I1899" s="3"/>
    </row>
    <row r="1900">
      <c r="A1900" s="4" t="s">
        <v>3204</v>
      </c>
      <c r="B1900" s="13" t="s">
        <v>43</v>
      </c>
      <c r="D1900" s="3"/>
      <c r="E1900" s="3"/>
      <c r="F1900" s="3"/>
      <c r="G1900" s="3"/>
      <c r="H1900" s="3"/>
      <c r="I1900" s="3"/>
    </row>
    <row r="1901">
      <c r="A1901" s="4" t="s">
        <v>3205</v>
      </c>
      <c r="B1901" s="13" t="s">
        <v>43</v>
      </c>
      <c r="D1901" s="3"/>
      <c r="E1901" s="3"/>
      <c r="F1901" s="3"/>
      <c r="G1901" s="3"/>
      <c r="H1901" s="3"/>
      <c r="I1901" s="3"/>
    </row>
    <row r="1902">
      <c r="A1902" s="4" t="s">
        <v>3206</v>
      </c>
      <c r="B1902" s="13" t="s">
        <v>43</v>
      </c>
      <c r="D1902" s="3"/>
      <c r="E1902" s="3"/>
      <c r="F1902" s="3"/>
      <c r="G1902" s="3"/>
      <c r="H1902" s="3"/>
      <c r="I1902" s="3"/>
    </row>
    <row r="1903">
      <c r="A1903" s="4" t="s">
        <v>3207</v>
      </c>
      <c r="B1903" s="13" t="s">
        <v>43</v>
      </c>
      <c r="D1903" s="3"/>
      <c r="E1903" s="3"/>
      <c r="F1903" s="3"/>
      <c r="G1903" s="3"/>
      <c r="H1903" s="3"/>
      <c r="I1903" s="3"/>
    </row>
    <row r="1904">
      <c r="A1904" s="4" t="s">
        <v>3208</v>
      </c>
      <c r="B1904" s="13" t="s">
        <v>43</v>
      </c>
      <c r="D1904" s="3"/>
      <c r="E1904" s="3"/>
      <c r="F1904" s="3"/>
      <c r="G1904" s="3"/>
      <c r="H1904" s="3"/>
      <c r="I1904" s="3"/>
    </row>
    <row r="1905">
      <c r="A1905" s="4" t="s">
        <v>3209</v>
      </c>
      <c r="B1905" s="13" t="s">
        <v>43</v>
      </c>
      <c r="D1905" s="3"/>
      <c r="E1905" s="3"/>
      <c r="F1905" s="3"/>
      <c r="G1905" s="3"/>
      <c r="H1905" s="3"/>
      <c r="I1905" s="3"/>
    </row>
    <row r="1906">
      <c r="A1906" s="4" t="s">
        <v>3210</v>
      </c>
      <c r="B1906" s="13" t="s">
        <v>43</v>
      </c>
      <c r="D1906" s="3"/>
      <c r="E1906" s="3"/>
      <c r="F1906" s="3"/>
      <c r="G1906" s="3"/>
      <c r="H1906" s="3"/>
      <c r="I1906" s="3"/>
    </row>
    <row r="1907">
      <c r="A1907" s="4" t="s">
        <v>3211</v>
      </c>
      <c r="B1907" s="13" t="s">
        <v>43</v>
      </c>
      <c r="D1907" s="3"/>
      <c r="E1907" s="3"/>
      <c r="F1907" s="3"/>
      <c r="G1907" s="3"/>
      <c r="H1907" s="3"/>
      <c r="I1907" s="3"/>
    </row>
    <row r="1908">
      <c r="A1908" s="4" t="s">
        <v>3212</v>
      </c>
      <c r="B1908" s="13" t="s">
        <v>43</v>
      </c>
      <c r="D1908" s="3"/>
      <c r="E1908" s="3"/>
      <c r="F1908" s="3"/>
      <c r="G1908" s="3"/>
      <c r="H1908" s="3"/>
      <c r="I1908" s="3"/>
    </row>
    <row r="1909">
      <c r="A1909" s="4" t="s">
        <v>3213</v>
      </c>
      <c r="B1909" s="13" t="s">
        <v>43</v>
      </c>
      <c r="D1909" s="3"/>
      <c r="E1909" s="3"/>
      <c r="F1909" s="3"/>
      <c r="G1909" s="3"/>
      <c r="H1909" s="3"/>
      <c r="I1909" s="3"/>
    </row>
    <row r="1910">
      <c r="A1910" s="4" t="s">
        <v>3214</v>
      </c>
      <c r="B1910" s="13" t="s">
        <v>43</v>
      </c>
      <c r="D1910" s="3"/>
      <c r="E1910" s="3"/>
      <c r="F1910" s="3"/>
      <c r="G1910" s="3"/>
      <c r="H1910" s="3"/>
      <c r="I1910" s="3"/>
    </row>
    <row r="1911">
      <c r="A1911" s="4" t="s">
        <v>3215</v>
      </c>
      <c r="B1911" s="13" t="s">
        <v>43</v>
      </c>
      <c r="D1911" s="3"/>
      <c r="E1911" s="3"/>
      <c r="F1911" s="3"/>
      <c r="G1911" s="3"/>
      <c r="H1911" s="3"/>
      <c r="I1911" s="3"/>
    </row>
    <row r="1912">
      <c r="A1912" s="4" t="s">
        <v>3216</v>
      </c>
      <c r="B1912" s="13" t="s">
        <v>43</v>
      </c>
      <c r="D1912" s="3"/>
      <c r="E1912" s="3"/>
      <c r="F1912" s="3"/>
      <c r="G1912" s="3"/>
      <c r="H1912" s="3"/>
      <c r="I1912" s="3"/>
    </row>
    <row r="1913">
      <c r="A1913" s="4" t="s">
        <v>3217</v>
      </c>
      <c r="B1913" s="13" t="s">
        <v>43</v>
      </c>
      <c r="D1913" s="3"/>
      <c r="E1913" s="3"/>
      <c r="F1913" s="3"/>
      <c r="G1913" s="3"/>
      <c r="H1913" s="3"/>
      <c r="I1913" s="3"/>
    </row>
    <row r="1914">
      <c r="A1914" s="4" t="s">
        <v>3218</v>
      </c>
      <c r="B1914" s="13" t="s">
        <v>43</v>
      </c>
      <c r="D1914" s="3"/>
      <c r="E1914" s="3"/>
      <c r="F1914" s="3"/>
      <c r="G1914" s="3"/>
      <c r="H1914" s="3"/>
      <c r="I1914" s="3"/>
    </row>
    <row r="1915">
      <c r="A1915" s="4" t="s">
        <v>3219</v>
      </c>
      <c r="B1915" s="13" t="s">
        <v>43</v>
      </c>
      <c r="D1915" s="3"/>
      <c r="E1915" s="3"/>
      <c r="F1915" s="3"/>
      <c r="G1915" s="3"/>
      <c r="H1915" s="3"/>
      <c r="I1915" s="3"/>
    </row>
    <row r="1916">
      <c r="A1916" s="4" t="s">
        <v>3220</v>
      </c>
      <c r="B1916" s="13" t="s">
        <v>43</v>
      </c>
      <c r="D1916" s="3"/>
      <c r="E1916" s="3"/>
      <c r="F1916" s="3"/>
      <c r="G1916" s="3"/>
      <c r="H1916" s="3"/>
      <c r="I1916" s="3"/>
    </row>
    <row r="1917">
      <c r="A1917" s="4" t="s">
        <v>3221</v>
      </c>
      <c r="B1917" s="13" t="s">
        <v>43</v>
      </c>
      <c r="D1917" s="3"/>
      <c r="E1917" s="3"/>
      <c r="F1917" s="3"/>
      <c r="G1917" s="3"/>
      <c r="H1917" s="3"/>
      <c r="I1917" s="3"/>
    </row>
    <row r="1918">
      <c r="A1918" s="4" t="s">
        <v>3222</v>
      </c>
      <c r="B1918" s="13" t="s">
        <v>43</v>
      </c>
      <c r="D1918" s="3"/>
      <c r="E1918" s="3"/>
      <c r="F1918" s="3"/>
      <c r="G1918" s="3"/>
      <c r="H1918" s="3"/>
      <c r="I1918" s="3"/>
    </row>
    <row r="1919">
      <c r="A1919" s="4" t="s">
        <v>3223</v>
      </c>
      <c r="B1919" s="13" t="s">
        <v>43</v>
      </c>
      <c r="D1919" s="3"/>
      <c r="E1919" s="3"/>
      <c r="F1919" s="3"/>
      <c r="G1919" s="3"/>
      <c r="H1919" s="3"/>
      <c r="I1919" s="3"/>
    </row>
    <row r="1920">
      <c r="A1920" s="4" t="s">
        <v>3224</v>
      </c>
      <c r="B1920" s="13" t="s">
        <v>43</v>
      </c>
      <c r="D1920" s="3"/>
      <c r="E1920" s="3"/>
      <c r="F1920" s="3"/>
      <c r="G1920" s="3"/>
      <c r="H1920" s="3"/>
      <c r="I1920" s="3"/>
    </row>
    <row r="1921">
      <c r="A1921" s="4" t="s">
        <v>3225</v>
      </c>
      <c r="B1921" s="13" t="s">
        <v>43</v>
      </c>
      <c r="D1921" s="3"/>
      <c r="E1921" s="3"/>
      <c r="F1921" s="3"/>
      <c r="G1921" s="3"/>
      <c r="H1921" s="3"/>
      <c r="I1921" s="3"/>
    </row>
    <row r="1922">
      <c r="A1922" s="4" t="s">
        <v>3226</v>
      </c>
      <c r="B1922" s="13" t="s">
        <v>43</v>
      </c>
      <c r="D1922" s="3"/>
      <c r="E1922" s="3"/>
      <c r="F1922" s="3"/>
      <c r="G1922" s="3"/>
      <c r="H1922" s="3"/>
      <c r="I1922" s="3"/>
    </row>
    <row r="1923">
      <c r="A1923" s="4" t="s">
        <v>3227</v>
      </c>
      <c r="B1923" s="13" t="s">
        <v>43</v>
      </c>
      <c r="D1923" s="3"/>
      <c r="E1923" s="3"/>
      <c r="F1923" s="3"/>
      <c r="G1923" s="3"/>
      <c r="H1923" s="3"/>
      <c r="I1923" s="3"/>
    </row>
    <row r="1924">
      <c r="A1924" s="4" t="s">
        <v>3228</v>
      </c>
      <c r="B1924" s="13" t="s">
        <v>43</v>
      </c>
      <c r="D1924" s="3"/>
      <c r="E1924" s="3"/>
      <c r="F1924" s="3"/>
      <c r="G1924" s="3"/>
      <c r="H1924" s="3"/>
      <c r="I1924" s="3"/>
    </row>
    <row r="1925">
      <c r="A1925" s="4" t="s">
        <v>3229</v>
      </c>
      <c r="B1925" s="13" t="s">
        <v>43</v>
      </c>
      <c r="D1925" s="3"/>
      <c r="E1925" s="3"/>
      <c r="F1925" s="3"/>
      <c r="G1925" s="3"/>
      <c r="H1925" s="3"/>
      <c r="I1925" s="3"/>
    </row>
    <row r="1926">
      <c r="A1926" s="4" t="s">
        <v>3230</v>
      </c>
      <c r="B1926" s="13" t="s">
        <v>43</v>
      </c>
      <c r="D1926" s="3"/>
      <c r="E1926" s="3"/>
      <c r="F1926" s="3"/>
      <c r="G1926" s="3"/>
      <c r="H1926" s="3"/>
      <c r="I1926" s="3"/>
    </row>
    <row r="1927">
      <c r="A1927" s="4" t="s">
        <v>3231</v>
      </c>
      <c r="B1927" s="13" t="s">
        <v>43</v>
      </c>
      <c r="D1927" s="3"/>
      <c r="E1927" s="3"/>
      <c r="F1927" s="3"/>
      <c r="G1927" s="3"/>
      <c r="H1927" s="3"/>
      <c r="I1927" s="3"/>
    </row>
    <row r="1928">
      <c r="A1928" s="4" t="s">
        <v>3232</v>
      </c>
      <c r="B1928" s="13" t="s">
        <v>43</v>
      </c>
      <c r="D1928" s="3"/>
      <c r="E1928" s="3"/>
      <c r="F1928" s="3"/>
      <c r="G1928" s="3"/>
      <c r="H1928" s="3"/>
      <c r="I1928" s="3"/>
    </row>
    <row r="1929">
      <c r="A1929" s="4" t="s">
        <v>3233</v>
      </c>
      <c r="B1929" s="13" t="s">
        <v>43</v>
      </c>
      <c r="D1929" s="3"/>
      <c r="E1929" s="3"/>
      <c r="F1929" s="3"/>
      <c r="G1929" s="3"/>
      <c r="H1929" s="3"/>
      <c r="I1929" s="3"/>
    </row>
    <row r="1930">
      <c r="A1930" s="4" t="s">
        <v>3234</v>
      </c>
      <c r="B1930" s="13" t="s">
        <v>43</v>
      </c>
      <c r="D1930" s="3"/>
      <c r="E1930" s="3"/>
      <c r="F1930" s="3"/>
      <c r="G1930" s="3"/>
      <c r="H1930" s="3"/>
      <c r="I1930" s="3"/>
    </row>
    <row r="1931">
      <c r="A1931" s="4" t="s">
        <v>3235</v>
      </c>
      <c r="B1931" s="13" t="s">
        <v>43</v>
      </c>
      <c r="D1931" s="3"/>
      <c r="E1931" s="3"/>
      <c r="F1931" s="3"/>
      <c r="G1931" s="3"/>
      <c r="H1931" s="3"/>
      <c r="I1931" s="3"/>
    </row>
    <row r="1932">
      <c r="A1932" s="4" t="s">
        <v>3236</v>
      </c>
      <c r="B1932" s="13" t="s">
        <v>43</v>
      </c>
      <c r="D1932" s="3"/>
      <c r="E1932" s="3"/>
      <c r="F1932" s="3"/>
      <c r="G1932" s="3"/>
      <c r="H1932" s="3"/>
      <c r="I1932" s="3"/>
    </row>
    <row r="1933">
      <c r="A1933" s="4" t="s">
        <v>3237</v>
      </c>
      <c r="B1933" s="13" t="s">
        <v>43</v>
      </c>
      <c r="D1933" s="3"/>
      <c r="E1933" s="3"/>
      <c r="F1933" s="3"/>
      <c r="G1933" s="3"/>
      <c r="H1933" s="3"/>
      <c r="I1933" s="3"/>
    </row>
    <row r="1934">
      <c r="A1934" s="4" t="s">
        <v>3238</v>
      </c>
      <c r="B1934" s="13" t="s">
        <v>43</v>
      </c>
      <c r="D1934" s="3"/>
      <c r="E1934" s="3"/>
      <c r="F1934" s="3"/>
      <c r="G1934" s="3"/>
      <c r="H1934" s="3"/>
      <c r="I1934" s="3"/>
    </row>
    <row r="1935">
      <c r="A1935" s="4" t="s">
        <v>3239</v>
      </c>
      <c r="B1935" s="13" t="s">
        <v>43</v>
      </c>
      <c r="D1935" s="3"/>
      <c r="E1935" s="3"/>
      <c r="F1935" s="3"/>
      <c r="G1935" s="3"/>
      <c r="H1935" s="3"/>
      <c r="I1935" s="3"/>
    </row>
    <row r="1936">
      <c r="A1936" s="4" t="s">
        <v>3240</v>
      </c>
      <c r="B1936" s="13" t="s">
        <v>43</v>
      </c>
      <c r="D1936" s="3"/>
      <c r="E1936" s="3"/>
      <c r="F1936" s="3"/>
      <c r="G1936" s="3"/>
      <c r="H1936" s="3"/>
      <c r="I1936" s="3"/>
    </row>
    <row r="1937">
      <c r="A1937" s="4" t="s">
        <v>3241</v>
      </c>
      <c r="B1937" s="13" t="s">
        <v>43</v>
      </c>
      <c r="D1937" s="3"/>
      <c r="E1937" s="3"/>
      <c r="F1937" s="3"/>
      <c r="G1937" s="3"/>
      <c r="H1937" s="3"/>
      <c r="I1937" s="3"/>
    </row>
    <row r="1938">
      <c r="A1938" s="4" t="s">
        <v>3242</v>
      </c>
      <c r="B1938" s="13" t="s">
        <v>43</v>
      </c>
      <c r="D1938" s="3"/>
      <c r="E1938" s="3"/>
      <c r="F1938" s="3"/>
      <c r="G1938" s="3"/>
      <c r="H1938" s="3"/>
      <c r="I1938" s="3"/>
    </row>
    <row r="1939">
      <c r="A1939" s="4" t="s">
        <v>3243</v>
      </c>
      <c r="B1939" s="13" t="s">
        <v>43</v>
      </c>
      <c r="D1939" s="3"/>
      <c r="E1939" s="3"/>
      <c r="F1939" s="3"/>
      <c r="G1939" s="3"/>
      <c r="H1939" s="3"/>
      <c r="I1939" s="3"/>
    </row>
    <row r="1940">
      <c r="A1940" s="4" t="s">
        <v>3244</v>
      </c>
      <c r="B1940" s="13" t="s">
        <v>43</v>
      </c>
      <c r="D1940" s="3"/>
      <c r="E1940" s="3"/>
      <c r="F1940" s="3"/>
      <c r="G1940" s="3"/>
      <c r="H1940" s="3"/>
      <c r="I1940" s="3"/>
    </row>
    <row r="1941">
      <c r="A1941" s="4" t="s">
        <v>3245</v>
      </c>
      <c r="B1941" s="13" t="s">
        <v>43</v>
      </c>
      <c r="D1941" s="3"/>
      <c r="E1941" s="3"/>
      <c r="F1941" s="3"/>
      <c r="G1941" s="3"/>
      <c r="H1941" s="3"/>
      <c r="I1941" s="3"/>
    </row>
    <row r="1942">
      <c r="A1942" s="4" t="s">
        <v>3246</v>
      </c>
      <c r="B1942" s="13" t="s">
        <v>43</v>
      </c>
      <c r="D1942" s="3"/>
      <c r="E1942" s="3"/>
      <c r="F1942" s="3"/>
      <c r="G1942" s="3"/>
      <c r="H1942" s="3"/>
      <c r="I1942" s="3"/>
    </row>
    <row r="1943">
      <c r="A1943" s="4" t="s">
        <v>3247</v>
      </c>
      <c r="B1943" s="13" t="s">
        <v>43</v>
      </c>
      <c r="D1943" s="3"/>
      <c r="E1943" s="3"/>
      <c r="F1943" s="3"/>
      <c r="G1943" s="3"/>
      <c r="H1943" s="3"/>
      <c r="I1943" s="3"/>
    </row>
    <row r="1944">
      <c r="A1944" s="4" t="s">
        <v>3248</v>
      </c>
      <c r="B1944" s="13" t="s">
        <v>43</v>
      </c>
      <c r="D1944" s="3"/>
      <c r="E1944" s="3"/>
      <c r="F1944" s="3"/>
      <c r="G1944" s="3"/>
      <c r="H1944" s="3"/>
      <c r="I1944" s="3"/>
    </row>
    <row r="1945">
      <c r="A1945" s="4" t="s">
        <v>3249</v>
      </c>
      <c r="B1945" s="13" t="s">
        <v>43</v>
      </c>
      <c r="D1945" s="3"/>
      <c r="E1945" s="3"/>
      <c r="F1945" s="3"/>
      <c r="G1945" s="3"/>
      <c r="H1945" s="3"/>
      <c r="I1945" s="3"/>
    </row>
    <row r="1946">
      <c r="A1946" s="4" t="s">
        <v>3250</v>
      </c>
      <c r="B1946" s="13" t="s">
        <v>43</v>
      </c>
      <c r="D1946" s="3"/>
      <c r="E1946" s="3"/>
      <c r="F1946" s="3"/>
      <c r="G1946" s="3"/>
      <c r="H1946" s="3"/>
      <c r="I1946" s="3"/>
    </row>
    <row r="1947">
      <c r="A1947" s="4" t="s">
        <v>3251</v>
      </c>
      <c r="B1947" s="13" t="s">
        <v>43</v>
      </c>
      <c r="D1947" s="3"/>
      <c r="E1947" s="3"/>
      <c r="F1947" s="3"/>
      <c r="G1947" s="3"/>
      <c r="H1947" s="3"/>
      <c r="I1947" s="3"/>
      <c r="J1947" s="4" t="s">
        <v>1757</v>
      </c>
    </row>
    <row r="1948">
      <c r="A1948" s="4" t="s">
        <v>3252</v>
      </c>
      <c r="B1948" s="13" t="s">
        <v>43</v>
      </c>
      <c r="D1948" s="3"/>
      <c r="E1948" s="3"/>
      <c r="F1948" s="3"/>
      <c r="G1948" s="3"/>
      <c r="H1948" s="3"/>
      <c r="I1948" s="3"/>
      <c r="J1948" s="4" t="s">
        <v>1757</v>
      </c>
    </row>
    <row r="1949">
      <c r="A1949" s="4" t="s">
        <v>3253</v>
      </c>
      <c r="B1949" s="13" t="s">
        <v>43</v>
      </c>
      <c r="D1949" s="3"/>
      <c r="E1949" s="3"/>
      <c r="F1949" s="3"/>
      <c r="G1949" s="3"/>
      <c r="H1949" s="3"/>
      <c r="I1949" s="3"/>
      <c r="J1949" s="4" t="s">
        <v>1757</v>
      </c>
    </row>
    <row r="1950">
      <c r="A1950" s="4" t="s">
        <v>3254</v>
      </c>
      <c r="B1950" s="13" t="s">
        <v>43</v>
      </c>
      <c r="D1950" s="3"/>
      <c r="E1950" s="3"/>
      <c r="F1950" s="3"/>
      <c r="G1950" s="3"/>
      <c r="H1950" s="3"/>
      <c r="I1950" s="3"/>
      <c r="J1950" s="4" t="s">
        <v>1757</v>
      </c>
    </row>
    <row r="1951">
      <c r="A1951" s="4" t="s">
        <v>3255</v>
      </c>
      <c r="B1951" s="13" t="s">
        <v>43</v>
      </c>
      <c r="D1951" s="3"/>
      <c r="E1951" s="3"/>
      <c r="F1951" s="3"/>
      <c r="G1951" s="3"/>
      <c r="H1951" s="3"/>
      <c r="I1951" s="3"/>
      <c r="J1951" s="4" t="s">
        <v>1757</v>
      </c>
    </row>
    <row r="1952">
      <c r="A1952" s="4" t="s">
        <v>3256</v>
      </c>
      <c r="B1952" s="13" t="s">
        <v>43</v>
      </c>
      <c r="D1952" s="3"/>
      <c r="E1952" s="3"/>
      <c r="F1952" s="3"/>
      <c r="G1952" s="3"/>
      <c r="H1952" s="3"/>
      <c r="I1952" s="3"/>
      <c r="J1952" s="4" t="s">
        <v>1757</v>
      </c>
    </row>
    <row r="1953">
      <c r="A1953" s="4" t="s">
        <v>3257</v>
      </c>
      <c r="B1953" s="13" t="s">
        <v>43</v>
      </c>
      <c r="D1953" s="3"/>
      <c r="E1953" s="3"/>
      <c r="F1953" s="3"/>
      <c r="G1953" s="3"/>
      <c r="H1953" s="3"/>
      <c r="I1953" s="3"/>
      <c r="J1953" s="4" t="s">
        <v>1757</v>
      </c>
    </row>
    <row r="1954">
      <c r="A1954" s="4" t="s">
        <v>3258</v>
      </c>
      <c r="B1954" s="13" t="s">
        <v>43</v>
      </c>
      <c r="D1954" s="3"/>
      <c r="E1954" s="3"/>
      <c r="F1954" s="3"/>
      <c r="G1954" s="3"/>
      <c r="H1954" s="3"/>
      <c r="I1954" s="3"/>
      <c r="J1954" s="4" t="s">
        <v>1757</v>
      </c>
    </row>
    <row r="1955">
      <c r="A1955" s="4" t="s">
        <v>3259</v>
      </c>
      <c r="B1955" s="13" t="s">
        <v>43</v>
      </c>
      <c r="D1955" s="3"/>
      <c r="E1955" s="3"/>
      <c r="F1955" s="3"/>
      <c r="G1955" s="3"/>
      <c r="H1955" s="3"/>
      <c r="I1955" s="3"/>
      <c r="J1955" s="4" t="s">
        <v>1757</v>
      </c>
    </row>
    <row r="1956">
      <c r="A1956" s="4" t="s">
        <v>3260</v>
      </c>
      <c r="B1956" s="13" t="s">
        <v>43</v>
      </c>
      <c r="D1956" s="3"/>
      <c r="E1956" s="3"/>
      <c r="F1956" s="3"/>
      <c r="G1956" s="3"/>
      <c r="H1956" s="3"/>
      <c r="I1956" s="3"/>
      <c r="J1956" s="4" t="s">
        <v>1757</v>
      </c>
    </row>
    <row r="1957">
      <c r="A1957" s="4" t="s">
        <v>3261</v>
      </c>
      <c r="B1957" s="13" t="s">
        <v>43</v>
      </c>
      <c r="D1957" s="3"/>
      <c r="E1957" s="3"/>
      <c r="F1957" s="3"/>
      <c r="G1957" s="3"/>
      <c r="H1957" s="3"/>
      <c r="I1957" s="3"/>
    </row>
    <row r="1958">
      <c r="A1958" s="4" t="s">
        <v>3262</v>
      </c>
      <c r="B1958" s="13" t="s">
        <v>43</v>
      </c>
      <c r="D1958" s="3"/>
      <c r="E1958" s="3"/>
      <c r="F1958" s="3"/>
      <c r="G1958" s="3"/>
      <c r="H1958" s="3"/>
      <c r="I1958" s="3"/>
    </row>
    <row r="1959">
      <c r="A1959" s="4" t="s">
        <v>3263</v>
      </c>
      <c r="B1959" s="13" t="s">
        <v>43</v>
      </c>
      <c r="D1959" s="3"/>
      <c r="E1959" s="3"/>
      <c r="F1959" s="3"/>
      <c r="G1959" s="3"/>
      <c r="H1959" s="3"/>
      <c r="I1959" s="3"/>
    </row>
    <row r="1960">
      <c r="A1960" s="4" t="s">
        <v>3264</v>
      </c>
      <c r="B1960" s="13" t="s">
        <v>43</v>
      </c>
      <c r="D1960" s="3"/>
      <c r="E1960" s="3"/>
      <c r="F1960" s="3"/>
      <c r="G1960" s="3"/>
      <c r="H1960" s="3"/>
      <c r="I1960" s="3"/>
    </row>
    <row r="1961">
      <c r="A1961" s="4" t="s">
        <v>3265</v>
      </c>
      <c r="B1961" s="13" t="s">
        <v>43</v>
      </c>
      <c r="D1961" s="3"/>
      <c r="E1961" s="3"/>
      <c r="F1961" s="3"/>
      <c r="G1961" s="3"/>
      <c r="H1961" s="3"/>
      <c r="I1961" s="3"/>
    </row>
    <row r="1962">
      <c r="A1962" s="4" t="s">
        <v>3266</v>
      </c>
      <c r="B1962" s="13" t="s">
        <v>43</v>
      </c>
      <c r="D1962" s="3"/>
      <c r="E1962" s="3"/>
      <c r="F1962" s="3"/>
      <c r="G1962" s="3"/>
      <c r="H1962" s="3"/>
      <c r="I1962" s="3"/>
    </row>
    <row r="1963">
      <c r="A1963" s="4" t="s">
        <v>3267</v>
      </c>
      <c r="B1963" s="13" t="s">
        <v>43</v>
      </c>
      <c r="D1963" s="3"/>
      <c r="E1963" s="3"/>
      <c r="F1963" s="3"/>
      <c r="G1963" s="3"/>
      <c r="H1963" s="3"/>
      <c r="I1963" s="3"/>
    </row>
    <row r="1964">
      <c r="A1964" s="4" t="s">
        <v>3268</v>
      </c>
      <c r="B1964" s="13" t="s">
        <v>43</v>
      </c>
      <c r="D1964" s="3"/>
      <c r="E1964" s="3"/>
      <c r="F1964" s="3"/>
      <c r="G1964" s="3"/>
      <c r="H1964" s="3"/>
      <c r="I1964" s="3"/>
    </row>
    <row r="1965">
      <c r="A1965" s="4" t="s">
        <v>3269</v>
      </c>
      <c r="B1965" s="13" t="s">
        <v>43</v>
      </c>
      <c r="D1965" s="3"/>
      <c r="E1965" s="3"/>
      <c r="F1965" s="3"/>
      <c r="G1965" s="3"/>
      <c r="H1965" s="3"/>
      <c r="I1965" s="3"/>
    </row>
    <row r="1966">
      <c r="A1966" s="4" t="s">
        <v>3270</v>
      </c>
      <c r="B1966" s="13" t="s">
        <v>43</v>
      </c>
      <c r="D1966" s="3"/>
      <c r="E1966" s="3"/>
      <c r="F1966" s="3"/>
      <c r="G1966" s="3"/>
      <c r="H1966" s="3"/>
      <c r="I1966" s="3"/>
    </row>
    <row r="1967">
      <c r="A1967" s="4" t="s">
        <v>3271</v>
      </c>
      <c r="B1967" s="13" t="s">
        <v>43</v>
      </c>
      <c r="D1967" s="3"/>
      <c r="E1967" s="3"/>
      <c r="F1967" s="3"/>
      <c r="G1967" s="3"/>
      <c r="H1967" s="3"/>
      <c r="I1967" s="3"/>
    </row>
    <row r="1968">
      <c r="A1968" s="4" t="s">
        <v>3272</v>
      </c>
      <c r="B1968" s="13" t="s">
        <v>43</v>
      </c>
      <c r="D1968" s="3"/>
      <c r="E1968" s="3"/>
      <c r="F1968" s="3"/>
      <c r="G1968" s="3"/>
      <c r="H1968" s="3"/>
      <c r="I1968" s="3"/>
    </row>
    <row r="1969">
      <c r="A1969" s="4" t="s">
        <v>3273</v>
      </c>
      <c r="B1969" s="13" t="s">
        <v>43</v>
      </c>
      <c r="D1969" s="3"/>
      <c r="E1969" s="3"/>
      <c r="F1969" s="3"/>
      <c r="G1969" s="3"/>
      <c r="H1969" s="3"/>
      <c r="I1969" s="3"/>
    </row>
    <row r="1970">
      <c r="A1970" s="4" t="s">
        <v>3274</v>
      </c>
      <c r="B1970" s="13" t="s">
        <v>43</v>
      </c>
      <c r="D1970" s="3"/>
      <c r="E1970" s="3"/>
      <c r="F1970" s="3"/>
      <c r="G1970" s="3"/>
      <c r="H1970" s="3"/>
      <c r="I1970" s="3"/>
    </row>
    <row r="1971">
      <c r="A1971" s="4" t="s">
        <v>3275</v>
      </c>
      <c r="B1971" s="13" t="s">
        <v>43</v>
      </c>
      <c r="D1971" s="3"/>
      <c r="E1971" s="3"/>
      <c r="F1971" s="3"/>
      <c r="G1971" s="3"/>
      <c r="H1971" s="3"/>
      <c r="I1971" s="3"/>
    </row>
    <row r="1972">
      <c r="A1972" s="4" t="s">
        <v>3276</v>
      </c>
      <c r="B1972" s="13" t="s">
        <v>43</v>
      </c>
      <c r="D1972" s="3"/>
      <c r="E1972" s="3"/>
      <c r="F1972" s="3"/>
      <c r="G1972" s="3"/>
      <c r="H1972" s="3"/>
      <c r="I1972" s="3"/>
    </row>
    <row r="1973">
      <c r="A1973" s="4" t="s">
        <v>3277</v>
      </c>
      <c r="B1973" s="13" t="s">
        <v>43</v>
      </c>
      <c r="D1973" s="3"/>
      <c r="E1973" s="3"/>
      <c r="F1973" s="3"/>
      <c r="G1973" s="3"/>
      <c r="H1973" s="3"/>
      <c r="I1973" s="3"/>
    </row>
    <row r="1974">
      <c r="A1974" s="4" t="s">
        <v>3278</v>
      </c>
      <c r="B1974" s="13" t="s">
        <v>43</v>
      </c>
      <c r="D1974" s="3"/>
      <c r="E1974" s="3"/>
      <c r="F1974" s="3"/>
      <c r="G1974" s="3"/>
      <c r="H1974" s="3"/>
      <c r="I1974" s="3"/>
    </row>
    <row r="1975">
      <c r="A1975" s="4" t="s">
        <v>3279</v>
      </c>
      <c r="B1975" s="13" t="s">
        <v>43</v>
      </c>
      <c r="D1975" s="3"/>
      <c r="E1975" s="3"/>
      <c r="F1975" s="3"/>
      <c r="G1975" s="3"/>
      <c r="H1975" s="3"/>
      <c r="I1975" s="3"/>
    </row>
    <row r="1976">
      <c r="A1976" s="4" t="s">
        <v>3280</v>
      </c>
      <c r="B1976" s="13" t="s">
        <v>43</v>
      </c>
      <c r="D1976" s="3"/>
      <c r="E1976" s="3"/>
      <c r="F1976" s="3"/>
      <c r="G1976" s="3"/>
      <c r="H1976" s="3"/>
      <c r="I1976" s="3"/>
    </row>
    <row r="1977">
      <c r="A1977" s="4" t="s">
        <v>3281</v>
      </c>
      <c r="B1977" s="13" t="s">
        <v>43</v>
      </c>
      <c r="D1977" s="3"/>
      <c r="E1977" s="3"/>
      <c r="F1977" s="3"/>
      <c r="G1977" s="3"/>
      <c r="H1977" s="3"/>
      <c r="I1977" s="3"/>
    </row>
    <row r="1978">
      <c r="A1978" s="4" t="s">
        <v>3282</v>
      </c>
      <c r="B1978" s="13" t="s">
        <v>43</v>
      </c>
      <c r="D1978" s="3"/>
      <c r="E1978" s="3"/>
      <c r="F1978" s="3"/>
      <c r="G1978" s="3"/>
      <c r="H1978" s="3"/>
      <c r="I1978" s="3"/>
    </row>
    <row r="1979">
      <c r="A1979" s="4" t="s">
        <v>3283</v>
      </c>
      <c r="B1979" s="13" t="s">
        <v>43</v>
      </c>
      <c r="D1979" s="3"/>
      <c r="E1979" s="3"/>
      <c r="F1979" s="3"/>
      <c r="G1979" s="3"/>
      <c r="H1979" s="3"/>
      <c r="I1979" s="3"/>
    </row>
    <row r="1980">
      <c r="A1980" s="4" t="s">
        <v>3284</v>
      </c>
      <c r="B1980" s="13" t="s">
        <v>43</v>
      </c>
      <c r="D1980" s="3"/>
      <c r="E1980" s="3"/>
      <c r="F1980" s="3"/>
      <c r="G1980" s="3"/>
      <c r="H1980" s="3"/>
      <c r="I1980" s="3"/>
    </row>
    <row r="1981">
      <c r="A1981" s="4" t="s">
        <v>3285</v>
      </c>
      <c r="B1981" s="13" t="s">
        <v>43</v>
      </c>
      <c r="D1981" s="3"/>
      <c r="E1981" s="3"/>
      <c r="F1981" s="3"/>
      <c r="G1981" s="3"/>
      <c r="H1981" s="3"/>
      <c r="I1981" s="3"/>
    </row>
    <row r="1982">
      <c r="A1982" s="4" t="s">
        <v>3286</v>
      </c>
      <c r="B1982" s="13" t="s">
        <v>43</v>
      </c>
      <c r="D1982" s="3"/>
      <c r="E1982" s="3"/>
      <c r="F1982" s="3"/>
      <c r="G1982" s="3"/>
      <c r="H1982" s="3"/>
      <c r="I1982" s="3"/>
    </row>
    <row r="1983">
      <c r="A1983" s="4" t="s">
        <v>3287</v>
      </c>
      <c r="B1983" s="13" t="s">
        <v>43</v>
      </c>
      <c r="D1983" s="3"/>
      <c r="E1983" s="3"/>
      <c r="F1983" s="3"/>
      <c r="G1983" s="3"/>
      <c r="H1983" s="3"/>
      <c r="I1983" s="3"/>
    </row>
    <row r="1984">
      <c r="A1984" s="4" t="s">
        <v>3288</v>
      </c>
      <c r="B1984" s="13" t="s">
        <v>43</v>
      </c>
      <c r="D1984" s="3"/>
      <c r="E1984" s="3"/>
      <c r="F1984" s="3"/>
      <c r="G1984" s="3"/>
      <c r="H1984" s="3"/>
      <c r="I1984" s="3"/>
    </row>
    <row r="1985">
      <c r="A1985" s="4" t="s">
        <v>3289</v>
      </c>
      <c r="B1985" s="13" t="s">
        <v>43</v>
      </c>
      <c r="D1985" s="3"/>
      <c r="E1985" s="3"/>
      <c r="F1985" s="3"/>
      <c r="G1985" s="3"/>
      <c r="H1985" s="3"/>
      <c r="I1985" s="3"/>
    </row>
    <row r="1986">
      <c r="A1986" s="4" t="s">
        <v>3290</v>
      </c>
      <c r="B1986" s="13" t="s">
        <v>43</v>
      </c>
      <c r="D1986" s="3"/>
      <c r="E1986" s="3"/>
      <c r="F1986" s="3"/>
      <c r="G1986" s="3"/>
      <c r="H1986" s="3"/>
      <c r="I1986" s="3"/>
    </row>
    <row r="1987">
      <c r="A1987" s="4" t="s">
        <v>3291</v>
      </c>
      <c r="B1987" s="13" t="s">
        <v>48</v>
      </c>
      <c r="C1987" s="4">
        <v>1.0</v>
      </c>
      <c r="D1987" s="3"/>
      <c r="E1987" s="4">
        <v>2.0</v>
      </c>
      <c r="F1987" s="3"/>
      <c r="G1987" s="3"/>
      <c r="H1987" s="3"/>
      <c r="I1987" s="3"/>
    </row>
    <row r="1988">
      <c r="A1988" s="4" t="s">
        <v>3292</v>
      </c>
      <c r="B1988" s="13" t="s">
        <v>48</v>
      </c>
      <c r="C1988" s="4">
        <v>1.0</v>
      </c>
      <c r="D1988" s="3"/>
      <c r="E1988" s="4">
        <v>2.0</v>
      </c>
      <c r="F1988" s="3"/>
      <c r="G1988" s="3"/>
      <c r="H1988" s="3"/>
      <c r="I1988" s="3"/>
    </row>
    <row r="1989">
      <c r="A1989" s="4" t="s">
        <v>3293</v>
      </c>
      <c r="B1989" s="13" t="s">
        <v>48</v>
      </c>
      <c r="C1989" s="4">
        <v>1.0</v>
      </c>
      <c r="D1989" s="3"/>
      <c r="E1989" s="4">
        <v>2.0</v>
      </c>
      <c r="F1989" s="3"/>
      <c r="G1989" s="3"/>
      <c r="H1989" s="3"/>
      <c r="I1989" s="3"/>
    </row>
    <row r="1990">
      <c r="A1990" s="4" t="s">
        <v>3294</v>
      </c>
      <c r="B1990" s="13" t="s">
        <v>48</v>
      </c>
      <c r="C1990" s="4">
        <v>1.0</v>
      </c>
      <c r="D1990" s="3"/>
      <c r="E1990" s="4">
        <v>2.0</v>
      </c>
      <c r="F1990" s="3"/>
      <c r="G1990" s="3"/>
      <c r="H1990" s="3"/>
      <c r="I1990" s="3"/>
    </row>
    <row r="1991">
      <c r="A1991" s="4" t="s">
        <v>3295</v>
      </c>
      <c r="B1991" s="13" t="s">
        <v>48</v>
      </c>
      <c r="C1991" s="4">
        <v>1.0</v>
      </c>
      <c r="D1991" s="3"/>
      <c r="E1991" s="4">
        <v>2.0</v>
      </c>
      <c r="F1991" s="3"/>
      <c r="G1991" s="3"/>
      <c r="H1991" s="3"/>
      <c r="I1991" s="3"/>
    </row>
    <row r="1992">
      <c r="A1992" s="4" t="s">
        <v>3296</v>
      </c>
      <c r="B1992" s="13" t="s">
        <v>48</v>
      </c>
      <c r="C1992" s="4">
        <v>1.0</v>
      </c>
      <c r="D1992" s="3"/>
      <c r="E1992" s="4">
        <v>2.0</v>
      </c>
      <c r="F1992" s="3"/>
      <c r="G1992" s="3"/>
      <c r="H1992" s="3"/>
      <c r="I1992" s="3"/>
    </row>
    <row r="1993">
      <c r="A1993" s="4" t="s">
        <v>3297</v>
      </c>
      <c r="B1993" s="13" t="s">
        <v>48</v>
      </c>
      <c r="C1993" s="4">
        <v>1.0</v>
      </c>
      <c r="D1993" s="3"/>
      <c r="E1993" s="4">
        <v>2.0</v>
      </c>
      <c r="F1993" s="3"/>
      <c r="G1993" s="3"/>
      <c r="H1993" s="3"/>
      <c r="I1993" s="3"/>
    </row>
    <row r="1994">
      <c r="A1994" s="4" t="s">
        <v>3298</v>
      </c>
      <c r="B1994" s="13" t="s">
        <v>48</v>
      </c>
      <c r="C1994" s="4">
        <v>1.0</v>
      </c>
      <c r="D1994" s="3"/>
      <c r="E1994" s="4">
        <v>2.0</v>
      </c>
      <c r="F1994" s="3"/>
      <c r="G1994" s="3"/>
      <c r="H1994" s="3"/>
      <c r="I1994" s="3"/>
    </row>
    <row r="1995">
      <c r="A1995" s="4" t="s">
        <v>3299</v>
      </c>
      <c r="B1995" s="13" t="s">
        <v>48</v>
      </c>
      <c r="C1995" s="4">
        <v>1.0</v>
      </c>
      <c r="D1995" s="3"/>
      <c r="E1995" s="4">
        <v>2.0</v>
      </c>
      <c r="F1995" s="3"/>
      <c r="G1995" s="3"/>
      <c r="H1995" s="3"/>
      <c r="I1995" s="3"/>
    </row>
    <row r="1996">
      <c r="A1996" s="4" t="s">
        <v>3300</v>
      </c>
      <c r="B1996" s="13" t="s">
        <v>48</v>
      </c>
      <c r="C1996" s="4">
        <v>1.0</v>
      </c>
      <c r="D1996" s="3"/>
      <c r="E1996" s="4">
        <v>2.0</v>
      </c>
      <c r="F1996" s="3"/>
      <c r="G1996" s="3"/>
      <c r="H1996" s="3"/>
      <c r="I1996" s="3"/>
    </row>
    <row r="1997">
      <c r="A1997" s="4" t="s">
        <v>3301</v>
      </c>
      <c r="B1997" s="13" t="s">
        <v>48</v>
      </c>
      <c r="C1997" s="4">
        <v>1.0</v>
      </c>
      <c r="D1997" s="3"/>
      <c r="E1997" s="4">
        <v>2.0</v>
      </c>
      <c r="F1997" s="3"/>
      <c r="G1997" s="3"/>
      <c r="H1997" s="3"/>
      <c r="I1997" s="3"/>
    </row>
    <row r="1998">
      <c r="A1998" s="4" t="s">
        <v>3302</v>
      </c>
      <c r="B1998" s="13" t="s">
        <v>48</v>
      </c>
      <c r="C1998" s="4">
        <v>1.0</v>
      </c>
      <c r="D1998" s="3"/>
      <c r="E1998" s="4">
        <v>2.0</v>
      </c>
      <c r="F1998" s="3"/>
      <c r="G1998" s="3"/>
      <c r="H1998" s="3"/>
      <c r="I1998" s="3"/>
    </row>
    <row r="1999">
      <c r="A1999" s="4" t="s">
        <v>3303</v>
      </c>
      <c r="B1999" s="13" t="s">
        <v>48</v>
      </c>
      <c r="C1999" s="4">
        <v>1.0</v>
      </c>
      <c r="D1999" s="3"/>
      <c r="E1999" s="4">
        <v>2.0</v>
      </c>
      <c r="F1999" s="3"/>
      <c r="G1999" s="3"/>
      <c r="H1999" s="3"/>
      <c r="I1999" s="3"/>
    </row>
    <row r="2000">
      <c r="A2000" s="4" t="s">
        <v>3304</v>
      </c>
      <c r="B2000" s="13" t="s">
        <v>43</v>
      </c>
      <c r="D2000" s="3"/>
      <c r="E2000" s="3"/>
      <c r="F2000" s="3"/>
      <c r="G2000" s="3"/>
      <c r="H2000" s="3"/>
      <c r="I2000" s="3"/>
      <c r="J2000" s="4" t="s">
        <v>1757</v>
      </c>
    </row>
    <row r="2001">
      <c r="A2001" s="4" t="s">
        <v>3305</v>
      </c>
      <c r="B2001" s="13" t="s">
        <v>43</v>
      </c>
      <c r="D2001" s="3"/>
      <c r="E2001" s="3"/>
      <c r="F2001" s="3"/>
      <c r="G2001" s="3"/>
      <c r="H2001" s="3"/>
      <c r="I2001" s="3"/>
      <c r="J2001" s="4" t="s">
        <v>1757</v>
      </c>
    </row>
    <row r="2002">
      <c r="A2002" s="4" t="s">
        <v>3306</v>
      </c>
      <c r="B2002" s="13" t="s">
        <v>43</v>
      </c>
      <c r="D2002" s="3"/>
      <c r="E2002" s="3"/>
      <c r="F2002" s="3"/>
      <c r="G2002" s="3"/>
      <c r="H2002" s="3"/>
      <c r="I2002" s="3"/>
      <c r="J2002" s="4" t="s">
        <v>1757</v>
      </c>
    </row>
    <row r="2003">
      <c r="A2003" s="4" t="s">
        <v>3307</v>
      </c>
      <c r="B2003" s="13" t="s">
        <v>43</v>
      </c>
      <c r="D2003" s="3"/>
      <c r="E2003" s="3"/>
      <c r="F2003" s="3"/>
      <c r="G2003" s="3"/>
      <c r="H2003" s="3"/>
      <c r="I2003" s="3"/>
      <c r="J2003" s="4" t="s">
        <v>1757</v>
      </c>
    </row>
    <row r="2004">
      <c r="A2004" s="4" t="s">
        <v>3308</v>
      </c>
      <c r="B2004" s="13" t="s">
        <v>43</v>
      </c>
      <c r="D2004" s="3"/>
      <c r="E2004" s="3"/>
      <c r="F2004" s="3"/>
      <c r="G2004" s="3"/>
      <c r="H2004" s="3"/>
      <c r="I2004" s="3"/>
      <c r="J2004" s="4" t="s">
        <v>1757</v>
      </c>
    </row>
    <row r="2005">
      <c r="A2005" s="4" t="s">
        <v>3309</v>
      </c>
      <c r="B2005" s="13" t="s">
        <v>43</v>
      </c>
      <c r="D2005" s="3"/>
      <c r="E2005" s="3"/>
      <c r="F2005" s="3"/>
      <c r="G2005" s="3"/>
      <c r="H2005" s="3"/>
      <c r="I2005" s="3"/>
      <c r="J2005" s="4" t="s">
        <v>1757</v>
      </c>
    </row>
    <row r="2006">
      <c r="A2006" s="4" t="s">
        <v>3310</v>
      </c>
      <c r="B2006" s="13" t="s">
        <v>43</v>
      </c>
      <c r="D2006" s="3"/>
      <c r="E2006" s="3"/>
      <c r="F2006" s="3"/>
      <c r="G2006" s="3"/>
      <c r="H2006" s="3"/>
      <c r="I2006" s="3"/>
      <c r="J2006" s="4" t="s">
        <v>1757</v>
      </c>
    </row>
    <row r="2007">
      <c r="A2007" s="4" t="s">
        <v>3311</v>
      </c>
      <c r="B2007" s="13" t="s">
        <v>43</v>
      </c>
      <c r="D2007" s="3"/>
      <c r="E2007" s="3"/>
      <c r="F2007" s="3"/>
      <c r="G2007" s="3"/>
      <c r="H2007" s="3"/>
      <c r="I2007" s="3"/>
      <c r="J2007" s="4" t="s">
        <v>1757</v>
      </c>
    </row>
    <row r="2008">
      <c r="A2008" s="4" t="s">
        <v>3312</v>
      </c>
      <c r="B2008" s="13" t="s">
        <v>43</v>
      </c>
      <c r="D2008" s="3"/>
      <c r="E2008" s="3"/>
      <c r="F2008" s="3"/>
      <c r="G2008" s="3"/>
      <c r="H2008" s="3"/>
      <c r="I2008" s="3"/>
      <c r="J2008" s="4" t="s">
        <v>1757</v>
      </c>
    </row>
    <row r="2009">
      <c r="A2009" s="4" t="s">
        <v>3313</v>
      </c>
      <c r="B2009" s="13" t="s">
        <v>43</v>
      </c>
      <c r="D2009" s="3"/>
      <c r="E2009" s="3"/>
      <c r="F2009" s="3"/>
      <c r="G2009" s="3"/>
      <c r="H2009" s="3"/>
      <c r="I2009" s="3"/>
      <c r="J2009" s="4" t="s">
        <v>1757</v>
      </c>
    </row>
    <row r="2010">
      <c r="A2010" s="4" t="s">
        <v>3314</v>
      </c>
      <c r="B2010" s="13" t="s">
        <v>43</v>
      </c>
      <c r="D2010" s="3"/>
      <c r="E2010" s="3"/>
      <c r="F2010" s="3"/>
      <c r="G2010" s="3"/>
      <c r="H2010" s="3"/>
      <c r="I2010" s="3"/>
      <c r="J2010" s="4" t="s">
        <v>1757</v>
      </c>
    </row>
    <row r="2011">
      <c r="A2011" s="4" t="s">
        <v>3315</v>
      </c>
      <c r="B2011" s="13" t="s">
        <v>43</v>
      </c>
      <c r="D2011" s="3"/>
      <c r="E2011" s="3"/>
      <c r="F2011" s="3"/>
      <c r="G2011" s="3"/>
      <c r="H2011" s="3"/>
      <c r="I2011" s="3"/>
      <c r="J2011" s="4" t="s">
        <v>1757</v>
      </c>
    </row>
    <row r="2012">
      <c r="A2012" s="4" t="s">
        <v>3316</v>
      </c>
      <c r="B2012" s="13" t="s">
        <v>43</v>
      </c>
      <c r="D2012" s="3"/>
      <c r="E2012" s="3"/>
      <c r="F2012" s="3"/>
      <c r="G2012" s="3"/>
      <c r="H2012" s="3"/>
      <c r="I2012" s="3"/>
      <c r="J2012" s="4" t="s">
        <v>1757</v>
      </c>
    </row>
    <row r="2013">
      <c r="A2013" s="4" t="s">
        <v>3317</v>
      </c>
      <c r="B2013" s="13" t="s">
        <v>43</v>
      </c>
      <c r="D2013" s="3"/>
      <c r="E2013" s="3"/>
      <c r="F2013" s="3"/>
      <c r="G2013" s="3"/>
      <c r="H2013" s="3"/>
      <c r="I2013" s="3"/>
      <c r="J2013" s="4" t="s">
        <v>1757</v>
      </c>
    </row>
    <row r="2014">
      <c r="A2014" s="4" t="s">
        <v>3318</v>
      </c>
      <c r="B2014" s="13" t="s">
        <v>43</v>
      </c>
      <c r="D2014" s="3"/>
      <c r="E2014" s="3"/>
      <c r="F2014" s="3"/>
      <c r="G2014" s="3"/>
      <c r="H2014" s="3"/>
      <c r="I2014" s="3"/>
      <c r="J2014" s="4" t="s">
        <v>1757</v>
      </c>
    </row>
    <row r="2015">
      <c r="A2015" s="4" t="s">
        <v>3319</v>
      </c>
      <c r="B2015" s="13" t="s">
        <v>43</v>
      </c>
      <c r="D2015" s="3"/>
      <c r="E2015" s="3"/>
      <c r="F2015" s="3"/>
      <c r="G2015" s="3"/>
      <c r="H2015" s="3"/>
      <c r="I2015" s="3"/>
      <c r="J2015" s="4" t="s">
        <v>1757</v>
      </c>
    </row>
    <row r="2016">
      <c r="A2016" s="4" t="s">
        <v>3320</v>
      </c>
      <c r="B2016" s="13" t="s">
        <v>43</v>
      </c>
      <c r="D2016" s="3"/>
      <c r="E2016" s="3"/>
      <c r="F2016" s="3"/>
      <c r="G2016" s="3"/>
      <c r="H2016" s="3"/>
      <c r="I2016" s="3"/>
      <c r="J2016" s="4" t="s">
        <v>1757</v>
      </c>
    </row>
    <row r="2017">
      <c r="A2017" s="4" t="s">
        <v>3321</v>
      </c>
      <c r="B2017" s="13" t="s">
        <v>43</v>
      </c>
      <c r="D2017" s="3"/>
      <c r="E2017" s="3"/>
      <c r="F2017" s="3"/>
      <c r="G2017" s="3"/>
      <c r="H2017" s="3"/>
      <c r="I2017" s="3"/>
      <c r="J2017" s="4" t="s">
        <v>1757</v>
      </c>
    </row>
    <row r="2018">
      <c r="A2018" s="4" t="s">
        <v>3322</v>
      </c>
      <c r="B2018" s="13" t="s">
        <v>43</v>
      </c>
      <c r="D2018" s="3"/>
      <c r="E2018" s="3"/>
      <c r="F2018" s="3"/>
      <c r="G2018" s="3"/>
      <c r="H2018" s="3"/>
      <c r="I2018" s="3"/>
      <c r="J2018" s="4" t="s">
        <v>1757</v>
      </c>
    </row>
    <row r="2019">
      <c r="A2019" s="4" t="s">
        <v>3323</v>
      </c>
      <c r="B2019" s="13" t="s">
        <v>43</v>
      </c>
      <c r="D2019" s="3"/>
      <c r="E2019" s="3"/>
      <c r="F2019" s="3"/>
      <c r="G2019" s="3"/>
      <c r="H2019" s="3"/>
      <c r="I2019" s="3"/>
      <c r="J2019" s="4" t="s">
        <v>1757</v>
      </c>
    </row>
    <row r="2020">
      <c r="A2020" s="4" t="s">
        <v>3324</v>
      </c>
      <c r="B2020" s="13" t="s">
        <v>43</v>
      </c>
      <c r="D2020" s="3"/>
      <c r="E2020" s="3"/>
      <c r="F2020" s="3"/>
      <c r="G2020" s="3"/>
      <c r="H2020" s="3"/>
      <c r="I2020" s="3"/>
      <c r="J2020" s="4" t="s">
        <v>1757</v>
      </c>
    </row>
    <row r="2021">
      <c r="A2021" s="4" t="s">
        <v>3325</v>
      </c>
      <c r="B2021" s="13" t="s">
        <v>43</v>
      </c>
      <c r="D2021" s="3"/>
      <c r="E2021" s="3"/>
      <c r="F2021" s="3"/>
      <c r="G2021" s="3"/>
      <c r="H2021" s="3"/>
      <c r="I2021" s="3"/>
      <c r="J2021" s="4" t="s">
        <v>1757</v>
      </c>
    </row>
    <row r="2022">
      <c r="A2022" s="4" t="s">
        <v>3326</v>
      </c>
      <c r="B2022" s="13" t="s">
        <v>43</v>
      </c>
      <c r="D2022" s="3"/>
      <c r="E2022" s="3"/>
      <c r="F2022" s="3"/>
      <c r="G2022" s="3"/>
      <c r="H2022" s="3"/>
      <c r="I2022" s="3"/>
      <c r="J2022" s="4" t="s">
        <v>1757</v>
      </c>
    </row>
    <row r="2023">
      <c r="A2023" s="4" t="s">
        <v>3327</v>
      </c>
      <c r="B2023" s="13" t="s">
        <v>43</v>
      </c>
      <c r="D2023" s="3"/>
      <c r="E2023" s="3"/>
      <c r="F2023" s="3"/>
      <c r="G2023" s="3"/>
      <c r="H2023" s="3"/>
      <c r="I2023" s="3"/>
      <c r="J2023" s="4" t="s">
        <v>1757</v>
      </c>
    </row>
    <row r="2024">
      <c r="A2024" s="4" t="s">
        <v>3328</v>
      </c>
      <c r="B2024" s="13" t="s">
        <v>43</v>
      </c>
      <c r="D2024" s="3"/>
      <c r="E2024" s="3"/>
      <c r="F2024" s="3"/>
      <c r="G2024" s="3"/>
      <c r="H2024" s="3"/>
      <c r="I2024" s="3"/>
      <c r="J2024" s="4" t="s">
        <v>1757</v>
      </c>
    </row>
    <row r="2025">
      <c r="A2025" s="4" t="s">
        <v>3329</v>
      </c>
      <c r="B2025" s="13" t="s">
        <v>43</v>
      </c>
      <c r="D2025" s="3"/>
      <c r="E2025" s="3"/>
      <c r="F2025" s="3"/>
      <c r="G2025" s="3"/>
      <c r="H2025" s="3"/>
      <c r="I2025" s="3"/>
      <c r="J2025" s="4" t="s">
        <v>1757</v>
      </c>
    </row>
    <row r="2026">
      <c r="A2026" s="4" t="s">
        <v>3330</v>
      </c>
      <c r="B2026" s="13" t="s">
        <v>43</v>
      </c>
      <c r="D2026" s="3"/>
      <c r="E2026" s="3"/>
      <c r="F2026" s="3"/>
      <c r="G2026" s="3"/>
      <c r="H2026" s="3"/>
      <c r="I2026" s="3"/>
      <c r="J2026" s="4" t="s">
        <v>1757</v>
      </c>
    </row>
    <row r="2027">
      <c r="A2027" s="4" t="s">
        <v>3331</v>
      </c>
      <c r="B2027" s="13" t="s">
        <v>43</v>
      </c>
      <c r="D2027" s="3"/>
      <c r="E2027" s="3"/>
      <c r="F2027" s="3"/>
      <c r="G2027" s="3"/>
      <c r="H2027" s="3"/>
      <c r="I2027" s="3"/>
      <c r="J2027" s="4" t="s">
        <v>1757</v>
      </c>
    </row>
    <row r="2028">
      <c r="A2028" s="4" t="s">
        <v>3332</v>
      </c>
      <c r="B2028" s="13" t="s">
        <v>43</v>
      </c>
      <c r="D2028" s="3"/>
      <c r="E2028" s="3"/>
      <c r="F2028" s="3"/>
      <c r="G2028" s="3"/>
      <c r="H2028" s="3"/>
      <c r="I2028" s="3"/>
      <c r="J2028" s="4" t="s">
        <v>1757</v>
      </c>
    </row>
    <row r="2029">
      <c r="A2029" s="4" t="s">
        <v>3333</v>
      </c>
      <c r="B2029" s="13" t="s">
        <v>43</v>
      </c>
      <c r="D2029" s="3"/>
      <c r="E2029" s="3"/>
      <c r="F2029" s="3"/>
      <c r="G2029" s="3"/>
      <c r="H2029" s="3"/>
      <c r="I2029" s="3"/>
      <c r="J2029" s="4" t="s">
        <v>1757</v>
      </c>
    </row>
    <row r="2030">
      <c r="A2030" s="4" t="s">
        <v>3334</v>
      </c>
      <c r="B2030" s="13" t="s">
        <v>43</v>
      </c>
      <c r="D2030" s="3"/>
      <c r="E2030" s="3"/>
      <c r="F2030" s="3"/>
      <c r="G2030" s="3"/>
      <c r="H2030" s="3"/>
      <c r="I2030" s="3"/>
    </row>
    <row r="2031">
      <c r="A2031" s="4" t="s">
        <v>3335</v>
      </c>
      <c r="B2031" s="13" t="s">
        <v>43</v>
      </c>
      <c r="D2031" s="3"/>
      <c r="E2031" s="3"/>
      <c r="F2031" s="3"/>
      <c r="G2031" s="3"/>
      <c r="H2031" s="3"/>
      <c r="I2031" s="3"/>
    </row>
    <row r="2032">
      <c r="A2032" s="4" t="s">
        <v>3336</v>
      </c>
      <c r="B2032" s="13" t="s">
        <v>43</v>
      </c>
      <c r="D2032" s="3"/>
      <c r="E2032" s="3"/>
      <c r="F2032" s="3"/>
      <c r="G2032" s="3"/>
      <c r="H2032" s="3"/>
      <c r="I2032" s="3"/>
    </row>
    <row r="2033">
      <c r="A2033" s="4" t="s">
        <v>3337</v>
      </c>
      <c r="B2033" s="13" t="s">
        <v>43</v>
      </c>
      <c r="D2033" s="3"/>
      <c r="E2033" s="3"/>
      <c r="F2033" s="3"/>
      <c r="G2033" s="3"/>
      <c r="H2033" s="3"/>
      <c r="I2033" s="3"/>
    </row>
    <row r="2034">
      <c r="A2034" s="4" t="s">
        <v>3338</v>
      </c>
      <c r="B2034" s="13" t="s">
        <v>43</v>
      </c>
      <c r="D2034" s="3"/>
      <c r="E2034" s="3"/>
      <c r="F2034" s="3"/>
      <c r="G2034" s="3"/>
      <c r="H2034" s="3"/>
      <c r="I2034" s="3"/>
    </row>
    <row r="2035">
      <c r="A2035" s="4" t="s">
        <v>3339</v>
      </c>
      <c r="B2035" s="13" t="s">
        <v>43</v>
      </c>
      <c r="D2035" s="3"/>
      <c r="E2035" s="3"/>
      <c r="F2035" s="3"/>
      <c r="G2035" s="3"/>
      <c r="H2035" s="3"/>
      <c r="I2035" s="3"/>
      <c r="J2035" s="4" t="s">
        <v>1757</v>
      </c>
    </row>
    <row r="2036">
      <c r="A2036" s="4" t="s">
        <v>3340</v>
      </c>
      <c r="B2036" s="13" t="s">
        <v>43</v>
      </c>
      <c r="D2036" s="3"/>
      <c r="E2036" s="3"/>
      <c r="F2036" s="3"/>
      <c r="G2036" s="3"/>
      <c r="H2036" s="3"/>
      <c r="I2036" s="3"/>
      <c r="J2036" s="4" t="s">
        <v>1757</v>
      </c>
    </row>
    <row r="2037">
      <c r="A2037" s="4" t="s">
        <v>3341</v>
      </c>
      <c r="B2037" s="13" t="s">
        <v>43</v>
      </c>
      <c r="D2037" s="3"/>
      <c r="E2037" s="3"/>
      <c r="F2037" s="3"/>
      <c r="G2037" s="3"/>
      <c r="H2037" s="3"/>
      <c r="I2037" s="3"/>
      <c r="J2037" s="4" t="s">
        <v>1757</v>
      </c>
    </row>
    <row r="2038">
      <c r="A2038" s="4" t="s">
        <v>3342</v>
      </c>
      <c r="B2038" s="13" t="s">
        <v>43</v>
      </c>
      <c r="D2038" s="3"/>
      <c r="E2038" s="3"/>
      <c r="F2038" s="3"/>
      <c r="G2038" s="3"/>
      <c r="H2038" s="3"/>
      <c r="I2038" s="3"/>
      <c r="J2038" s="4" t="s">
        <v>1757</v>
      </c>
    </row>
    <row r="2039">
      <c r="A2039" s="4" t="s">
        <v>3343</v>
      </c>
      <c r="B2039" s="13" t="s">
        <v>48</v>
      </c>
      <c r="C2039" s="4">
        <v>1.0</v>
      </c>
      <c r="D2039" s="3"/>
      <c r="E2039" s="4">
        <v>2.0</v>
      </c>
      <c r="F2039" s="3"/>
      <c r="G2039" s="3"/>
      <c r="H2039" s="3"/>
      <c r="I2039" s="3"/>
      <c r="J2039" s="4" t="s">
        <v>1757</v>
      </c>
    </row>
    <row r="2040">
      <c r="A2040" s="4" t="s">
        <v>3344</v>
      </c>
      <c r="B2040" s="13" t="s">
        <v>48</v>
      </c>
      <c r="C2040" s="4">
        <v>1.0</v>
      </c>
      <c r="D2040" s="3"/>
      <c r="E2040" s="4">
        <v>2.0</v>
      </c>
      <c r="F2040" s="3"/>
      <c r="G2040" s="3"/>
      <c r="H2040" s="3"/>
      <c r="I2040" s="3"/>
      <c r="J2040" s="4" t="s">
        <v>1757</v>
      </c>
    </row>
    <row r="2041">
      <c r="A2041" s="4" t="s">
        <v>3345</v>
      </c>
      <c r="B2041" s="13" t="s">
        <v>48</v>
      </c>
      <c r="C2041" s="4">
        <v>1.0</v>
      </c>
      <c r="D2041" s="3"/>
      <c r="E2041" s="4">
        <v>2.0</v>
      </c>
      <c r="F2041" s="3"/>
      <c r="G2041" s="3"/>
      <c r="H2041" s="3"/>
      <c r="I2041" s="3"/>
      <c r="J2041" s="4" t="s">
        <v>1757</v>
      </c>
    </row>
    <row r="2042">
      <c r="A2042" s="4" t="s">
        <v>3346</v>
      </c>
      <c r="B2042" s="13" t="s">
        <v>48</v>
      </c>
      <c r="C2042" s="4">
        <v>1.0</v>
      </c>
      <c r="D2042" s="3"/>
      <c r="E2042" s="4">
        <v>2.0</v>
      </c>
      <c r="F2042" s="3"/>
      <c r="G2042" s="3"/>
      <c r="H2042" s="3"/>
      <c r="I2042" s="3"/>
      <c r="J2042" s="4" t="s">
        <v>1757</v>
      </c>
    </row>
    <row r="2043">
      <c r="A2043" s="4" t="s">
        <v>3347</v>
      </c>
      <c r="B2043" s="13" t="s">
        <v>48</v>
      </c>
      <c r="C2043" s="4">
        <v>1.0</v>
      </c>
      <c r="D2043" s="3"/>
      <c r="E2043" s="4">
        <v>2.0</v>
      </c>
      <c r="F2043" s="3"/>
      <c r="G2043" s="3"/>
      <c r="H2043" s="3"/>
      <c r="I2043" s="3"/>
      <c r="J2043" s="4" t="s">
        <v>1757</v>
      </c>
    </row>
    <row r="2044">
      <c r="A2044" s="4" t="s">
        <v>3348</v>
      </c>
      <c r="B2044" s="13" t="s">
        <v>48</v>
      </c>
      <c r="C2044" s="4">
        <v>1.0</v>
      </c>
      <c r="D2044" s="3"/>
      <c r="E2044" s="4">
        <v>2.0</v>
      </c>
      <c r="F2044" s="3"/>
      <c r="G2044" s="3"/>
      <c r="H2044" s="3"/>
      <c r="I2044" s="3"/>
    </row>
    <row r="2045">
      <c r="A2045" s="4" t="s">
        <v>3349</v>
      </c>
      <c r="B2045" s="13" t="s">
        <v>48</v>
      </c>
      <c r="C2045" s="4">
        <v>1.0</v>
      </c>
      <c r="D2045" s="3"/>
      <c r="E2045" s="4">
        <v>2.0</v>
      </c>
      <c r="F2045" s="3"/>
      <c r="G2045" s="3"/>
      <c r="H2045" s="3"/>
      <c r="I2045" s="3"/>
    </row>
    <row r="2046">
      <c r="A2046" s="4" t="s">
        <v>3350</v>
      </c>
      <c r="B2046" s="13" t="s">
        <v>48</v>
      </c>
      <c r="C2046" s="4">
        <v>1.0</v>
      </c>
      <c r="D2046" s="3"/>
      <c r="E2046" s="4">
        <v>2.0</v>
      </c>
      <c r="F2046" s="3"/>
      <c r="G2046" s="3"/>
      <c r="H2046" s="3"/>
      <c r="I2046" s="3"/>
    </row>
    <row r="2047">
      <c r="A2047" s="4" t="s">
        <v>3351</v>
      </c>
      <c r="B2047" s="13" t="s">
        <v>48</v>
      </c>
      <c r="C2047" s="4">
        <v>1.0</v>
      </c>
      <c r="D2047" s="3"/>
      <c r="E2047" s="4">
        <v>2.0</v>
      </c>
      <c r="F2047" s="3"/>
      <c r="G2047" s="3"/>
      <c r="H2047" s="3"/>
      <c r="I2047" s="3"/>
    </row>
    <row r="2048">
      <c r="A2048" s="4" t="s">
        <v>3352</v>
      </c>
      <c r="B2048" s="13" t="s">
        <v>48</v>
      </c>
      <c r="C2048" s="4">
        <v>1.0</v>
      </c>
      <c r="D2048" s="3"/>
      <c r="E2048" s="4">
        <v>2.0</v>
      </c>
      <c r="F2048" s="3"/>
      <c r="G2048" s="3"/>
      <c r="H2048" s="3"/>
      <c r="I2048" s="3"/>
    </row>
    <row r="2049">
      <c r="A2049" s="4" t="s">
        <v>3353</v>
      </c>
      <c r="B2049" s="13" t="s">
        <v>48</v>
      </c>
      <c r="C2049" s="4">
        <v>1.0</v>
      </c>
      <c r="D2049" s="3"/>
      <c r="E2049" s="4">
        <v>2.0</v>
      </c>
      <c r="F2049" s="3"/>
      <c r="G2049" s="3"/>
      <c r="H2049" s="3"/>
      <c r="I2049" s="3"/>
    </row>
    <row r="2050">
      <c r="A2050" s="4" t="s">
        <v>3354</v>
      </c>
      <c r="B2050" s="13" t="s">
        <v>48</v>
      </c>
      <c r="C2050" s="4">
        <v>1.0</v>
      </c>
      <c r="D2050" s="3"/>
      <c r="E2050" s="4">
        <v>2.0</v>
      </c>
      <c r="F2050" s="3"/>
      <c r="G2050" s="3"/>
      <c r="H2050" s="3"/>
      <c r="I2050" s="3"/>
    </row>
    <row r="2051">
      <c r="A2051" s="4" t="s">
        <v>3355</v>
      </c>
      <c r="B2051" s="13" t="s">
        <v>48</v>
      </c>
      <c r="C2051" s="4">
        <v>1.0</v>
      </c>
      <c r="D2051" s="3"/>
      <c r="E2051" s="4">
        <v>2.0</v>
      </c>
      <c r="F2051" s="3"/>
      <c r="G2051" s="3"/>
      <c r="H2051" s="3"/>
      <c r="I2051" s="3"/>
    </row>
    <row r="2052">
      <c r="A2052" s="4" t="s">
        <v>3356</v>
      </c>
      <c r="B2052" s="13" t="s">
        <v>48</v>
      </c>
      <c r="C2052" s="4">
        <v>1.0</v>
      </c>
      <c r="D2052" s="3"/>
      <c r="E2052" s="4">
        <v>2.0</v>
      </c>
      <c r="F2052" s="3"/>
      <c r="G2052" s="3"/>
      <c r="H2052" s="3"/>
      <c r="I2052" s="3"/>
    </row>
    <row r="2053">
      <c r="A2053" s="4" t="s">
        <v>3357</v>
      </c>
      <c r="B2053" s="13" t="s">
        <v>48</v>
      </c>
      <c r="C2053" s="4">
        <v>1.0</v>
      </c>
      <c r="D2053" s="3"/>
      <c r="E2053" s="4">
        <v>2.0</v>
      </c>
      <c r="F2053" s="3"/>
      <c r="G2053" s="3"/>
      <c r="H2053" s="3"/>
      <c r="I2053" s="3"/>
    </row>
    <row r="2054">
      <c r="A2054" s="4" t="s">
        <v>3358</v>
      </c>
      <c r="B2054" s="13" t="s">
        <v>48</v>
      </c>
      <c r="C2054" s="4">
        <v>1.0</v>
      </c>
      <c r="D2054" s="3"/>
      <c r="E2054" s="4">
        <v>2.0</v>
      </c>
      <c r="F2054" s="3"/>
      <c r="G2054" s="3"/>
      <c r="H2054" s="3"/>
      <c r="I2054" s="3"/>
    </row>
    <row r="2055">
      <c r="A2055" s="4" t="s">
        <v>3359</v>
      </c>
      <c r="B2055" s="13" t="s">
        <v>48</v>
      </c>
      <c r="C2055" s="4">
        <v>1.0</v>
      </c>
      <c r="D2055" s="3"/>
      <c r="E2055" s="4">
        <v>2.0</v>
      </c>
      <c r="F2055" s="3"/>
      <c r="G2055" s="3"/>
      <c r="H2055" s="3"/>
      <c r="I2055" s="3"/>
    </row>
    <row r="2056">
      <c r="A2056" s="4" t="s">
        <v>3360</v>
      </c>
      <c r="B2056" s="13" t="s">
        <v>48</v>
      </c>
      <c r="C2056" s="4">
        <v>1.0</v>
      </c>
      <c r="D2056" s="3"/>
      <c r="E2056" s="4">
        <v>2.0</v>
      </c>
      <c r="F2056" s="3"/>
      <c r="G2056" s="3"/>
      <c r="H2056" s="3"/>
      <c r="I2056" s="3"/>
    </row>
    <row r="2057">
      <c r="A2057" s="4" t="s">
        <v>3361</v>
      </c>
      <c r="B2057" s="13" t="s">
        <v>48</v>
      </c>
      <c r="C2057" s="4">
        <v>1.0</v>
      </c>
      <c r="D2057" s="3"/>
      <c r="E2057" s="4">
        <v>2.0</v>
      </c>
      <c r="F2057" s="3"/>
      <c r="G2057" s="3"/>
      <c r="H2057" s="3"/>
      <c r="I2057" s="3"/>
    </row>
    <row r="2058">
      <c r="A2058" s="4" t="s">
        <v>3362</v>
      </c>
      <c r="B2058" s="13" t="s">
        <v>48</v>
      </c>
      <c r="C2058" s="4">
        <v>1.0</v>
      </c>
      <c r="D2058" s="3"/>
      <c r="E2058" s="4">
        <v>2.0</v>
      </c>
      <c r="F2058" s="3"/>
      <c r="G2058" s="3"/>
      <c r="H2058" s="3"/>
      <c r="I2058" s="3"/>
    </row>
    <row r="2059">
      <c r="A2059" s="4" t="s">
        <v>3363</v>
      </c>
      <c r="B2059" s="13" t="s">
        <v>48</v>
      </c>
      <c r="C2059" s="4">
        <v>1.0</v>
      </c>
      <c r="D2059" s="3"/>
      <c r="E2059" s="4">
        <v>2.0</v>
      </c>
      <c r="F2059" s="3"/>
      <c r="G2059" s="3"/>
      <c r="H2059" s="3"/>
      <c r="I2059" s="3"/>
    </row>
    <row r="2060">
      <c r="A2060" s="4" t="s">
        <v>3364</v>
      </c>
      <c r="B2060" s="13" t="s">
        <v>48</v>
      </c>
      <c r="C2060" s="4">
        <v>1.0</v>
      </c>
      <c r="D2060" s="3"/>
      <c r="E2060" s="4">
        <v>2.0</v>
      </c>
      <c r="F2060" s="3"/>
      <c r="G2060" s="3"/>
      <c r="H2060" s="3"/>
      <c r="I2060" s="3"/>
    </row>
    <row r="2061">
      <c r="A2061" s="4" t="s">
        <v>3365</v>
      </c>
      <c r="B2061" s="13" t="s">
        <v>48</v>
      </c>
      <c r="C2061" s="4">
        <v>1.0</v>
      </c>
      <c r="D2061" s="3"/>
      <c r="E2061" s="4">
        <v>2.0</v>
      </c>
      <c r="F2061" s="3"/>
      <c r="G2061" s="3"/>
      <c r="H2061" s="3"/>
      <c r="I2061" s="3"/>
    </row>
    <row r="2062">
      <c r="A2062" s="4" t="s">
        <v>3366</v>
      </c>
      <c r="B2062" s="13" t="s">
        <v>48</v>
      </c>
      <c r="C2062" s="4">
        <v>1.0</v>
      </c>
      <c r="D2062" s="3"/>
      <c r="E2062" s="4">
        <v>2.0</v>
      </c>
      <c r="F2062" s="3"/>
      <c r="G2062" s="3"/>
      <c r="H2062" s="3"/>
      <c r="I2062" s="3"/>
    </row>
    <row r="2063">
      <c r="A2063" s="4" t="s">
        <v>3367</v>
      </c>
      <c r="B2063" s="13" t="s">
        <v>48</v>
      </c>
      <c r="C2063" s="4">
        <v>2.0</v>
      </c>
      <c r="D2063" s="3"/>
      <c r="E2063" s="4">
        <v>2.0</v>
      </c>
      <c r="F2063" s="4">
        <v>9.0</v>
      </c>
      <c r="G2063" s="3"/>
      <c r="H2063" s="3"/>
      <c r="I2063" s="3"/>
      <c r="J2063" s="4" t="s">
        <v>1757</v>
      </c>
    </row>
    <row r="2064">
      <c r="A2064" s="4" t="s">
        <v>3368</v>
      </c>
      <c r="B2064" s="13" t="s">
        <v>48</v>
      </c>
      <c r="C2064" s="4">
        <v>2.0</v>
      </c>
      <c r="D2064" s="3"/>
      <c r="E2064" s="4">
        <v>2.0</v>
      </c>
      <c r="F2064" s="4">
        <v>9.0</v>
      </c>
      <c r="G2064" s="3"/>
      <c r="H2064" s="3"/>
      <c r="I2064" s="3"/>
      <c r="J2064" s="4" t="s">
        <v>1757</v>
      </c>
    </row>
    <row r="2065">
      <c r="A2065" s="4" t="s">
        <v>3369</v>
      </c>
      <c r="B2065" s="13" t="s">
        <v>48</v>
      </c>
      <c r="C2065" s="4">
        <v>2.0</v>
      </c>
      <c r="D2065" s="3"/>
      <c r="E2065" s="4">
        <v>2.0</v>
      </c>
      <c r="F2065" s="4">
        <v>9.0</v>
      </c>
      <c r="G2065" s="3"/>
      <c r="H2065" s="3"/>
      <c r="I2065" s="3"/>
      <c r="J2065" s="4" t="s">
        <v>1757</v>
      </c>
    </row>
    <row r="2066">
      <c r="A2066" s="4" t="s">
        <v>3370</v>
      </c>
      <c r="B2066" s="13" t="s">
        <v>48</v>
      </c>
      <c r="C2066" s="4">
        <v>3.0</v>
      </c>
      <c r="D2066" s="3"/>
      <c r="E2066" s="4">
        <v>2.0</v>
      </c>
      <c r="F2066" s="4">
        <v>9.0</v>
      </c>
      <c r="G2066" s="3"/>
      <c r="H2066" s="4">
        <v>13.0</v>
      </c>
      <c r="I2066" s="3"/>
      <c r="J2066" s="4" t="s">
        <v>1757</v>
      </c>
    </row>
    <row r="2067">
      <c r="A2067" s="4" t="s">
        <v>3371</v>
      </c>
      <c r="B2067" s="13" t="s">
        <v>48</v>
      </c>
      <c r="C2067" s="4">
        <v>3.0</v>
      </c>
      <c r="D2067" s="3"/>
      <c r="E2067" s="4">
        <v>2.0</v>
      </c>
      <c r="F2067" s="4">
        <v>9.0</v>
      </c>
      <c r="G2067" s="3"/>
      <c r="H2067" s="4">
        <v>13.0</v>
      </c>
      <c r="I2067" s="3"/>
      <c r="J2067" s="4" t="s">
        <v>1757</v>
      </c>
    </row>
    <row r="2068">
      <c r="A2068" s="4" t="s">
        <v>3372</v>
      </c>
      <c r="B2068" s="13" t="s">
        <v>48</v>
      </c>
      <c r="C2068" s="4">
        <v>2.0</v>
      </c>
      <c r="D2068" s="3"/>
      <c r="E2068" s="4">
        <v>2.0</v>
      </c>
      <c r="F2068" s="3"/>
      <c r="G2068" s="3"/>
      <c r="H2068" s="4">
        <v>13.0</v>
      </c>
      <c r="I2068" s="3"/>
      <c r="J2068" s="4" t="s">
        <v>1757</v>
      </c>
    </row>
    <row r="2069">
      <c r="A2069" s="4" t="s">
        <v>3373</v>
      </c>
      <c r="B2069" s="13" t="s">
        <v>48</v>
      </c>
      <c r="C2069" s="4">
        <v>2.0</v>
      </c>
      <c r="D2069" s="3"/>
      <c r="E2069" s="4">
        <v>2.0</v>
      </c>
      <c r="F2069" s="3"/>
      <c r="G2069" s="3"/>
      <c r="H2069" s="4">
        <v>13.0</v>
      </c>
      <c r="I2069" s="3"/>
      <c r="J2069" s="4" t="s">
        <v>1757</v>
      </c>
    </row>
    <row r="2070">
      <c r="A2070" s="4" t="s">
        <v>3374</v>
      </c>
      <c r="B2070" s="13" t="s">
        <v>43</v>
      </c>
      <c r="D2070" s="3"/>
      <c r="E2070" s="3"/>
      <c r="F2070" s="3"/>
      <c r="G2070" s="3"/>
      <c r="H2070" s="3"/>
      <c r="I2070" s="3"/>
      <c r="J2070" s="4" t="s">
        <v>1757</v>
      </c>
    </row>
    <row r="2071">
      <c r="A2071" s="4" t="s">
        <v>3375</v>
      </c>
      <c r="B2071" s="13" t="s">
        <v>43</v>
      </c>
      <c r="D2071" s="3"/>
      <c r="E2071" s="3"/>
      <c r="F2071" s="3"/>
      <c r="G2071" s="3"/>
      <c r="H2071" s="3"/>
      <c r="I2071" s="3"/>
      <c r="J2071" s="4" t="s">
        <v>1757</v>
      </c>
    </row>
    <row r="2072">
      <c r="A2072" s="4" t="s">
        <v>3376</v>
      </c>
      <c r="B2072" s="13" t="s">
        <v>43</v>
      </c>
      <c r="D2072" s="3"/>
      <c r="E2072" s="3"/>
      <c r="F2072" s="3"/>
      <c r="G2072" s="3"/>
      <c r="H2072" s="3"/>
      <c r="I2072" s="3"/>
      <c r="J2072" s="4" t="s">
        <v>1757</v>
      </c>
    </row>
    <row r="2073">
      <c r="A2073" s="4" t="s">
        <v>3377</v>
      </c>
      <c r="B2073" s="13" t="s">
        <v>43</v>
      </c>
      <c r="D2073" s="3"/>
      <c r="E2073" s="3"/>
      <c r="F2073" s="3"/>
      <c r="G2073" s="3"/>
      <c r="H2073" s="3"/>
      <c r="I2073" s="3"/>
      <c r="J2073" s="4" t="s">
        <v>1757</v>
      </c>
    </row>
    <row r="2074">
      <c r="A2074" s="4" t="s">
        <v>3378</v>
      </c>
      <c r="B2074" s="13" t="s">
        <v>43</v>
      </c>
      <c r="D2074" s="3"/>
      <c r="E2074" s="3"/>
      <c r="F2074" s="3"/>
      <c r="G2074" s="3"/>
      <c r="H2074" s="3"/>
      <c r="I2074" s="3"/>
      <c r="J2074" s="4" t="s">
        <v>1757</v>
      </c>
    </row>
    <row r="2075">
      <c r="A2075" s="4" t="s">
        <v>3379</v>
      </c>
      <c r="B2075" s="13" t="s">
        <v>43</v>
      </c>
      <c r="D2075" s="3"/>
      <c r="E2075" s="3"/>
      <c r="F2075" s="3"/>
      <c r="G2075" s="3"/>
      <c r="H2075" s="3"/>
      <c r="I2075" s="3"/>
      <c r="J2075" s="4" t="s">
        <v>1757</v>
      </c>
    </row>
    <row r="2076">
      <c r="A2076" s="4" t="s">
        <v>3380</v>
      </c>
      <c r="B2076" s="13" t="s">
        <v>43</v>
      </c>
      <c r="D2076" s="3"/>
      <c r="E2076" s="3"/>
      <c r="F2076" s="3"/>
      <c r="G2076" s="3"/>
      <c r="H2076" s="3"/>
      <c r="I2076" s="3"/>
      <c r="J2076" s="4" t="s">
        <v>1757</v>
      </c>
    </row>
    <row r="2077">
      <c r="A2077" s="4" t="s">
        <v>3381</v>
      </c>
      <c r="B2077" s="13" t="s">
        <v>43</v>
      </c>
      <c r="D2077" s="3"/>
      <c r="E2077" s="3"/>
      <c r="F2077" s="3"/>
      <c r="G2077" s="3"/>
      <c r="H2077" s="3"/>
      <c r="I2077" s="3"/>
      <c r="J2077" s="4" t="s">
        <v>1757</v>
      </c>
    </row>
    <row r="2078">
      <c r="A2078" s="4" t="s">
        <v>3382</v>
      </c>
      <c r="B2078" s="19" t="s">
        <v>48</v>
      </c>
      <c r="C2078" s="4">
        <v>1.0</v>
      </c>
      <c r="D2078" s="3"/>
      <c r="E2078" s="4">
        <v>2.0</v>
      </c>
      <c r="F2078" s="3"/>
      <c r="G2078" s="3"/>
      <c r="H2078" s="3"/>
      <c r="I2078" s="3"/>
      <c r="J2078" s="4" t="s">
        <v>1757</v>
      </c>
    </row>
    <row r="2079">
      <c r="A2079" s="4" t="s">
        <v>3383</v>
      </c>
      <c r="B2079" s="13" t="s">
        <v>43</v>
      </c>
      <c r="D2079" s="3"/>
      <c r="E2079" s="3"/>
      <c r="F2079" s="3"/>
      <c r="G2079" s="3"/>
      <c r="H2079" s="3"/>
      <c r="I2079" s="3"/>
      <c r="J2079" s="4" t="s">
        <v>1757</v>
      </c>
    </row>
    <row r="2080">
      <c r="A2080" s="4" t="s">
        <v>3384</v>
      </c>
      <c r="B2080" s="13" t="s">
        <v>43</v>
      </c>
      <c r="D2080" s="3"/>
      <c r="E2080" s="3"/>
      <c r="F2080" s="3"/>
      <c r="G2080" s="3"/>
      <c r="H2080" s="3"/>
      <c r="I2080" s="3"/>
      <c r="J2080" s="4" t="s">
        <v>1757</v>
      </c>
    </row>
    <row r="2081">
      <c r="A2081" s="4" t="s">
        <v>3385</v>
      </c>
      <c r="B2081" s="13" t="s">
        <v>48</v>
      </c>
      <c r="C2081" s="4">
        <v>1.0</v>
      </c>
      <c r="D2081" s="3"/>
      <c r="E2081" s="3"/>
      <c r="F2081" s="3"/>
      <c r="G2081" s="3"/>
      <c r="H2081" s="4">
        <v>13.0</v>
      </c>
      <c r="I2081" s="3"/>
      <c r="J2081" s="4" t="s">
        <v>1757</v>
      </c>
    </row>
    <row r="2082">
      <c r="A2082" s="4" t="s">
        <v>3386</v>
      </c>
      <c r="B2082" s="13" t="s">
        <v>43</v>
      </c>
      <c r="D2082" s="3"/>
      <c r="E2082" s="3"/>
      <c r="F2082" s="3"/>
      <c r="G2082" s="3"/>
      <c r="H2082" s="3"/>
      <c r="I2082" s="3"/>
      <c r="J2082" s="4" t="s">
        <v>1757</v>
      </c>
    </row>
    <row r="2083">
      <c r="A2083" s="4" t="s">
        <v>3387</v>
      </c>
      <c r="B2083" s="13" t="s">
        <v>43</v>
      </c>
      <c r="D2083" s="3"/>
      <c r="E2083" s="3"/>
      <c r="F2083" s="3"/>
      <c r="G2083" s="3"/>
      <c r="H2083" s="3"/>
      <c r="I2083" s="3"/>
      <c r="J2083" s="4" t="s">
        <v>1757</v>
      </c>
    </row>
    <row r="2084">
      <c r="A2084" s="4" t="s">
        <v>3388</v>
      </c>
      <c r="B2084" s="13" t="s">
        <v>43</v>
      </c>
      <c r="D2084" s="3"/>
      <c r="E2084" s="3"/>
      <c r="F2084" s="3"/>
      <c r="G2084" s="3"/>
      <c r="H2084" s="3"/>
      <c r="I2084" s="3"/>
      <c r="J2084" s="4" t="s">
        <v>1757</v>
      </c>
    </row>
    <row r="2085">
      <c r="A2085" s="4" t="s">
        <v>3389</v>
      </c>
      <c r="B2085" s="13" t="s">
        <v>43</v>
      </c>
      <c r="D2085" s="3"/>
      <c r="E2085" s="3"/>
      <c r="F2085" s="3"/>
      <c r="G2085" s="3"/>
      <c r="H2085" s="3"/>
      <c r="I2085" s="3"/>
      <c r="J2085" s="4" t="s">
        <v>1757</v>
      </c>
    </row>
    <row r="2086">
      <c r="A2086" s="4" t="s">
        <v>3390</v>
      </c>
      <c r="B2086" s="13" t="s">
        <v>43</v>
      </c>
      <c r="D2086" s="3"/>
      <c r="E2086" s="3"/>
      <c r="F2086" s="3"/>
      <c r="G2086" s="3"/>
      <c r="H2086" s="3"/>
      <c r="I2086" s="3"/>
      <c r="J2086" s="4" t="s">
        <v>1757</v>
      </c>
    </row>
    <row r="2087">
      <c r="A2087" s="4" t="s">
        <v>3391</v>
      </c>
      <c r="B2087" s="13" t="s">
        <v>43</v>
      </c>
      <c r="D2087" s="3"/>
      <c r="E2087" s="3"/>
      <c r="F2087" s="3"/>
      <c r="G2087" s="3"/>
      <c r="H2087" s="3"/>
      <c r="I2087" s="3"/>
      <c r="J2087" s="4" t="s">
        <v>1757</v>
      </c>
    </row>
    <row r="2088">
      <c r="A2088" s="4" t="s">
        <v>3392</v>
      </c>
      <c r="B2088" s="13" t="s">
        <v>43</v>
      </c>
      <c r="D2088" s="3"/>
      <c r="E2088" s="3"/>
      <c r="F2088" s="3"/>
      <c r="G2088" s="3"/>
      <c r="H2088" s="3"/>
      <c r="I2088" s="3"/>
      <c r="J2088" s="4" t="s">
        <v>1757</v>
      </c>
    </row>
    <row r="2089">
      <c r="A2089" s="4" t="s">
        <v>3393</v>
      </c>
      <c r="B2089" s="13" t="s">
        <v>43</v>
      </c>
      <c r="D2089" s="3"/>
      <c r="E2089" s="3"/>
      <c r="F2089" s="3"/>
      <c r="G2089" s="3"/>
      <c r="H2089" s="3"/>
      <c r="I2089" s="3"/>
      <c r="J2089" s="4" t="s">
        <v>1757</v>
      </c>
    </row>
    <row r="2090">
      <c r="A2090" s="4" t="s">
        <v>3394</v>
      </c>
      <c r="B2090" s="13" t="s">
        <v>43</v>
      </c>
      <c r="D2090" s="3"/>
      <c r="E2090" s="3"/>
      <c r="F2090" s="3"/>
      <c r="G2090" s="3"/>
      <c r="H2090" s="3"/>
      <c r="I2090" s="3"/>
      <c r="J2090" s="4" t="s">
        <v>1757</v>
      </c>
    </row>
    <row r="2091">
      <c r="A2091" s="4" t="s">
        <v>3395</v>
      </c>
      <c r="B2091" s="13" t="s">
        <v>43</v>
      </c>
      <c r="D2091" s="3"/>
      <c r="E2091" s="3"/>
      <c r="F2091" s="3"/>
      <c r="G2091" s="3"/>
      <c r="H2091" s="3"/>
      <c r="I2091" s="3"/>
      <c r="J2091" s="4" t="s">
        <v>1757</v>
      </c>
    </row>
    <row r="2092">
      <c r="A2092" s="4" t="s">
        <v>3396</v>
      </c>
      <c r="B2092" s="13" t="s">
        <v>43</v>
      </c>
      <c r="D2092" s="3"/>
      <c r="E2092" s="3"/>
      <c r="F2092" s="3"/>
      <c r="G2092" s="3"/>
      <c r="H2092" s="3"/>
      <c r="I2092" s="3"/>
      <c r="J2092" s="4" t="s">
        <v>1757</v>
      </c>
    </row>
    <row r="2093">
      <c r="A2093" s="4" t="s">
        <v>3397</v>
      </c>
      <c r="B2093" s="13" t="s">
        <v>43</v>
      </c>
      <c r="D2093" s="3"/>
      <c r="E2093" s="3"/>
      <c r="F2093" s="3"/>
      <c r="G2093" s="3"/>
      <c r="H2093" s="3"/>
      <c r="I2093" s="3"/>
      <c r="J2093" s="4" t="s">
        <v>1757</v>
      </c>
    </row>
    <row r="2094">
      <c r="A2094" s="4" t="s">
        <v>3398</v>
      </c>
      <c r="B2094" s="13" t="s">
        <v>43</v>
      </c>
      <c r="D2094" s="3"/>
      <c r="E2094" s="3"/>
      <c r="F2094" s="3"/>
      <c r="G2094" s="3"/>
      <c r="H2094" s="3"/>
      <c r="I2094" s="3"/>
      <c r="J2094" s="4" t="s">
        <v>1757</v>
      </c>
    </row>
    <row r="2095">
      <c r="A2095" s="4" t="s">
        <v>3399</v>
      </c>
      <c r="B2095" s="13" t="s">
        <v>43</v>
      </c>
      <c r="D2095" s="3"/>
      <c r="E2095" s="3"/>
      <c r="F2095" s="3"/>
      <c r="G2095" s="3"/>
      <c r="H2095" s="3"/>
      <c r="I2095" s="3"/>
      <c r="J2095" s="4" t="s">
        <v>1757</v>
      </c>
    </row>
    <row r="2096">
      <c r="A2096" s="4" t="s">
        <v>3400</v>
      </c>
      <c r="B2096" s="13" t="s">
        <v>43</v>
      </c>
      <c r="D2096" s="3"/>
      <c r="E2096" s="3"/>
      <c r="F2096" s="3"/>
      <c r="G2096" s="3"/>
      <c r="H2096" s="3"/>
      <c r="I2096" s="3"/>
      <c r="J2096" s="4" t="s">
        <v>1757</v>
      </c>
    </row>
    <row r="2097">
      <c r="A2097" s="4" t="s">
        <v>3401</v>
      </c>
      <c r="B2097" s="13" t="s">
        <v>43</v>
      </c>
      <c r="D2097" s="3"/>
      <c r="E2097" s="3"/>
      <c r="F2097" s="3"/>
      <c r="G2097" s="3"/>
      <c r="H2097" s="3"/>
      <c r="I2097" s="3"/>
    </row>
    <row r="2098">
      <c r="A2098" s="4" t="s">
        <v>3402</v>
      </c>
      <c r="B2098" s="13" t="s">
        <v>43</v>
      </c>
      <c r="D2098" s="3"/>
      <c r="E2098" s="3"/>
      <c r="F2098" s="3"/>
      <c r="G2098" s="3"/>
      <c r="H2098" s="3"/>
      <c r="I2098" s="3"/>
    </row>
    <row r="2099">
      <c r="A2099" s="4" t="s">
        <v>3403</v>
      </c>
      <c r="B2099" s="13" t="s">
        <v>43</v>
      </c>
      <c r="D2099" s="3"/>
      <c r="E2099" s="3"/>
      <c r="F2099" s="3"/>
      <c r="G2099" s="3"/>
      <c r="H2099" s="3"/>
      <c r="I2099" s="3"/>
    </row>
    <row r="2100">
      <c r="A2100" s="4" t="s">
        <v>3404</v>
      </c>
      <c r="B2100" s="13" t="s">
        <v>43</v>
      </c>
      <c r="D2100" s="3"/>
      <c r="E2100" s="3"/>
      <c r="F2100" s="3"/>
      <c r="G2100" s="3"/>
      <c r="H2100" s="3"/>
      <c r="I2100" s="3"/>
    </row>
    <row r="2101">
      <c r="A2101" s="4" t="s">
        <v>3405</v>
      </c>
      <c r="B2101" s="13" t="s">
        <v>43</v>
      </c>
      <c r="D2101" s="3"/>
      <c r="E2101" s="3"/>
      <c r="F2101" s="3"/>
      <c r="G2101" s="3"/>
      <c r="H2101" s="3"/>
      <c r="I2101" s="3"/>
    </row>
    <row r="2102">
      <c r="A2102" s="4" t="s">
        <v>3406</v>
      </c>
      <c r="B2102" s="13" t="s">
        <v>43</v>
      </c>
      <c r="D2102" s="3"/>
      <c r="E2102" s="3"/>
      <c r="F2102" s="3"/>
      <c r="G2102" s="3"/>
      <c r="H2102" s="3"/>
      <c r="I2102" s="3"/>
    </row>
    <row r="2103">
      <c r="A2103" s="4" t="s">
        <v>3407</v>
      </c>
      <c r="B2103" s="13" t="s">
        <v>43</v>
      </c>
      <c r="D2103" s="3"/>
      <c r="E2103" s="3"/>
      <c r="F2103" s="3"/>
      <c r="G2103" s="3"/>
      <c r="H2103" s="3"/>
      <c r="I2103" s="3"/>
    </row>
    <row r="2104">
      <c r="A2104" s="4" t="s">
        <v>3408</v>
      </c>
      <c r="B2104" s="13" t="s">
        <v>43</v>
      </c>
      <c r="D2104" s="3"/>
      <c r="E2104" s="3"/>
      <c r="F2104" s="3"/>
      <c r="G2104" s="3"/>
      <c r="H2104" s="3"/>
      <c r="I2104" s="3"/>
    </row>
    <row r="2105">
      <c r="A2105" s="4" t="s">
        <v>3409</v>
      </c>
      <c r="B2105" s="13" t="s">
        <v>43</v>
      </c>
      <c r="D2105" s="3"/>
      <c r="E2105" s="3"/>
      <c r="F2105" s="3"/>
      <c r="G2105" s="3"/>
      <c r="H2105" s="3"/>
      <c r="I2105" s="3"/>
    </row>
    <row r="2106">
      <c r="A2106" s="4" t="s">
        <v>3410</v>
      </c>
      <c r="B2106" s="13" t="s">
        <v>43</v>
      </c>
      <c r="D2106" s="3"/>
      <c r="E2106" s="3"/>
      <c r="F2106" s="3"/>
      <c r="G2106" s="3"/>
      <c r="H2106" s="3"/>
      <c r="I2106" s="3"/>
    </row>
    <row r="2107">
      <c r="A2107" s="4" t="s">
        <v>3411</v>
      </c>
      <c r="B2107" s="13" t="s">
        <v>43</v>
      </c>
      <c r="D2107" s="3"/>
      <c r="E2107" s="3"/>
      <c r="F2107" s="3"/>
      <c r="G2107" s="3"/>
      <c r="H2107" s="3"/>
      <c r="I2107" s="3"/>
    </row>
    <row r="2108">
      <c r="A2108" s="4" t="s">
        <v>3412</v>
      </c>
      <c r="B2108" s="13" t="s">
        <v>43</v>
      </c>
      <c r="D2108" s="3"/>
      <c r="E2108" s="3"/>
      <c r="F2108" s="3"/>
      <c r="G2108" s="3"/>
      <c r="H2108" s="3"/>
      <c r="I2108" s="3"/>
      <c r="J2108" s="4" t="s">
        <v>1757</v>
      </c>
    </row>
    <row r="2109">
      <c r="A2109" s="4" t="s">
        <v>3413</v>
      </c>
      <c r="B2109" s="13" t="s">
        <v>43</v>
      </c>
      <c r="D2109" s="3"/>
      <c r="E2109" s="3"/>
      <c r="F2109" s="3"/>
      <c r="G2109" s="3"/>
      <c r="H2109" s="3"/>
      <c r="I2109" s="3"/>
      <c r="J2109" s="4" t="s">
        <v>1757</v>
      </c>
    </row>
    <row r="2110">
      <c r="A2110" s="4" t="s">
        <v>3414</v>
      </c>
      <c r="B2110" s="13" t="s">
        <v>43</v>
      </c>
      <c r="D2110" s="3"/>
      <c r="E2110" s="3"/>
      <c r="F2110" s="3"/>
      <c r="G2110" s="3"/>
      <c r="H2110" s="3"/>
      <c r="I2110" s="3"/>
      <c r="J2110" s="4" t="s">
        <v>1757</v>
      </c>
    </row>
    <row r="2111">
      <c r="A2111" s="4" t="s">
        <v>3415</v>
      </c>
      <c r="B2111" s="13" t="s">
        <v>43</v>
      </c>
      <c r="D2111" s="3"/>
      <c r="E2111" s="3"/>
      <c r="F2111" s="3"/>
      <c r="G2111" s="3"/>
      <c r="H2111" s="3"/>
      <c r="I2111" s="3"/>
      <c r="J2111" s="4" t="s">
        <v>1757</v>
      </c>
    </row>
    <row r="2112">
      <c r="A2112" s="4" t="s">
        <v>3416</v>
      </c>
      <c r="B2112" s="13" t="s">
        <v>43</v>
      </c>
      <c r="D2112" s="3"/>
      <c r="E2112" s="3"/>
      <c r="F2112" s="3"/>
      <c r="G2112" s="3"/>
      <c r="H2112" s="3"/>
      <c r="I2112" s="3"/>
      <c r="J2112" s="4" t="s">
        <v>1757</v>
      </c>
    </row>
    <row r="2113">
      <c r="A2113" s="4" t="s">
        <v>3417</v>
      </c>
      <c r="B2113" s="13" t="s">
        <v>43</v>
      </c>
      <c r="D2113" s="3"/>
      <c r="E2113" s="3"/>
      <c r="F2113" s="3"/>
      <c r="G2113" s="3"/>
      <c r="H2113" s="3"/>
      <c r="I2113" s="3"/>
      <c r="J2113" s="4" t="s">
        <v>1757</v>
      </c>
    </row>
    <row r="2114">
      <c r="A2114" s="4" t="s">
        <v>3418</v>
      </c>
      <c r="B2114" s="13" t="s">
        <v>43</v>
      </c>
      <c r="D2114" s="3"/>
      <c r="E2114" s="3"/>
      <c r="F2114" s="3"/>
      <c r="G2114" s="3"/>
      <c r="H2114" s="3"/>
      <c r="I2114" s="3"/>
      <c r="J2114" s="4" t="s">
        <v>1757</v>
      </c>
    </row>
    <row r="2115">
      <c r="A2115" s="4" t="s">
        <v>3419</v>
      </c>
      <c r="B2115" s="13" t="s">
        <v>43</v>
      </c>
      <c r="D2115" s="3"/>
      <c r="E2115" s="3"/>
      <c r="F2115" s="3"/>
      <c r="G2115" s="3"/>
      <c r="H2115" s="3"/>
      <c r="I2115" s="3"/>
      <c r="J2115" s="4" t="s">
        <v>1757</v>
      </c>
    </row>
    <row r="2116">
      <c r="A2116" s="4" t="s">
        <v>3420</v>
      </c>
      <c r="B2116" s="13" t="s">
        <v>43</v>
      </c>
      <c r="D2116" s="3"/>
      <c r="E2116" s="3"/>
      <c r="F2116" s="3"/>
      <c r="G2116" s="3"/>
      <c r="H2116" s="3"/>
      <c r="I2116" s="3"/>
      <c r="J2116" s="4" t="s">
        <v>1757</v>
      </c>
    </row>
    <row r="2117">
      <c r="A2117" s="4" t="s">
        <v>3421</v>
      </c>
      <c r="B2117" s="13" t="s">
        <v>43</v>
      </c>
      <c r="D2117" s="3"/>
      <c r="E2117" s="3"/>
      <c r="F2117" s="3"/>
      <c r="G2117" s="3"/>
      <c r="H2117" s="3"/>
      <c r="I2117" s="3"/>
      <c r="J2117" s="4" t="s">
        <v>1757</v>
      </c>
    </row>
    <row r="2118">
      <c r="A2118" s="4" t="s">
        <v>3422</v>
      </c>
      <c r="B2118" s="13" t="s">
        <v>43</v>
      </c>
      <c r="D2118" s="3"/>
      <c r="E2118" s="3"/>
      <c r="F2118" s="3"/>
      <c r="G2118" s="3"/>
      <c r="H2118" s="3"/>
      <c r="I2118" s="3"/>
      <c r="J2118" s="4" t="s">
        <v>1757</v>
      </c>
    </row>
    <row r="2119">
      <c r="A2119" s="4" t="s">
        <v>3423</v>
      </c>
      <c r="B2119" s="13" t="s">
        <v>43</v>
      </c>
      <c r="D2119" s="3"/>
      <c r="E2119" s="3"/>
      <c r="F2119" s="3"/>
      <c r="G2119" s="3"/>
      <c r="H2119" s="3"/>
      <c r="I2119" s="3"/>
      <c r="J2119" s="4" t="s">
        <v>1757</v>
      </c>
    </row>
    <row r="2120">
      <c r="A2120" s="4" t="s">
        <v>3424</v>
      </c>
      <c r="B2120" s="13" t="s">
        <v>43</v>
      </c>
      <c r="D2120" s="3"/>
      <c r="E2120" s="3"/>
      <c r="F2120" s="3"/>
      <c r="G2120" s="3"/>
      <c r="H2120" s="3"/>
      <c r="I2120" s="3"/>
      <c r="J2120" s="4" t="s">
        <v>1757</v>
      </c>
    </row>
    <row r="2121">
      <c r="A2121" s="4" t="s">
        <v>3425</v>
      </c>
      <c r="B2121" s="13" t="s">
        <v>43</v>
      </c>
      <c r="D2121" s="3"/>
      <c r="E2121" s="3"/>
      <c r="F2121" s="3"/>
      <c r="G2121" s="3"/>
      <c r="H2121" s="3"/>
      <c r="I2121" s="3"/>
      <c r="J2121" s="4" t="s">
        <v>1757</v>
      </c>
    </row>
    <row r="2122">
      <c r="A2122" s="4" t="s">
        <v>3426</v>
      </c>
      <c r="B2122" s="13" t="s">
        <v>43</v>
      </c>
      <c r="D2122" s="3"/>
      <c r="E2122" s="3"/>
      <c r="F2122" s="3"/>
      <c r="G2122" s="3"/>
      <c r="H2122" s="3"/>
      <c r="I2122" s="3"/>
      <c r="J2122" s="4" t="s">
        <v>1757</v>
      </c>
    </row>
    <row r="2123">
      <c r="A2123" s="4" t="s">
        <v>3427</v>
      </c>
      <c r="B2123" s="13" t="s">
        <v>43</v>
      </c>
      <c r="D2123" s="3"/>
      <c r="E2123" s="3"/>
      <c r="F2123" s="3"/>
      <c r="G2123" s="3"/>
      <c r="H2123" s="3"/>
      <c r="I2123" s="3"/>
      <c r="J2123" s="4" t="s">
        <v>1757</v>
      </c>
    </row>
    <row r="2124">
      <c r="A2124" s="4" t="s">
        <v>3428</v>
      </c>
      <c r="B2124" s="13" t="s">
        <v>43</v>
      </c>
      <c r="D2124" s="3"/>
      <c r="E2124" s="3"/>
      <c r="F2124" s="3"/>
      <c r="G2124" s="3"/>
      <c r="H2124" s="3"/>
      <c r="I2124" s="3"/>
      <c r="J2124" s="4" t="s">
        <v>1757</v>
      </c>
    </row>
    <row r="2125">
      <c r="A2125" s="4" t="s">
        <v>3429</v>
      </c>
      <c r="B2125" s="13" t="s">
        <v>43</v>
      </c>
      <c r="D2125" s="3"/>
      <c r="E2125" s="3"/>
      <c r="F2125" s="3"/>
      <c r="G2125" s="3"/>
      <c r="H2125" s="3"/>
      <c r="I2125" s="3"/>
      <c r="J2125" s="4" t="s">
        <v>1757</v>
      </c>
    </row>
    <row r="2126">
      <c r="A2126" s="4" t="s">
        <v>3430</v>
      </c>
      <c r="B2126" s="13" t="s">
        <v>43</v>
      </c>
      <c r="D2126" s="3"/>
      <c r="E2126" s="3"/>
      <c r="F2126" s="3"/>
      <c r="G2126" s="3"/>
      <c r="H2126" s="3"/>
      <c r="I2126" s="3"/>
      <c r="J2126" s="4" t="s">
        <v>1757</v>
      </c>
    </row>
    <row r="2127">
      <c r="A2127" s="4" t="s">
        <v>3431</v>
      </c>
      <c r="B2127" s="13" t="s">
        <v>43</v>
      </c>
      <c r="D2127" s="3"/>
      <c r="E2127" s="3"/>
      <c r="F2127" s="3"/>
      <c r="G2127" s="3"/>
      <c r="H2127" s="3"/>
      <c r="I2127" s="3"/>
      <c r="J2127" s="4" t="s">
        <v>1757</v>
      </c>
    </row>
    <row r="2128">
      <c r="A2128" s="4" t="s">
        <v>3432</v>
      </c>
      <c r="B2128" s="13" t="s">
        <v>43</v>
      </c>
      <c r="D2128" s="3"/>
      <c r="E2128" s="3"/>
      <c r="F2128" s="3"/>
      <c r="G2128" s="3"/>
      <c r="H2128" s="3"/>
      <c r="I2128" s="3"/>
      <c r="J2128" s="4" t="s">
        <v>1757</v>
      </c>
    </row>
    <row r="2129">
      <c r="A2129" s="4" t="s">
        <v>3433</v>
      </c>
      <c r="B2129" s="13" t="s">
        <v>43</v>
      </c>
      <c r="D2129" s="3"/>
      <c r="E2129" s="3"/>
      <c r="F2129" s="3"/>
      <c r="G2129" s="3"/>
      <c r="H2129" s="3"/>
      <c r="I2129" s="3"/>
      <c r="J2129" s="4" t="s">
        <v>1757</v>
      </c>
    </row>
    <row r="2130">
      <c r="A2130" s="4" t="s">
        <v>3434</v>
      </c>
      <c r="B2130" s="13" t="s">
        <v>43</v>
      </c>
      <c r="D2130" s="3"/>
      <c r="E2130" s="3"/>
      <c r="F2130" s="3"/>
      <c r="G2130" s="3"/>
      <c r="H2130" s="3"/>
      <c r="I2130" s="3"/>
      <c r="J2130" s="4" t="s">
        <v>1757</v>
      </c>
    </row>
    <row r="2131">
      <c r="A2131" s="4" t="s">
        <v>3435</v>
      </c>
      <c r="B2131" s="13" t="s">
        <v>43</v>
      </c>
      <c r="D2131" s="3"/>
      <c r="E2131" s="3"/>
      <c r="F2131" s="3"/>
      <c r="G2131" s="3"/>
      <c r="H2131" s="3"/>
      <c r="I2131" s="3"/>
      <c r="J2131" s="4" t="s">
        <v>1757</v>
      </c>
    </row>
    <row r="2132">
      <c r="A2132" s="4" t="s">
        <v>3436</v>
      </c>
      <c r="B2132" s="13" t="s">
        <v>43</v>
      </c>
      <c r="D2132" s="3"/>
      <c r="E2132" s="3"/>
      <c r="F2132" s="3"/>
      <c r="G2132" s="3"/>
      <c r="H2132" s="3"/>
      <c r="I2132" s="3"/>
      <c r="J2132" s="4" t="s">
        <v>1757</v>
      </c>
    </row>
    <row r="2133">
      <c r="A2133" s="4" t="s">
        <v>3437</v>
      </c>
      <c r="B2133" s="13" t="s">
        <v>43</v>
      </c>
      <c r="D2133" s="3"/>
      <c r="E2133" s="3"/>
      <c r="F2133" s="3"/>
      <c r="G2133" s="3"/>
      <c r="H2133" s="3"/>
      <c r="I2133" s="3"/>
      <c r="J2133" s="4" t="s">
        <v>1757</v>
      </c>
    </row>
    <row r="2134">
      <c r="A2134" s="4" t="s">
        <v>3438</v>
      </c>
      <c r="B2134" s="13" t="s">
        <v>43</v>
      </c>
      <c r="D2134" s="3"/>
      <c r="E2134" s="3"/>
      <c r="F2134" s="3"/>
      <c r="G2134" s="3"/>
      <c r="H2134" s="3"/>
      <c r="I2134" s="3"/>
      <c r="J2134" s="4" t="s">
        <v>1757</v>
      </c>
    </row>
    <row r="2135">
      <c r="A2135" s="4" t="s">
        <v>3439</v>
      </c>
      <c r="B2135" s="13" t="s">
        <v>43</v>
      </c>
      <c r="D2135" s="3"/>
      <c r="E2135" s="3"/>
      <c r="F2135" s="3"/>
      <c r="G2135" s="3"/>
      <c r="H2135" s="3"/>
      <c r="I2135" s="3"/>
      <c r="J2135" s="4" t="s">
        <v>1757</v>
      </c>
    </row>
    <row r="2136">
      <c r="A2136" s="4" t="s">
        <v>3440</v>
      </c>
      <c r="B2136" s="13" t="s">
        <v>43</v>
      </c>
      <c r="D2136" s="3"/>
      <c r="E2136" s="3"/>
      <c r="F2136" s="3"/>
      <c r="G2136" s="3"/>
      <c r="H2136" s="3"/>
      <c r="I2136" s="3"/>
      <c r="J2136" s="4" t="s">
        <v>1757</v>
      </c>
    </row>
    <row r="2137">
      <c r="A2137" s="4" t="s">
        <v>3441</v>
      </c>
      <c r="B2137" s="13" t="s">
        <v>43</v>
      </c>
      <c r="D2137" s="3"/>
      <c r="E2137" s="3"/>
      <c r="F2137" s="3"/>
      <c r="G2137" s="3"/>
      <c r="H2137" s="3"/>
      <c r="I2137" s="3"/>
      <c r="J2137" s="4" t="s">
        <v>1757</v>
      </c>
    </row>
    <row r="2138">
      <c r="A2138" s="4" t="s">
        <v>3442</v>
      </c>
      <c r="B2138" s="13" t="s">
        <v>43</v>
      </c>
      <c r="D2138" s="3"/>
      <c r="E2138" s="3"/>
      <c r="F2138" s="3"/>
      <c r="G2138" s="3"/>
      <c r="H2138" s="3"/>
      <c r="I2138" s="3"/>
      <c r="J2138" s="4" t="s">
        <v>1757</v>
      </c>
    </row>
    <row r="2139">
      <c r="A2139" s="4" t="s">
        <v>3443</v>
      </c>
      <c r="B2139" s="13" t="s">
        <v>43</v>
      </c>
      <c r="D2139" s="3"/>
      <c r="E2139" s="3"/>
      <c r="F2139" s="3"/>
      <c r="G2139" s="3"/>
      <c r="H2139" s="3"/>
      <c r="I2139" s="3"/>
      <c r="J2139" s="4" t="s">
        <v>1757</v>
      </c>
    </row>
    <row r="2140">
      <c r="A2140" s="4" t="s">
        <v>3444</v>
      </c>
      <c r="B2140" s="13" t="s">
        <v>43</v>
      </c>
      <c r="D2140" s="3"/>
      <c r="E2140" s="3"/>
      <c r="F2140" s="3"/>
      <c r="G2140" s="3"/>
      <c r="H2140" s="3"/>
      <c r="I2140" s="3"/>
      <c r="J2140" s="4" t="s">
        <v>1757</v>
      </c>
    </row>
    <row r="2141">
      <c r="A2141" s="4" t="s">
        <v>3445</v>
      </c>
      <c r="B2141" s="13" t="s">
        <v>43</v>
      </c>
      <c r="D2141" s="3"/>
      <c r="E2141" s="3"/>
      <c r="F2141" s="3"/>
      <c r="G2141" s="3"/>
      <c r="H2141" s="3"/>
      <c r="I2141" s="3"/>
      <c r="J2141" s="4" t="s">
        <v>1757</v>
      </c>
    </row>
    <row r="2142">
      <c r="A2142" s="4" t="s">
        <v>3446</v>
      </c>
      <c r="B2142" s="13" t="s">
        <v>43</v>
      </c>
      <c r="D2142" s="3"/>
      <c r="E2142" s="3"/>
      <c r="F2142" s="3"/>
      <c r="G2142" s="3"/>
      <c r="H2142" s="3"/>
      <c r="I2142" s="3"/>
      <c r="J2142" s="4" t="s">
        <v>1757</v>
      </c>
    </row>
    <row r="2143">
      <c r="A2143" s="4" t="s">
        <v>3447</v>
      </c>
      <c r="B2143" s="13" t="s">
        <v>43</v>
      </c>
      <c r="D2143" s="3"/>
      <c r="E2143" s="3"/>
      <c r="F2143" s="3"/>
      <c r="G2143" s="3"/>
      <c r="H2143" s="3"/>
      <c r="I2143" s="3"/>
      <c r="J2143" s="4" t="s">
        <v>1757</v>
      </c>
    </row>
    <row r="2144">
      <c r="A2144" s="4" t="s">
        <v>3448</v>
      </c>
      <c r="B2144" s="13" t="s">
        <v>43</v>
      </c>
      <c r="D2144" s="3"/>
      <c r="E2144" s="3"/>
      <c r="F2144" s="3"/>
      <c r="G2144" s="3"/>
      <c r="H2144" s="3"/>
      <c r="I2144" s="3"/>
      <c r="J2144" s="4" t="s">
        <v>1757</v>
      </c>
    </row>
    <row r="2145">
      <c r="A2145" s="4" t="s">
        <v>3449</v>
      </c>
      <c r="B2145" s="13" t="s">
        <v>43</v>
      </c>
      <c r="D2145" s="3"/>
      <c r="E2145" s="3"/>
      <c r="F2145" s="3"/>
      <c r="G2145" s="3"/>
      <c r="H2145" s="3"/>
      <c r="I2145" s="3"/>
      <c r="J2145" s="4" t="s">
        <v>1757</v>
      </c>
    </row>
    <row r="2146">
      <c r="A2146" s="4" t="s">
        <v>3450</v>
      </c>
      <c r="B2146" s="13" t="s">
        <v>43</v>
      </c>
      <c r="D2146" s="3"/>
      <c r="E2146" s="3"/>
      <c r="F2146" s="3"/>
      <c r="G2146" s="3"/>
      <c r="H2146" s="3"/>
      <c r="I2146" s="3"/>
      <c r="J2146" s="4" t="s">
        <v>1757</v>
      </c>
    </row>
    <row r="2147">
      <c r="A2147" s="4" t="s">
        <v>3451</v>
      </c>
      <c r="B2147" s="13" t="s">
        <v>43</v>
      </c>
      <c r="D2147" s="3"/>
      <c r="E2147" s="3"/>
      <c r="F2147" s="3"/>
      <c r="G2147" s="3"/>
      <c r="H2147" s="3"/>
      <c r="I2147" s="3"/>
      <c r="J2147" s="4" t="s">
        <v>1757</v>
      </c>
    </row>
    <row r="2148">
      <c r="A2148" s="4" t="s">
        <v>3452</v>
      </c>
      <c r="B2148" s="13" t="s">
        <v>43</v>
      </c>
      <c r="D2148" s="3"/>
      <c r="E2148" s="3"/>
      <c r="F2148" s="3"/>
      <c r="G2148" s="3"/>
      <c r="H2148" s="3"/>
      <c r="I2148" s="3"/>
      <c r="J2148" s="4" t="s">
        <v>1757</v>
      </c>
    </row>
    <row r="2149">
      <c r="A2149" s="4" t="s">
        <v>3453</v>
      </c>
      <c r="B2149" s="13" t="s">
        <v>43</v>
      </c>
      <c r="D2149" s="3"/>
      <c r="E2149" s="3"/>
      <c r="F2149" s="3"/>
      <c r="G2149" s="3"/>
      <c r="H2149" s="3"/>
      <c r="I2149" s="3"/>
      <c r="J2149" s="4" t="s">
        <v>1757</v>
      </c>
    </row>
    <row r="2150">
      <c r="A2150" s="4" t="s">
        <v>3454</v>
      </c>
      <c r="B2150" s="13" t="s">
        <v>43</v>
      </c>
      <c r="D2150" s="3"/>
      <c r="E2150" s="3"/>
      <c r="F2150" s="3"/>
      <c r="G2150" s="3"/>
      <c r="H2150" s="3"/>
      <c r="I2150" s="3"/>
      <c r="J2150" s="4" t="s">
        <v>1757</v>
      </c>
    </row>
    <row r="2151">
      <c r="A2151" s="4" t="s">
        <v>3455</v>
      </c>
      <c r="B2151" s="13" t="s">
        <v>43</v>
      </c>
      <c r="D2151" s="3"/>
      <c r="E2151" s="3"/>
      <c r="F2151" s="3"/>
      <c r="G2151" s="3"/>
      <c r="H2151" s="3"/>
      <c r="I2151" s="3"/>
      <c r="J2151" s="4" t="s">
        <v>1757</v>
      </c>
    </row>
    <row r="2152">
      <c r="A2152" s="4" t="s">
        <v>3456</v>
      </c>
      <c r="B2152" s="13" t="s">
        <v>43</v>
      </c>
      <c r="D2152" s="3"/>
      <c r="E2152" s="3"/>
      <c r="F2152" s="3"/>
      <c r="G2152" s="3"/>
      <c r="H2152" s="3"/>
      <c r="I2152" s="3"/>
      <c r="J2152" s="4" t="s">
        <v>1757</v>
      </c>
    </row>
    <row r="2153">
      <c r="A2153" s="4" t="s">
        <v>3457</v>
      </c>
      <c r="B2153" s="13" t="s">
        <v>43</v>
      </c>
      <c r="D2153" s="3"/>
      <c r="E2153" s="3"/>
      <c r="F2153" s="3"/>
      <c r="G2153" s="3"/>
      <c r="H2153" s="3"/>
      <c r="I2153" s="3"/>
    </row>
    <row r="2154">
      <c r="A2154" s="4" t="s">
        <v>3458</v>
      </c>
      <c r="B2154" s="13" t="s">
        <v>43</v>
      </c>
      <c r="D2154" s="3"/>
      <c r="E2154" s="3"/>
      <c r="F2154" s="3"/>
      <c r="G2154" s="3"/>
      <c r="H2154" s="3"/>
      <c r="I2154" s="3"/>
    </row>
    <row r="2155">
      <c r="A2155" s="4" t="s">
        <v>3459</v>
      </c>
      <c r="B2155" s="13" t="s">
        <v>43</v>
      </c>
      <c r="D2155" s="3"/>
      <c r="E2155" s="3"/>
      <c r="F2155" s="3"/>
      <c r="G2155" s="3"/>
      <c r="H2155" s="3"/>
      <c r="I2155" s="3"/>
    </row>
    <row r="2156">
      <c r="A2156" s="4" t="s">
        <v>3460</v>
      </c>
      <c r="B2156" s="13" t="s">
        <v>43</v>
      </c>
      <c r="D2156" s="3"/>
      <c r="E2156" s="3"/>
      <c r="F2156" s="3"/>
      <c r="G2156" s="3"/>
      <c r="H2156" s="3"/>
      <c r="I2156" s="3"/>
    </row>
    <row r="2157">
      <c r="A2157" s="4" t="s">
        <v>3461</v>
      </c>
      <c r="B2157" s="13" t="s">
        <v>43</v>
      </c>
      <c r="D2157" s="3"/>
      <c r="E2157" s="3"/>
      <c r="F2157" s="3"/>
      <c r="G2157" s="3"/>
      <c r="H2157" s="3"/>
      <c r="I2157" s="3"/>
    </row>
    <row r="2158">
      <c r="A2158" s="4" t="s">
        <v>3462</v>
      </c>
      <c r="B2158" s="13" t="s">
        <v>43</v>
      </c>
      <c r="D2158" s="3"/>
      <c r="E2158" s="3"/>
      <c r="F2158" s="3"/>
      <c r="G2158" s="3"/>
      <c r="H2158" s="3"/>
      <c r="I2158" s="3"/>
    </row>
    <row r="2159">
      <c r="A2159" s="4" t="s">
        <v>3463</v>
      </c>
      <c r="B2159" s="13" t="s">
        <v>43</v>
      </c>
      <c r="D2159" s="3"/>
      <c r="E2159" s="3"/>
      <c r="F2159" s="3"/>
      <c r="G2159" s="3"/>
      <c r="H2159" s="3"/>
      <c r="I2159" s="3"/>
    </row>
    <row r="2160">
      <c r="A2160" s="4" t="s">
        <v>3464</v>
      </c>
      <c r="B2160" s="13" t="s">
        <v>43</v>
      </c>
      <c r="D2160" s="3"/>
      <c r="E2160" s="3"/>
      <c r="F2160" s="3"/>
      <c r="G2160" s="3"/>
      <c r="H2160" s="3"/>
      <c r="I2160" s="3"/>
    </row>
    <row r="2161">
      <c r="A2161" s="4" t="s">
        <v>3465</v>
      </c>
      <c r="B2161" s="13" t="s">
        <v>43</v>
      </c>
      <c r="D2161" s="3"/>
      <c r="E2161" s="3"/>
      <c r="F2161" s="3"/>
      <c r="G2161" s="3"/>
      <c r="H2161" s="3"/>
      <c r="I2161" s="3"/>
    </row>
    <row r="2162">
      <c r="A2162" s="4" t="s">
        <v>3466</v>
      </c>
      <c r="B2162" s="13" t="s">
        <v>43</v>
      </c>
      <c r="D2162" s="3"/>
      <c r="E2162" s="3"/>
      <c r="F2162" s="3"/>
      <c r="G2162" s="3"/>
      <c r="H2162" s="3"/>
      <c r="I2162" s="3"/>
    </row>
    <row r="2163">
      <c r="A2163" s="4" t="s">
        <v>3467</v>
      </c>
      <c r="B2163" s="13" t="s">
        <v>43</v>
      </c>
      <c r="D2163" s="3"/>
      <c r="E2163" s="3"/>
      <c r="F2163" s="3"/>
      <c r="G2163" s="3"/>
      <c r="H2163" s="3"/>
      <c r="I2163" s="3"/>
    </row>
    <row r="2164">
      <c r="A2164" s="4" t="s">
        <v>3468</v>
      </c>
      <c r="B2164" s="13" t="s">
        <v>43</v>
      </c>
      <c r="D2164" s="3"/>
      <c r="E2164" s="3"/>
      <c r="F2164" s="3"/>
      <c r="G2164" s="3"/>
      <c r="H2164" s="3"/>
      <c r="I2164" s="3"/>
    </row>
    <row r="2165">
      <c r="A2165" s="4" t="s">
        <v>3469</v>
      </c>
      <c r="B2165" s="13" t="s">
        <v>43</v>
      </c>
      <c r="D2165" s="3"/>
      <c r="E2165" s="3"/>
      <c r="F2165" s="3"/>
      <c r="G2165" s="3"/>
      <c r="H2165" s="3"/>
      <c r="I2165" s="3"/>
    </row>
    <row r="2166">
      <c r="A2166" s="4" t="s">
        <v>3470</v>
      </c>
      <c r="B2166" s="13" t="s">
        <v>43</v>
      </c>
      <c r="D2166" s="3"/>
      <c r="E2166" s="3"/>
      <c r="F2166" s="3"/>
      <c r="G2166" s="3"/>
      <c r="H2166" s="3"/>
      <c r="I2166" s="3"/>
    </row>
    <row r="2167">
      <c r="A2167" s="4" t="s">
        <v>3471</v>
      </c>
      <c r="B2167" s="13" t="s">
        <v>43</v>
      </c>
      <c r="D2167" s="3"/>
      <c r="E2167" s="3"/>
      <c r="F2167" s="3"/>
      <c r="G2167" s="3"/>
      <c r="H2167" s="3"/>
      <c r="I2167" s="3"/>
    </row>
    <row r="2168">
      <c r="A2168" s="4" t="s">
        <v>3472</v>
      </c>
      <c r="B2168" s="13" t="s">
        <v>43</v>
      </c>
      <c r="D2168" s="3"/>
      <c r="E2168" s="3"/>
      <c r="F2168" s="3"/>
      <c r="G2168" s="3"/>
      <c r="H2168" s="3"/>
      <c r="I2168" s="3"/>
    </row>
    <row r="2169">
      <c r="A2169" s="4" t="s">
        <v>3473</v>
      </c>
      <c r="B2169" s="13" t="s">
        <v>43</v>
      </c>
      <c r="D2169" s="3"/>
      <c r="E2169" s="3"/>
      <c r="F2169" s="3"/>
      <c r="G2169" s="3"/>
      <c r="H2169" s="3"/>
      <c r="I2169" s="3"/>
    </row>
    <row r="2170">
      <c r="A2170" s="4" t="s">
        <v>3474</v>
      </c>
      <c r="B2170" s="13" t="s">
        <v>43</v>
      </c>
      <c r="D2170" s="3"/>
      <c r="E2170" s="3"/>
      <c r="F2170" s="3"/>
      <c r="G2170" s="3"/>
      <c r="H2170" s="3"/>
      <c r="I2170" s="3"/>
    </row>
    <row r="2171">
      <c r="A2171" s="4" t="s">
        <v>3475</v>
      </c>
      <c r="B2171" s="13" t="s">
        <v>43</v>
      </c>
      <c r="D2171" s="3"/>
      <c r="E2171" s="3"/>
      <c r="F2171" s="3"/>
      <c r="G2171" s="3"/>
      <c r="H2171" s="3"/>
      <c r="I2171" s="3"/>
    </row>
    <row r="2172">
      <c r="A2172" s="4" t="s">
        <v>3476</v>
      </c>
      <c r="B2172" s="13" t="s">
        <v>43</v>
      </c>
      <c r="D2172" s="3"/>
      <c r="E2172" s="3"/>
      <c r="F2172" s="3"/>
      <c r="G2172" s="3"/>
      <c r="H2172" s="3"/>
      <c r="I2172" s="3"/>
    </row>
    <row r="2173">
      <c r="A2173" s="4" t="s">
        <v>3477</v>
      </c>
      <c r="B2173" s="13" t="s">
        <v>43</v>
      </c>
      <c r="D2173" s="3"/>
      <c r="E2173" s="3"/>
      <c r="F2173" s="3"/>
      <c r="G2173" s="3"/>
      <c r="H2173" s="3"/>
      <c r="I2173" s="3"/>
    </row>
    <row r="2174">
      <c r="A2174" s="4" t="s">
        <v>3478</v>
      </c>
      <c r="B2174" s="13" t="s">
        <v>43</v>
      </c>
      <c r="D2174" s="3"/>
      <c r="E2174" s="3"/>
      <c r="F2174" s="3"/>
      <c r="G2174" s="3"/>
      <c r="H2174" s="3"/>
      <c r="I2174" s="3"/>
    </row>
    <row r="2175">
      <c r="A2175" s="4" t="s">
        <v>3479</v>
      </c>
      <c r="B2175" s="13" t="s">
        <v>43</v>
      </c>
      <c r="D2175" s="3"/>
      <c r="E2175" s="3"/>
      <c r="F2175" s="3"/>
      <c r="G2175" s="3"/>
      <c r="H2175" s="3"/>
      <c r="I2175" s="3"/>
    </row>
    <row r="2176">
      <c r="A2176" s="4" t="s">
        <v>3480</v>
      </c>
      <c r="B2176" s="13" t="s">
        <v>43</v>
      </c>
      <c r="D2176" s="3"/>
      <c r="E2176" s="3"/>
      <c r="F2176" s="3"/>
      <c r="G2176" s="3"/>
      <c r="H2176" s="3"/>
      <c r="I2176" s="3"/>
    </row>
    <row r="2177">
      <c r="A2177" s="4" t="s">
        <v>3481</v>
      </c>
      <c r="B2177" s="13" t="s">
        <v>43</v>
      </c>
      <c r="D2177" s="3"/>
      <c r="E2177" s="3"/>
      <c r="F2177" s="3"/>
      <c r="G2177" s="3"/>
      <c r="H2177" s="3"/>
      <c r="I2177" s="3"/>
    </row>
    <row r="2178">
      <c r="A2178" s="4" t="s">
        <v>3482</v>
      </c>
      <c r="B2178" s="13" t="s">
        <v>43</v>
      </c>
      <c r="D2178" s="3"/>
      <c r="E2178" s="3"/>
      <c r="F2178" s="3"/>
      <c r="G2178" s="3"/>
      <c r="H2178" s="3"/>
      <c r="I2178" s="3"/>
    </row>
    <row r="2179">
      <c r="A2179" s="4" t="s">
        <v>3483</v>
      </c>
      <c r="B2179" s="13" t="s">
        <v>43</v>
      </c>
      <c r="D2179" s="3"/>
      <c r="E2179" s="3"/>
      <c r="F2179" s="3"/>
      <c r="G2179" s="3"/>
      <c r="H2179" s="3"/>
      <c r="I2179" s="3"/>
    </row>
    <row r="2180">
      <c r="A2180" s="4" t="s">
        <v>3484</v>
      </c>
      <c r="B2180" s="13" t="s">
        <v>43</v>
      </c>
      <c r="D2180" s="3"/>
      <c r="E2180" s="3"/>
      <c r="F2180" s="3"/>
      <c r="G2180" s="3"/>
      <c r="H2180" s="3"/>
      <c r="I2180" s="3"/>
    </row>
    <row r="2181">
      <c r="A2181" s="4" t="s">
        <v>3485</v>
      </c>
      <c r="B2181" s="13" t="s">
        <v>43</v>
      </c>
      <c r="D2181" s="3"/>
      <c r="E2181" s="3"/>
      <c r="F2181" s="3"/>
      <c r="G2181" s="3"/>
      <c r="H2181" s="3"/>
      <c r="I2181" s="3"/>
    </row>
    <row r="2182">
      <c r="A2182" s="4" t="s">
        <v>3486</v>
      </c>
      <c r="B2182" s="13" t="s">
        <v>43</v>
      </c>
      <c r="D2182" s="3"/>
      <c r="E2182" s="3"/>
      <c r="F2182" s="3"/>
      <c r="G2182" s="3"/>
      <c r="H2182" s="3"/>
      <c r="I2182" s="3"/>
    </row>
    <row r="2183">
      <c r="A2183" s="4" t="s">
        <v>3487</v>
      </c>
      <c r="B2183" s="13" t="s">
        <v>43</v>
      </c>
      <c r="D2183" s="3"/>
      <c r="E2183" s="3"/>
      <c r="F2183" s="3"/>
      <c r="G2183" s="3"/>
      <c r="H2183" s="3"/>
      <c r="I2183" s="3"/>
    </row>
    <row r="2184">
      <c r="A2184" s="4" t="s">
        <v>3488</v>
      </c>
      <c r="B2184" s="13" t="s">
        <v>43</v>
      </c>
      <c r="D2184" s="3"/>
      <c r="E2184" s="3"/>
      <c r="F2184" s="3"/>
      <c r="G2184" s="3"/>
      <c r="H2184" s="3"/>
      <c r="I2184" s="3"/>
    </row>
    <row r="2185">
      <c r="A2185" s="4" t="s">
        <v>3489</v>
      </c>
      <c r="B2185" s="13" t="s">
        <v>43</v>
      </c>
      <c r="D2185" s="3"/>
      <c r="E2185" s="3"/>
      <c r="F2185" s="3"/>
      <c r="G2185" s="3"/>
      <c r="H2185" s="3"/>
      <c r="I2185" s="3"/>
    </row>
    <row r="2186">
      <c r="A2186" s="4" t="s">
        <v>3490</v>
      </c>
      <c r="B2186" s="13" t="s">
        <v>43</v>
      </c>
      <c r="D2186" s="3"/>
      <c r="E2186" s="3"/>
      <c r="F2186" s="3"/>
      <c r="G2186" s="3"/>
      <c r="H2186" s="3"/>
      <c r="I2186" s="3"/>
    </row>
    <row r="2187">
      <c r="A2187" s="4" t="s">
        <v>3491</v>
      </c>
      <c r="B2187" s="13" t="s">
        <v>43</v>
      </c>
      <c r="D2187" s="3"/>
      <c r="E2187" s="3"/>
      <c r="F2187" s="3"/>
      <c r="G2187" s="3"/>
      <c r="H2187" s="3"/>
      <c r="I2187" s="3"/>
    </row>
    <row r="2188">
      <c r="A2188" s="4" t="s">
        <v>3492</v>
      </c>
      <c r="B2188" s="13" t="s">
        <v>43</v>
      </c>
      <c r="D2188" s="3"/>
      <c r="E2188" s="3"/>
      <c r="F2188" s="3"/>
      <c r="G2188" s="3"/>
      <c r="H2188" s="3"/>
      <c r="I2188" s="3"/>
    </row>
    <row r="2189">
      <c r="A2189" s="4" t="s">
        <v>3493</v>
      </c>
      <c r="B2189" s="13" t="s">
        <v>43</v>
      </c>
      <c r="D2189" s="3"/>
      <c r="E2189" s="3"/>
      <c r="F2189" s="3"/>
      <c r="G2189" s="3"/>
      <c r="H2189" s="3"/>
      <c r="I2189" s="3"/>
    </row>
    <row r="2190">
      <c r="A2190" s="4" t="s">
        <v>3494</v>
      </c>
      <c r="B2190" s="13" t="s">
        <v>43</v>
      </c>
      <c r="D2190" s="3"/>
      <c r="E2190" s="3"/>
      <c r="F2190" s="3"/>
      <c r="G2190" s="3"/>
      <c r="H2190" s="3"/>
      <c r="I2190" s="3"/>
    </row>
    <row r="2191">
      <c r="A2191" s="4" t="s">
        <v>3495</v>
      </c>
      <c r="B2191" s="13" t="s">
        <v>43</v>
      </c>
      <c r="D2191" s="3"/>
      <c r="E2191" s="3"/>
      <c r="F2191" s="3"/>
      <c r="G2191" s="3"/>
      <c r="H2191" s="3"/>
      <c r="I2191" s="3"/>
    </row>
    <row r="2192">
      <c r="A2192" s="4" t="s">
        <v>3496</v>
      </c>
      <c r="B2192" s="13" t="s">
        <v>43</v>
      </c>
      <c r="D2192" s="3"/>
      <c r="E2192" s="3"/>
      <c r="F2192" s="3"/>
      <c r="G2192" s="3"/>
      <c r="H2192" s="3"/>
      <c r="I2192" s="3"/>
    </row>
    <row r="2193">
      <c r="A2193" s="4" t="s">
        <v>3497</v>
      </c>
      <c r="B2193" s="13" t="s">
        <v>43</v>
      </c>
      <c r="D2193" s="3"/>
      <c r="E2193" s="3"/>
      <c r="F2193" s="3"/>
      <c r="G2193" s="3"/>
      <c r="H2193" s="3"/>
      <c r="I2193" s="3"/>
    </row>
    <row r="2194">
      <c r="A2194" s="4" t="s">
        <v>3498</v>
      </c>
      <c r="B2194" s="13" t="s">
        <v>43</v>
      </c>
      <c r="D2194" s="3"/>
      <c r="E2194" s="3"/>
      <c r="F2194" s="3"/>
      <c r="G2194" s="3"/>
      <c r="H2194" s="3"/>
      <c r="I2194" s="3"/>
    </row>
    <row r="2195">
      <c r="A2195" s="4" t="s">
        <v>3499</v>
      </c>
      <c r="B2195" s="13" t="s">
        <v>43</v>
      </c>
      <c r="D2195" s="3"/>
      <c r="E2195" s="3"/>
      <c r="F2195" s="3"/>
      <c r="G2195" s="3"/>
      <c r="H2195" s="3"/>
      <c r="I2195" s="3"/>
    </row>
    <row r="2196">
      <c r="A2196" s="4" t="s">
        <v>3500</v>
      </c>
      <c r="B2196" s="13" t="s">
        <v>43</v>
      </c>
      <c r="D2196" s="3"/>
      <c r="E2196" s="3"/>
      <c r="F2196" s="3"/>
      <c r="G2196" s="3"/>
      <c r="H2196" s="3"/>
      <c r="I2196" s="3"/>
    </row>
    <row r="2197">
      <c r="A2197" s="4" t="s">
        <v>3501</v>
      </c>
      <c r="B2197" s="13" t="s">
        <v>43</v>
      </c>
      <c r="D2197" s="3"/>
      <c r="E2197" s="3"/>
      <c r="F2197" s="3"/>
      <c r="G2197" s="3"/>
      <c r="H2197" s="3"/>
      <c r="I2197" s="3"/>
    </row>
    <row r="2198">
      <c r="A2198" s="4" t="s">
        <v>3502</v>
      </c>
      <c r="B2198" s="13" t="s">
        <v>43</v>
      </c>
      <c r="D2198" s="3"/>
      <c r="E2198" s="3"/>
      <c r="F2198" s="3"/>
      <c r="G2198" s="3"/>
      <c r="H2198" s="3"/>
      <c r="I2198" s="3"/>
    </row>
    <row r="2199">
      <c r="A2199" s="4" t="s">
        <v>3503</v>
      </c>
      <c r="B2199" s="13" t="s">
        <v>43</v>
      </c>
      <c r="D2199" s="3"/>
      <c r="E2199" s="3"/>
      <c r="F2199" s="3"/>
      <c r="G2199" s="3"/>
      <c r="H2199" s="3"/>
      <c r="I2199" s="3"/>
    </row>
    <row r="2200">
      <c r="A2200" s="4" t="s">
        <v>3504</v>
      </c>
      <c r="B2200" s="13" t="s">
        <v>43</v>
      </c>
      <c r="D2200" s="3"/>
      <c r="E2200" s="3"/>
      <c r="F2200" s="3"/>
      <c r="G2200" s="3"/>
      <c r="H2200" s="3"/>
      <c r="I2200" s="3"/>
    </row>
    <row r="2201">
      <c r="A2201" s="4" t="s">
        <v>3505</v>
      </c>
      <c r="B2201" s="13" t="s">
        <v>43</v>
      </c>
      <c r="D2201" s="3"/>
      <c r="E2201" s="3"/>
      <c r="F2201" s="3"/>
      <c r="G2201" s="3"/>
      <c r="H2201" s="3"/>
      <c r="I2201" s="3"/>
    </row>
    <row r="2202">
      <c r="A2202" s="4" t="s">
        <v>3506</v>
      </c>
      <c r="B2202" s="13" t="s">
        <v>43</v>
      </c>
      <c r="D2202" s="3"/>
      <c r="E2202" s="3"/>
      <c r="F2202" s="3"/>
      <c r="G2202" s="3"/>
      <c r="H2202" s="3"/>
      <c r="I2202" s="3"/>
    </row>
    <row r="2203">
      <c r="A2203" s="4" t="s">
        <v>3507</v>
      </c>
      <c r="B2203" s="13" t="s">
        <v>43</v>
      </c>
      <c r="D2203" s="3"/>
      <c r="E2203" s="3"/>
      <c r="F2203" s="3"/>
      <c r="G2203" s="3"/>
      <c r="H2203" s="3"/>
      <c r="I2203" s="3"/>
    </row>
    <row r="2204">
      <c r="A2204" s="4" t="s">
        <v>3508</v>
      </c>
      <c r="B2204" s="13" t="s">
        <v>43</v>
      </c>
      <c r="D2204" s="3"/>
      <c r="E2204" s="3"/>
      <c r="F2204" s="3"/>
      <c r="G2204" s="3"/>
      <c r="H2204" s="3"/>
      <c r="I2204" s="3"/>
    </row>
    <row r="2205">
      <c r="A2205" s="4" t="s">
        <v>3509</v>
      </c>
      <c r="B2205" s="13" t="s">
        <v>43</v>
      </c>
      <c r="D2205" s="3"/>
      <c r="E2205" s="3"/>
      <c r="F2205" s="3"/>
      <c r="G2205" s="3"/>
      <c r="H2205" s="3"/>
      <c r="I2205" s="3"/>
    </row>
    <row r="2206">
      <c r="A2206" s="4" t="s">
        <v>3510</v>
      </c>
      <c r="B2206" s="13" t="s">
        <v>43</v>
      </c>
      <c r="D2206" s="3"/>
      <c r="E2206" s="3"/>
      <c r="F2206" s="3"/>
      <c r="G2206" s="3"/>
      <c r="H2206" s="3"/>
      <c r="I2206" s="3"/>
    </row>
    <row r="2207">
      <c r="A2207" s="4" t="s">
        <v>3511</v>
      </c>
      <c r="B2207" s="13" t="s">
        <v>43</v>
      </c>
      <c r="D2207" s="3"/>
      <c r="E2207" s="3"/>
      <c r="F2207" s="3"/>
      <c r="G2207" s="3"/>
      <c r="H2207" s="3"/>
      <c r="I2207" s="3"/>
    </row>
    <row r="2208">
      <c r="A2208" s="4" t="s">
        <v>3512</v>
      </c>
      <c r="B2208" s="13" t="s">
        <v>43</v>
      </c>
      <c r="D2208" s="3"/>
      <c r="E2208" s="3"/>
      <c r="F2208" s="3"/>
      <c r="G2208" s="3"/>
      <c r="H2208" s="3"/>
      <c r="I2208" s="3"/>
    </row>
    <row r="2209">
      <c r="A2209" s="4" t="s">
        <v>3513</v>
      </c>
      <c r="B2209" s="13" t="s">
        <v>43</v>
      </c>
      <c r="D2209" s="3"/>
      <c r="E2209" s="3"/>
      <c r="F2209" s="3"/>
      <c r="G2209" s="3"/>
      <c r="H2209" s="3"/>
      <c r="I2209" s="3"/>
    </row>
    <row r="2210">
      <c r="A2210" s="4" t="s">
        <v>3514</v>
      </c>
      <c r="B2210" s="13" t="s">
        <v>43</v>
      </c>
      <c r="D2210" s="3"/>
      <c r="E2210" s="3"/>
      <c r="F2210" s="3"/>
      <c r="G2210" s="3"/>
      <c r="H2210" s="3"/>
      <c r="I2210" s="3"/>
    </row>
    <row r="2211">
      <c r="A2211" s="4" t="s">
        <v>3515</v>
      </c>
      <c r="B2211" s="13" t="s">
        <v>43</v>
      </c>
      <c r="D2211" s="3"/>
      <c r="E2211" s="3"/>
      <c r="F2211" s="3"/>
      <c r="G2211" s="3"/>
      <c r="H2211" s="3"/>
      <c r="I2211" s="3"/>
    </row>
    <row r="2212">
      <c r="A2212" s="4" t="s">
        <v>3516</v>
      </c>
      <c r="B2212" s="13" t="s">
        <v>43</v>
      </c>
      <c r="D2212" s="3"/>
      <c r="E2212" s="3"/>
      <c r="F2212" s="3"/>
      <c r="G2212" s="3"/>
      <c r="H2212" s="3"/>
      <c r="I2212" s="3"/>
    </row>
    <row r="2213">
      <c r="A2213" s="4" t="s">
        <v>3517</v>
      </c>
      <c r="B2213" s="13" t="s">
        <v>43</v>
      </c>
      <c r="D2213" s="3"/>
      <c r="E2213" s="3"/>
      <c r="F2213" s="3"/>
      <c r="G2213" s="3"/>
      <c r="H2213" s="3"/>
      <c r="I2213" s="3"/>
    </row>
    <row r="2214">
      <c r="A2214" s="4" t="s">
        <v>3518</v>
      </c>
      <c r="B2214" s="13" t="s">
        <v>43</v>
      </c>
      <c r="D2214" s="3"/>
      <c r="E2214" s="3"/>
      <c r="F2214" s="3"/>
      <c r="G2214" s="3"/>
      <c r="H2214" s="3"/>
      <c r="I2214" s="3"/>
    </row>
    <row r="2215">
      <c r="A2215" s="4" t="s">
        <v>3519</v>
      </c>
      <c r="B2215" s="13" t="s">
        <v>43</v>
      </c>
      <c r="D2215" s="3"/>
      <c r="E2215" s="3"/>
      <c r="F2215" s="3"/>
      <c r="G2215" s="3"/>
      <c r="H2215" s="3"/>
      <c r="I2215" s="3"/>
    </row>
    <row r="2216">
      <c r="A2216" s="4" t="s">
        <v>3520</v>
      </c>
      <c r="B2216" s="13" t="s">
        <v>43</v>
      </c>
      <c r="D2216" s="3"/>
      <c r="E2216" s="3"/>
      <c r="F2216" s="3"/>
      <c r="G2216" s="3"/>
      <c r="H2216" s="3"/>
      <c r="I2216" s="3"/>
    </row>
    <row r="2217">
      <c r="A2217" s="4" t="s">
        <v>3521</v>
      </c>
      <c r="B2217" s="13" t="s">
        <v>43</v>
      </c>
      <c r="D2217" s="3"/>
      <c r="E2217" s="3"/>
      <c r="F2217" s="3"/>
      <c r="G2217" s="3"/>
      <c r="H2217" s="3"/>
      <c r="I2217" s="3"/>
    </row>
    <row r="2218">
      <c r="A2218" s="4" t="s">
        <v>3522</v>
      </c>
      <c r="B2218" s="13" t="s">
        <v>43</v>
      </c>
      <c r="D2218" s="3"/>
      <c r="E2218" s="3"/>
      <c r="F2218" s="3"/>
      <c r="G2218" s="3"/>
      <c r="H2218" s="3"/>
      <c r="I2218" s="3"/>
    </row>
    <row r="2219">
      <c r="A2219" s="4" t="s">
        <v>3523</v>
      </c>
      <c r="B2219" s="13" t="s">
        <v>43</v>
      </c>
      <c r="D2219" s="3"/>
      <c r="E2219" s="3"/>
      <c r="F2219" s="3"/>
      <c r="G2219" s="3"/>
      <c r="H2219" s="3"/>
      <c r="I2219" s="3"/>
    </row>
    <row r="2220">
      <c r="A2220" s="4" t="s">
        <v>3524</v>
      </c>
      <c r="B2220" s="13" t="s">
        <v>43</v>
      </c>
      <c r="D2220" s="3"/>
      <c r="E2220" s="3"/>
      <c r="F2220" s="3"/>
      <c r="G2220" s="3"/>
      <c r="H2220" s="3"/>
      <c r="I2220" s="3"/>
    </row>
    <row r="2221">
      <c r="A2221" s="4" t="s">
        <v>3525</v>
      </c>
      <c r="B2221" s="13" t="s">
        <v>43</v>
      </c>
      <c r="D2221" s="3"/>
      <c r="E2221" s="3"/>
      <c r="F2221" s="3"/>
      <c r="G2221" s="3"/>
      <c r="H2221" s="3"/>
      <c r="I2221" s="3"/>
    </row>
    <row r="2222">
      <c r="A2222" s="4" t="s">
        <v>3526</v>
      </c>
      <c r="B2222" s="13" t="s">
        <v>43</v>
      </c>
      <c r="D2222" s="3"/>
      <c r="E2222" s="3"/>
      <c r="F2222" s="3"/>
      <c r="G2222" s="3"/>
      <c r="H2222" s="3"/>
      <c r="I2222" s="3"/>
    </row>
    <row r="2223">
      <c r="A2223" s="4" t="s">
        <v>3527</v>
      </c>
      <c r="B2223" s="13" t="s">
        <v>43</v>
      </c>
      <c r="D2223" s="3"/>
      <c r="E2223" s="3"/>
      <c r="F2223" s="3"/>
      <c r="G2223" s="3"/>
      <c r="H2223" s="3"/>
      <c r="I2223" s="3"/>
    </row>
    <row r="2224">
      <c r="A2224" s="4" t="s">
        <v>3528</v>
      </c>
      <c r="B2224" s="13" t="s">
        <v>43</v>
      </c>
      <c r="D2224" s="3"/>
      <c r="E2224" s="3"/>
      <c r="F2224" s="3"/>
      <c r="G2224" s="3"/>
      <c r="H2224" s="3"/>
      <c r="I2224" s="3"/>
    </row>
    <row r="2225">
      <c r="A2225" s="4" t="s">
        <v>3529</v>
      </c>
      <c r="B2225" s="13" t="s">
        <v>43</v>
      </c>
      <c r="D2225" s="3"/>
      <c r="E2225" s="3"/>
      <c r="F2225" s="3"/>
      <c r="G2225" s="3"/>
      <c r="H2225" s="3"/>
      <c r="I2225" s="3"/>
    </row>
    <row r="2226">
      <c r="A2226" s="4" t="s">
        <v>3530</v>
      </c>
      <c r="B2226" s="13" t="s">
        <v>43</v>
      </c>
      <c r="D2226" s="3"/>
      <c r="E2226" s="3"/>
      <c r="F2226" s="3"/>
      <c r="G2226" s="3"/>
      <c r="H2226" s="3"/>
      <c r="I2226" s="3"/>
    </row>
    <row r="2227">
      <c r="A2227" s="4" t="s">
        <v>3531</v>
      </c>
      <c r="B2227" s="13" t="s">
        <v>43</v>
      </c>
      <c r="D2227" s="3"/>
      <c r="E2227" s="3"/>
      <c r="F2227" s="3"/>
      <c r="G2227" s="3"/>
      <c r="H2227" s="3"/>
      <c r="I2227" s="3"/>
    </row>
    <row r="2228">
      <c r="A2228" s="4" t="s">
        <v>3532</v>
      </c>
      <c r="B2228" s="13" t="s">
        <v>43</v>
      </c>
      <c r="D2228" s="3"/>
      <c r="E2228" s="3"/>
      <c r="F2228" s="3"/>
      <c r="G2228" s="3"/>
      <c r="H2228" s="3"/>
      <c r="I2228" s="3"/>
    </row>
    <row r="2229">
      <c r="A2229" s="4" t="s">
        <v>3533</v>
      </c>
      <c r="B2229" s="13" t="s">
        <v>43</v>
      </c>
      <c r="D2229" s="3"/>
      <c r="E2229" s="3"/>
      <c r="F2229" s="3"/>
      <c r="G2229" s="3"/>
      <c r="H2229" s="3"/>
      <c r="I2229" s="3"/>
    </row>
    <row r="2230">
      <c r="A2230" s="4" t="s">
        <v>3534</v>
      </c>
      <c r="B2230" s="13" t="s">
        <v>43</v>
      </c>
      <c r="D2230" s="3"/>
      <c r="E2230" s="3"/>
      <c r="F2230" s="3"/>
      <c r="G2230" s="3"/>
      <c r="H2230" s="3"/>
      <c r="I2230" s="3"/>
    </row>
    <row r="2231">
      <c r="A2231" s="4" t="s">
        <v>3535</v>
      </c>
      <c r="B2231" s="13" t="s">
        <v>43</v>
      </c>
      <c r="D2231" s="3"/>
      <c r="E2231" s="3"/>
      <c r="F2231" s="3"/>
      <c r="G2231" s="3"/>
      <c r="H2231" s="3"/>
      <c r="I2231" s="3"/>
    </row>
    <row r="2232">
      <c r="A2232" s="4" t="s">
        <v>3536</v>
      </c>
      <c r="B2232" s="13" t="s">
        <v>43</v>
      </c>
      <c r="D2232" s="3"/>
      <c r="E2232" s="3"/>
      <c r="F2232" s="3"/>
      <c r="G2232" s="3"/>
      <c r="H2232" s="3"/>
      <c r="I2232" s="3"/>
    </row>
    <row r="2233">
      <c r="A2233" s="4" t="s">
        <v>3537</v>
      </c>
      <c r="B2233" s="13" t="s">
        <v>43</v>
      </c>
      <c r="D2233" s="3"/>
      <c r="E2233" s="3"/>
      <c r="F2233" s="3"/>
      <c r="G2233" s="3"/>
      <c r="H2233" s="3"/>
      <c r="I2233" s="3"/>
    </row>
    <row r="2234">
      <c r="A2234" s="4" t="s">
        <v>3538</v>
      </c>
      <c r="B2234" s="13" t="s">
        <v>43</v>
      </c>
      <c r="D2234" s="3"/>
      <c r="E2234" s="3"/>
      <c r="F2234" s="3"/>
      <c r="G2234" s="3"/>
      <c r="H2234" s="3"/>
      <c r="I2234" s="3"/>
    </row>
    <row r="2235">
      <c r="A2235" s="4" t="s">
        <v>3539</v>
      </c>
      <c r="B2235" s="13" t="s">
        <v>43</v>
      </c>
      <c r="D2235" s="3"/>
      <c r="E2235" s="3"/>
      <c r="F2235" s="3"/>
      <c r="G2235" s="3"/>
      <c r="H2235" s="3"/>
      <c r="I2235" s="3"/>
    </row>
    <row r="2236">
      <c r="A2236" s="4" t="s">
        <v>3540</v>
      </c>
      <c r="B2236" s="13" t="s">
        <v>43</v>
      </c>
      <c r="D2236" s="3"/>
      <c r="E2236" s="3"/>
      <c r="F2236" s="3"/>
      <c r="G2236" s="3"/>
      <c r="H2236" s="3"/>
      <c r="I2236" s="3"/>
    </row>
    <row r="2237">
      <c r="A2237" s="4" t="s">
        <v>3541</v>
      </c>
      <c r="B2237" s="13" t="s">
        <v>43</v>
      </c>
      <c r="D2237" s="3"/>
      <c r="E2237" s="3"/>
      <c r="F2237" s="3"/>
      <c r="G2237" s="3"/>
      <c r="H2237" s="3"/>
      <c r="I2237" s="3"/>
    </row>
    <row r="2238">
      <c r="A2238" s="4" t="s">
        <v>3542</v>
      </c>
      <c r="B2238" s="13" t="s">
        <v>43</v>
      </c>
      <c r="D2238" s="3"/>
      <c r="E2238" s="3"/>
      <c r="F2238" s="3"/>
      <c r="G2238" s="3"/>
      <c r="H2238" s="3"/>
      <c r="I2238" s="3"/>
    </row>
    <row r="2239">
      <c r="A2239" s="4" t="s">
        <v>3543</v>
      </c>
      <c r="B2239" s="13" t="s">
        <v>43</v>
      </c>
      <c r="D2239" s="3"/>
      <c r="E2239" s="3"/>
      <c r="F2239" s="3"/>
      <c r="G2239" s="3"/>
      <c r="H2239" s="3"/>
      <c r="I2239" s="3"/>
    </row>
    <row r="2240">
      <c r="A2240" s="4" t="s">
        <v>3544</v>
      </c>
      <c r="B2240" s="13" t="s">
        <v>43</v>
      </c>
      <c r="D2240" s="3"/>
      <c r="E2240" s="3"/>
      <c r="F2240" s="3"/>
      <c r="G2240" s="3"/>
      <c r="H2240" s="3"/>
      <c r="I2240" s="3"/>
    </row>
    <row r="2241">
      <c r="A2241" s="4" t="s">
        <v>3545</v>
      </c>
      <c r="B2241" s="13" t="s">
        <v>43</v>
      </c>
      <c r="D2241" s="3"/>
      <c r="E2241" s="3"/>
      <c r="F2241" s="3"/>
      <c r="G2241" s="3"/>
      <c r="H2241" s="3"/>
      <c r="I2241" s="3"/>
    </row>
    <row r="2242">
      <c r="A2242" s="4" t="s">
        <v>3546</v>
      </c>
      <c r="B2242" s="13" t="s">
        <v>43</v>
      </c>
      <c r="D2242" s="3"/>
      <c r="E2242" s="3"/>
      <c r="F2242" s="3"/>
      <c r="G2242" s="3"/>
      <c r="H2242" s="3"/>
      <c r="I2242" s="3"/>
    </row>
    <row r="2243">
      <c r="A2243" s="4" t="s">
        <v>3547</v>
      </c>
      <c r="B2243" s="13" t="s">
        <v>43</v>
      </c>
      <c r="D2243" s="3"/>
      <c r="E2243" s="3"/>
      <c r="F2243" s="3"/>
      <c r="G2243" s="3"/>
      <c r="H2243" s="3"/>
      <c r="I2243" s="3"/>
    </row>
    <row r="2244">
      <c r="A2244" s="4" t="s">
        <v>3548</v>
      </c>
      <c r="B2244" s="13" t="s">
        <v>43</v>
      </c>
      <c r="D2244" s="3"/>
      <c r="E2244" s="3"/>
      <c r="F2244" s="3"/>
      <c r="G2244" s="3"/>
      <c r="H2244" s="3"/>
      <c r="I2244" s="3"/>
    </row>
    <row r="2245">
      <c r="A2245" s="4" t="s">
        <v>3549</v>
      </c>
      <c r="B2245" s="13" t="s">
        <v>43</v>
      </c>
      <c r="D2245" s="3"/>
      <c r="E2245" s="3"/>
      <c r="F2245" s="3"/>
      <c r="G2245" s="3"/>
      <c r="H2245" s="3"/>
      <c r="I2245" s="3"/>
    </row>
    <row r="2246">
      <c r="A2246" s="4" t="s">
        <v>3550</v>
      </c>
      <c r="B2246" s="13" t="s">
        <v>43</v>
      </c>
      <c r="D2246" s="3"/>
      <c r="E2246" s="3"/>
      <c r="F2246" s="3"/>
      <c r="G2246" s="3"/>
      <c r="H2246" s="3"/>
      <c r="I2246" s="3"/>
    </row>
    <row r="2247">
      <c r="A2247" s="4" t="s">
        <v>3551</v>
      </c>
      <c r="B2247" s="13" t="s">
        <v>43</v>
      </c>
      <c r="D2247" s="3"/>
      <c r="E2247" s="3"/>
      <c r="F2247" s="3"/>
      <c r="G2247" s="3"/>
      <c r="H2247" s="3"/>
      <c r="I2247" s="3"/>
    </row>
    <row r="2248">
      <c r="A2248" s="4" t="s">
        <v>3552</v>
      </c>
      <c r="B2248" s="13" t="s">
        <v>43</v>
      </c>
      <c r="D2248" s="3"/>
      <c r="E2248" s="3"/>
      <c r="F2248" s="3"/>
      <c r="G2248" s="3"/>
      <c r="H2248" s="3"/>
      <c r="I2248" s="3"/>
    </row>
    <row r="2249">
      <c r="A2249" s="4" t="s">
        <v>3553</v>
      </c>
      <c r="B2249" s="13" t="s">
        <v>43</v>
      </c>
      <c r="D2249" s="3"/>
      <c r="E2249" s="3"/>
      <c r="F2249" s="3"/>
      <c r="G2249" s="3"/>
      <c r="H2249" s="3"/>
      <c r="I2249" s="3"/>
    </row>
    <row r="2250">
      <c r="A2250" s="4" t="s">
        <v>3554</v>
      </c>
      <c r="B2250" s="13" t="s">
        <v>43</v>
      </c>
      <c r="D2250" s="3"/>
      <c r="E2250" s="3"/>
      <c r="F2250" s="3"/>
      <c r="G2250" s="3"/>
      <c r="H2250" s="3"/>
      <c r="I2250" s="3"/>
    </row>
    <row r="2251">
      <c r="A2251" s="4" t="s">
        <v>3555</v>
      </c>
      <c r="B2251" s="13" t="s">
        <v>43</v>
      </c>
      <c r="D2251" s="3"/>
      <c r="E2251" s="3"/>
      <c r="F2251" s="3"/>
      <c r="G2251" s="3"/>
      <c r="H2251" s="3"/>
      <c r="I2251" s="3"/>
    </row>
    <row r="2252">
      <c r="A2252" s="4" t="s">
        <v>3556</v>
      </c>
      <c r="B2252" s="13" t="s">
        <v>43</v>
      </c>
      <c r="D2252" s="3"/>
      <c r="E2252" s="3"/>
      <c r="F2252" s="3"/>
      <c r="G2252" s="3"/>
      <c r="H2252" s="3"/>
      <c r="I2252" s="3"/>
    </row>
    <row r="2253">
      <c r="A2253" s="4" t="s">
        <v>3557</v>
      </c>
      <c r="B2253" s="13" t="s">
        <v>43</v>
      </c>
      <c r="D2253" s="3"/>
      <c r="E2253" s="3"/>
      <c r="F2253" s="3"/>
      <c r="G2253" s="3"/>
      <c r="H2253" s="3"/>
      <c r="I2253" s="3"/>
    </row>
    <row r="2254">
      <c r="A2254" s="4" t="s">
        <v>3558</v>
      </c>
      <c r="B2254" s="13" t="s">
        <v>43</v>
      </c>
      <c r="D2254" s="3"/>
      <c r="E2254" s="3"/>
      <c r="F2254" s="3"/>
      <c r="G2254" s="3"/>
      <c r="H2254" s="3"/>
      <c r="I2254" s="3"/>
    </row>
    <row r="2255">
      <c r="A2255" s="4" t="s">
        <v>3559</v>
      </c>
      <c r="B2255" s="13" t="s">
        <v>43</v>
      </c>
      <c r="D2255" s="3"/>
      <c r="E2255" s="3"/>
      <c r="F2255" s="3"/>
      <c r="G2255" s="3"/>
      <c r="H2255" s="3"/>
      <c r="I2255" s="3"/>
    </row>
    <row r="2256">
      <c r="A2256" s="4" t="s">
        <v>3560</v>
      </c>
      <c r="B2256" s="13" t="s">
        <v>43</v>
      </c>
      <c r="D2256" s="3"/>
      <c r="E2256" s="3"/>
      <c r="F2256" s="3"/>
      <c r="G2256" s="3"/>
      <c r="H2256" s="3"/>
      <c r="I2256" s="3"/>
    </row>
    <row r="2257">
      <c r="A2257" s="4" t="s">
        <v>3561</v>
      </c>
      <c r="B2257" s="13" t="s">
        <v>43</v>
      </c>
      <c r="D2257" s="3"/>
      <c r="E2257" s="3"/>
      <c r="F2257" s="3"/>
      <c r="G2257" s="3"/>
      <c r="H2257" s="3"/>
      <c r="I2257" s="3"/>
    </row>
    <row r="2258">
      <c r="A2258" s="4" t="s">
        <v>3562</v>
      </c>
      <c r="B2258" s="13" t="s">
        <v>43</v>
      </c>
      <c r="D2258" s="3"/>
      <c r="E2258" s="3"/>
      <c r="F2258" s="3"/>
      <c r="G2258" s="3"/>
      <c r="H2258" s="3"/>
      <c r="I2258" s="3"/>
    </row>
    <row r="2259">
      <c r="A2259" s="4" t="s">
        <v>3563</v>
      </c>
      <c r="B2259" s="13" t="s">
        <v>43</v>
      </c>
      <c r="D2259" s="3"/>
      <c r="E2259" s="3"/>
      <c r="F2259" s="3"/>
      <c r="G2259" s="3"/>
      <c r="H2259" s="3"/>
      <c r="I2259" s="3"/>
    </row>
    <row r="2260">
      <c r="A2260" s="4" t="s">
        <v>3564</v>
      </c>
      <c r="B2260" s="13" t="s">
        <v>43</v>
      </c>
      <c r="D2260" s="3"/>
      <c r="E2260" s="3"/>
      <c r="F2260" s="3"/>
      <c r="G2260" s="3"/>
      <c r="H2260" s="3"/>
      <c r="I2260" s="3"/>
    </row>
    <row r="2261">
      <c r="A2261" s="4" t="s">
        <v>3565</v>
      </c>
      <c r="B2261" s="13" t="s">
        <v>43</v>
      </c>
      <c r="D2261" s="3"/>
      <c r="E2261" s="3"/>
      <c r="F2261" s="3"/>
      <c r="G2261" s="3"/>
      <c r="H2261" s="3"/>
      <c r="I2261" s="3"/>
    </row>
    <row r="2262">
      <c r="A2262" s="4" t="s">
        <v>3566</v>
      </c>
      <c r="B2262" s="13" t="s">
        <v>43</v>
      </c>
      <c r="D2262" s="3"/>
      <c r="E2262" s="3"/>
      <c r="F2262" s="3"/>
      <c r="G2262" s="3"/>
      <c r="H2262" s="3"/>
      <c r="I2262" s="3"/>
    </row>
    <row r="2263">
      <c r="A2263" s="4" t="s">
        <v>3567</v>
      </c>
      <c r="B2263" s="13" t="s">
        <v>43</v>
      </c>
      <c r="D2263" s="3"/>
      <c r="E2263" s="3"/>
      <c r="F2263" s="3"/>
      <c r="G2263" s="3"/>
      <c r="H2263" s="3"/>
      <c r="I2263" s="3"/>
    </row>
    <row r="2264">
      <c r="A2264" s="4" t="s">
        <v>3568</v>
      </c>
      <c r="B2264" s="13" t="s">
        <v>43</v>
      </c>
      <c r="D2264" s="3"/>
      <c r="E2264" s="3"/>
      <c r="F2264" s="3"/>
      <c r="G2264" s="3"/>
      <c r="H2264" s="3"/>
      <c r="I2264" s="3"/>
    </row>
    <row r="2265">
      <c r="A2265" s="4" t="s">
        <v>3569</v>
      </c>
      <c r="B2265" s="13" t="s">
        <v>43</v>
      </c>
      <c r="D2265" s="3"/>
      <c r="E2265" s="3"/>
      <c r="F2265" s="3"/>
      <c r="G2265" s="3"/>
      <c r="H2265" s="3"/>
      <c r="I2265" s="3"/>
    </row>
    <row r="2266">
      <c r="A2266" s="4" t="s">
        <v>3570</v>
      </c>
      <c r="B2266" s="13" t="s">
        <v>43</v>
      </c>
      <c r="D2266" s="3"/>
      <c r="E2266" s="3"/>
      <c r="F2266" s="3"/>
      <c r="G2266" s="3"/>
      <c r="H2266" s="3"/>
      <c r="I2266" s="3"/>
    </row>
    <row r="2267">
      <c r="A2267" s="4" t="s">
        <v>3571</v>
      </c>
      <c r="B2267" s="13" t="s">
        <v>43</v>
      </c>
      <c r="D2267" s="3"/>
      <c r="E2267" s="3"/>
      <c r="F2267" s="3"/>
      <c r="G2267" s="3"/>
      <c r="H2267" s="3"/>
      <c r="I2267" s="3"/>
    </row>
    <row r="2268">
      <c r="A2268" s="4" t="s">
        <v>3572</v>
      </c>
      <c r="B2268" s="13" t="s">
        <v>43</v>
      </c>
      <c r="D2268" s="3"/>
      <c r="E2268" s="3"/>
      <c r="F2268" s="3"/>
      <c r="G2268" s="3"/>
      <c r="H2268" s="3"/>
      <c r="I2268" s="3"/>
    </row>
    <row r="2269">
      <c r="A2269" s="4" t="s">
        <v>3573</v>
      </c>
      <c r="B2269" s="13" t="s">
        <v>43</v>
      </c>
      <c r="D2269" s="3"/>
      <c r="E2269" s="3"/>
      <c r="F2269" s="3"/>
      <c r="G2269" s="3"/>
      <c r="H2269" s="3"/>
      <c r="I2269" s="3"/>
    </row>
    <row r="2270">
      <c r="A2270" s="4" t="s">
        <v>3574</v>
      </c>
      <c r="B2270" s="13" t="s">
        <v>43</v>
      </c>
      <c r="D2270" s="3"/>
      <c r="E2270" s="3"/>
      <c r="F2270" s="3"/>
      <c r="G2270" s="3"/>
      <c r="H2270" s="3"/>
      <c r="I2270" s="3"/>
    </row>
    <row r="2271">
      <c r="A2271" s="4" t="s">
        <v>3575</v>
      </c>
      <c r="B2271" s="13" t="s">
        <v>43</v>
      </c>
      <c r="D2271" s="3"/>
      <c r="E2271" s="3"/>
      <c r="F2271" s="3"/>
      <c r="G2271" s="3"/>
      <c r="H2271" s="3"/>
      <c r="I2271" s="3"/>
    </row>
    <row r="2272">
      <c r="A2272" s="4" t="s">
        <v>3576</v>
      </c>
      <c r="B2272" s="13" t="s">
        <v>43</v>
      </c>
      <c r="D2272" s="3"/>
      <c r="E2272" s="3"/>
      <c r="F2272" s="3"/>
      <c r="G2272" s="3"/>
      <c r="H2272" s="3"/>
      <c r="I2272" s="3"/>
    </row>
    <row r="2273">
      <c r="A2273" s="4" t="s">
        <v>3577</v>
      </c>
      <c r="B2273" s="13" t="s">
        <v>43</v>
      </c>
      <c r="D2273" s="3"/>
      <c r="E2273" s="3"/>
      <c r="F2273" s="3"/>
      <c r="G2273" s="3"/>
      <c r="H2273" s="3"/>
      <c r="I2273" s="3"/>
    </row>
    <row r="2274">
      <c r="A2274" s="4" t="s">
        <v>3578</v>
      </c>
      <c r="B2274" s="13" t="s">
        <v>43</v>
      </c>
      <c r="D2274" s="3"/>
      <c r="E2274" s="3"/>
      <c r="F2274" s="3"/>
      <c r="G2274" s="3"/>
      <c r="H2274" s="3"/>
      <c r="I2274" s="3"/>
    </row>
    <row r="2275">
      <c r="A2275" s="4" t="s">
        <v>3579</v>
      </c>
      <c r="B2275" s="13" t="s">
        <v>43</v>
      </c>
      <c r="D2275" s="3"/>
      <c r="E2275" s="3"/>
      <c r="F2275" s="3"/>
      <c r="G2275" s="3"/>
      <c r="H2275" s="3"/>
      <c r="I2275" s="3"/>
    </row>
    <row r="2276">
      <c r="A2276" s="4" t="s">
        <v>3580</v>
      </c>
      <c r="B2276" s="13" t="s">
        <v>43</v>
      </c>
      <c r="D2276" s="3"/>
      <c r="E2276" s="3"/>
      <c r="F2276" s="3"/>
      <c r="G2276" s="3"/>
      <c r="H2276" s="3"/>
      <c r="I2276" s="3"/>
    </row>
    <row r="2277">
      <c r="A2277" s="4" t="s">
        <v>3581</v>
      </c>
      <c r="B2277" s="13" t="s">
        <v>43</v>
      </c>
      <c r="D2277" s="3"/>
      <c r="E2277" s="3"/>
      <c r="F2277" s="3"/>
      <c r="G2277" s="3"/>
      <c r="H2277" s="3"/>
      <c r="I2277" s="3"/>
    </row>
    <row r="2278">
      <c r="A2278" s="4" t="s">
        <v>3582</v>
      </c>
      <c r="B2278" s="13" t="s">
        <v>43</v>
      </c>
      <c r="D2278" s="3"/>
      <c r="E2278" s="3"/>
      <c r="F2278" s="3"/>
      <c r="G2278" s="3"/>
      <c r="H2278" s="3"/>
      <c r="I2278" s="3"/>
    </row>
    <row r="2279">
      <c r="A2279" s="4" t="s">
        <v>3583</v>
      </c>
      <c r="B2279" s="13" t="s">
        <v>43</v>
      </c>
      <c r="D2279" s="3"/>
      <c r="E2279" s="3"/>
      <c r="F2279" s="3"/>
      <c r="G2279" s="3"/>
      <c r="H2279" s="3"/>
      <c r="I2279" s="3"/>
    </row>
    <row r="2280">
      <c r="A2280" s="4" t="s">
        <v>3584</v>
      </c>
      <c r="B2280" s="13" t="s">
        <v>43</v>
      </c>
      <c r="D2280" s="3"/>
      <c r="E2280" s="3"/>
      <c r="F2280" s="3"/>
      <c r="G2280" s="3"/>
      <c r="H2280" s="3"/>
      <c r="I2280" s="3"/>
    </row>
    <row r="2281">
      <c r="A2281" s="4" t="s">
        <v>3585</v>
      </c>
      <c r="B2281" s="13" t="s">
        <v>43</v>
      </c>
      <c r="D2281" s="3"/>
      <c r="E2281" s="3"/>
      <c r="F2281" s="3"/>
      <c r="G2281" s="3"/>
      <c r="H2281" s="3"/>
      <c r="I2281" s="3"/>
    </row>
    <row r="2282">
      <c r="A2282" s="4" t="s">
        <v>3586</v>
      </c>
      <c r="B2282" s="13" t="s">
        <v>43</v>
      </c>
      <c r="D2282" s="3"/>
      <c r="E2282" s="3"/>
      <c r="F2282" s="3"/>
      <c r="G2282" s="3"/>
      <c r="H2282" s="3"/>
      <c r="I2282" s="3"/>
    </row>
    <row r="2283">
      <c r="A2283" s="4" t="s">
        <v>3587</v>
      </c>
      <c r="B2283" s="13" t="s">
        <v>43</v>
      </c>
      <c r="D2283" s="3"/>
      <c r="E2283" s="3"/>
      <c r="F2283" s="3"/>
      <c r="G2283" s="3"/>
      <c r="H2283" s="3"/>
      <c r="I2283" s="3"/>
    </row>
    <row r="2284">
      <c r="A2284" s="4" t="s">
        <v>3588</v>
      </c>
      <c r="B2284" s="13" t="s">
        <v>43</v>
      </c>
      <c r="D2284" s="3"/>
      <c r="E2284" s="3"/>
      <c r="F2284" s="3"/>
      <c r="G2284" s="3"/>
      <c r="H2284" s="3"/>
      <c r="I2284" s="3"/>
    </row>
    <row r="2285">
      <c r="A2285" s="4" t="s">
        <v>3589</v>
      </c>
      <c r="B2285" s="13" t="s">
        <v>43</v>
      </c>
      <c r="D2285" s="3"/>
      <c r="E2285" s="3"/>
      <c r="F2285" s="3"/>
      <c r="G2285" s="3"/>
      <c r="H2285" s="3"/>
      <c r="I2285" s="3"/>
    </row>
    <row r="2286">
      <c r="A2286" s="4" t="s">
        <v>3590</v>
      </c>
      <c r="B2286" s="13" t="s">
        <v>43</v>
      </c>
      <c r="D2286" s="3"/>
      <c r="E2286" s="3"/>
      <c r="F2286" s="3"/>
      <c r="G2286" s="3"/>
      <c r="H2286" s="3"/>
      <c r="I2286" s="3"/>
    </row>
    <row r="2287">
      <c r="A2287" s="4" t="s">
        <v>3591</v>
      </c>
      <c r="B2287" s="13" t="s">
        <v>43</v>
      </c>
      <c r="D2287" s="3"/>
      <c r="E2287" s="3"/>
      <c r="F2287" s="3"/>
      <c r="G2287" s="3"/>
      <c r="H2287" s="3"/>
      <c r="I2287" s="3"/>
    </row>
    <row r="2288">
      <c r="A2288" s="4" t="s">
        <v>3592</v>
      </c>
      <c r="B2288" s="13" t="s">
        <v>43</v>
      </c>
      <c r="D2288" s="3"/>
      <c r="E2288" s="3"/>
      <c r="F2288" s="3"/>
      <c r="G2288" s="3"/>
      <c r="H2288" s="3"/>
      <c r="I2288" s="3"/>
    </row>
    <row r="2289">
      <c r="A2289" s="4" t="s">
        <v>3593</v>
      </c>
      <c r="B2289" s="13" t="s">
        <v>43</v>
      </c>
      <c r="D2289" s="3"/>
      <c r="E2289" s="3"/>
      <c r="F2289" s="3"/>
      <c r="G2289" s="3"/>
      <c r="H2289" s="3"/>
      <c r="I2289" s="3"/>
    </row>
    <row r="2290">
      <c r="A2290" s="4" t="s">
        <v>3594</v>
      </c>
      <c r="B2290" s="13" t="s">
        <v>43</v>
      </c>
      <c r="D2290" s="3"/>
      <c r="E2290" s="3"/>
      <c r="F2290" s="3"/>
      <c r="G2290" s="3"/>
      <c r="H2290" s="3"/>
      <c r="I2290" s="3"/>
    </row>
    <row r="2291">
      <c r="A2291" s="4" t="s">
        <v>3595</v>
      </c>
      <c r="B2291" s="13" t="s">
        <v>43</v>
      </c>
      <c r="D2291" s="3"/>
      <c r="E2291" s="3"/>
      <c r="F2291" s="3"/>
      <c r="G2291" s="3"/>
      <c r="H2291" s="3"/>
      <c r="I2291" s="3"/>
    </row>
    <row r="2292">
      <c r="A2292" s="4" t="s">
        <v>3596</v>
      </c>
      <c r="B2292" s="13" t="s">
        <v>43</v>
      </c>
      <c r="D2292" s="3"/>
      <c r="E2292" s="3"/>
      <c r="F2292" s="3"/>
      <c r="G2292" s="3"/>
      <c r="H2292" s="3"/>
      <c r="I2292" s="3"/>
    </row>
    <row r="2293">
      <c r="A2293" s="4" t="s">
        <v>3597</v>
      </c>
      <c r="B2293" s="13" t="s">
        <v>43</v>
      </c>
      <c r="D2293" s="3"/>
      <c r="E2293" s="3"/>
      <c r="F2293" s="3"/>
      <c r="G2293" s="3"/>
      <c r="H2293" s="3"/>
      <c r="I2293" s="3"/>
    </row>
    <row r="2294">
      <c r="A2294" s="4" t="s">
        <v>3598</v>
      </c>
      <c r="B2294" s="13" t="s">
        <v>43</v>
      </c>
      <c r="D2294" s="3"/>
      <c r="E2294" s="3"/>
      <c r="F2294" s="3"/>
      <c r="G2294" s="3"/>
      <c r="H2294" s="3"/>
      <c r="I2294" s="3"/>
    </row>
    <row r="2295">
      <c r="A2295" s="4" t="s">
        <v>3599</v>
      </c>
      <c r="B2295" s="13" t="s">
        <v>43</v>
      </c>
      <c r="D2295" s="3"/>
      <c r="E2295" s="3"/>
      <c r="F2295" s="3"/>
      <c r="G2295" s="3"/>
      <c r="H2295" s="3"/>
      <c r="I2295" s="3"/>
    </row>
    <row r="2296">
      <c r="A2296" s="4" t="s">
        <v>3600</v>
      </c>
      <c r="B2296" s="13" t="s">
        <v>43</v>
      </c>
      <c r="D2296" s="3"/>
      <c r="E2296" s="3"/>
      <c r="F2296" s="3"/>
      <c r="G2296" s="3"/>
      <c r="H2296" s="3"/>
      <c r="I2296" s="3"/>
    </row>
    <row r="2297">
      <c r="A2297" s="4" t="s">
        <v>3601</v>
      </c>
      <c r="B2297" s="13" t="s">
        <v>43</v>
      </c>
      <c r="D2297" s="3"/>
      <c r="E2297" s="3"/>
      <c r="F2297" s="3"/>
      <c r="G2297" s="3"/>
      <c r="H2297" s="3"/>
      <c r="I2297" s="3"/>
    </row>
    <row r="2298">
      <c r="A2298" s="4" t="s">
        <v>3602</v>
      </c>
      <c r="B2298" s="13" t="s">
        <v>43</v>
      </c>
      <c r="D2298" s="3"/>
      <c r="E2298" s="3"/>
      <c r="F2298" s="3"/>
      <c r="G2298" s="3"/>
      <c r="H2298" s="3"/>
      <c r="I2298" s="3"/>
    </row>
    <row r="2299">
      <c r="A2299" s="4" t="s">
        <v>3603</v>
      </c>
      <c r="B2299" s="13" t="s">
        <v>43</v>
      </c>
      <c r="D2299" s="3"/>
      <c r="E2299" s="3"/>
      <c r="F2299" s="3"/>
      <c r="G2299" s="3"/>
      <c r="H2299" s="3"/>
      <c r="I2299" s="3"/>
    </row>
    <row r="2300">
      <c r="A2300" s="4" t="s">
        <v>3604</v>
      </c>
      <c r="B2300" s="13" t="s">
        <v>43</v>
      </c>
      <c r="D2300" s="3"/>
      <c r="E2300" s="3"/>
      <c r="F2300" s="3"/>
      <c r="G2300" s="3"/>
      <c r="H2300" s="3"/>
      <c r="I2300" s="3"/>
    </row>
    <row r="2301">
      <c r="A2301" s="4" t="s">
        <v>3605</v>
      </c>
      <c r="B2301" s="13" t="s">
        <v>43</v>
      </c>
      <c r="D2301" s="3"/>
      <c r="E2301" s="3"/>
      <c r="F2301" s="3"/>
      <c r="G2301" s="3"/>
      <c r="H2301" s="3"/>
      <c r="I2301" s="3"/>
    </row>
    <row r="2302">
      <c r="A2302" s="4" t="s">
        <v>3606</v>
      </c>
      <c r="B2302" s="13" t="s">
        <v>43</v>
      </c>
      <c r="D2302" s="3"/>
      <c r="E2302" s="3"/>
      <c r="F2302" s="3"/>
      <c r="G2302" s="3"/>
      <c r="H2302" s="3"/>
      <c r="I2302" s="3"/>
    </row>
    <row r="2303">
      <c r="A2303" s="4" t="s">
        <v>3607</v>
      </c>
      <c r="B2303" s="13" t="s">
        <v>43</v>
      </c>
      <c r="D2303" s="3"/>
      <c r="E2303" s="3"/>
      <c r="F2303" s="3"/>
      <c r="G2303" s="3"/>
      <c r="H2303" s="3"/>
      <c r="I2303" s="3"/>
    </row>
    <row r="2304">
      <c r="A2304" s="4" t="s">
        <v>3608</v>
      </c>
      <c r="B2304" s="13" t="s">
        <v>43</v>
      </c>
      <c r="D2304" s="3"/>
      <c r="E2304" s="3"/>
      <c r="F2304" s="3"/>
      <c r="G2304" s="3"/>
      <c r="H2304" s="3"/>
      <c r="I2304" s="3"/>
    </row>
    <row r="2305">
      <c r="A2305" s="4" t="s">
        <v>3609</v>
      </c>
      <c r="B2305" s="13" t="s">
        <v>43</v>
      </c>
      <c r="D2305" s="3"/>
      <c r="E2305" s="3"/>
      <c r="F2305" s="3"/>
      <c r="G2305" s="3"/>
      <c r="H2305" s="3"/>
      <c r="I2305" s="3"/>
    </row>
    <row r="2306">
      <c r="A2306" s="4" t="s">
        <v>3610</v>
      </c>
      <c r="B2306" s="13" t="s">
        <v>43</v>
      </c>
      <c r="D2306" s="3"/>
      <c r="E2306" s="3"/>
      <c r="F2306" s="3"/>
      <c r="G2306" s="3"/>
      <c r="H2306" s="3"/>
      <c r="I2306" s="3"/>
    </row>
    <row r="2307">
      <c r="A2307" s="4" t="s">
        <v>3611</v>
      </c>
      <c r="B2307" s="13" t="s">
        <v>43</v>
      </c>
      <c r="D2307" s="3"/>
      <c r="E2307" s="3"/>
      <c r="F2307" s="3"/>
      <c r="G2307" s="3"/>
      <c r="H2307" s="3"/>
      <c r="I2307" s="3"/>
    </row>
    <row r="2308">
      <c r="A2308" s="4" t="s">
        <v>3612</v>
      </c>
      <c r="B2308" s="13" t="s">
        <v>43</v>
      </c>
      <c r="D2308" s="3"/>
      <c r="E2308" s="3"/>
      <c r="F2308" s="3"/>
      <c r="G2308" s="3"/>
      <c r="H2308" s="3"/>
      <c r="I2308" s="3"/>
    </row>
    <row r="2309">
      <c r="A2309" s="4" t="s">
        <v>3613</v>
      </c>
      <c r="B2309" s="13" t="s">
        <v>43</v>
      </c>
      <c r="D2309" s="3"/>
      <c r="E2309" s="3"/>
      <c r="F2309" s="3"/>
      <c r="G2309" s="3"/>
      <c r="H2309" s="3"/>
      <c r="I2309" s="3"/>
    </row>
    <row r="2310">
      <c r="A2310" s="4" t="s">
        <v>3614</v>
      </c>
      <c r="B2310" s="13" t="s">
        <v>43</v>
      </c>
      <c r="D2310" s="3"/>
      <c r="E2310" s="3"/>
      <c r="F2310" s="3"/>
      <c r="G2310" s="3"/>
      <c r="H2310" s="3"/>
      <c r="I2310" s="3"/>
    </row>
    <row r="2311">
      <c r="A2311" s="4" t="s">
        <v>3615</v>
      </c>
      <c r="B2311" s="13" t="s">
        <v>43</v>
      </c>
      <c r="D2311" s="3"/>
      <c r="E2311" s="3"/>
      <c r="F2311" s="3"/>
      <c r="G2311" s="3"/>
      <c r="H2311" s="3"/>
      <c r="I2311" s="3"/>
    </row>
    <row r="2312">
      <c r="A2312" s="4" t="s">
        <v>3616</v>
      </c>
      <c r="B2312" s="13" t="s">
        <v>43</v>
      </c>
      <c r="D2312" s="3"/>
      <c r="E2312" s="3"/>
      <c r="F2312" s="3"/>
      <c r="G2312" s="3"/>
      <c r="H2312" s="3"/>
      <c r="I2312" s="3"/>
    </row>
    <row r="2313">
      <c r="A2313" s="4" t="s">
        <v>3617</v>
      </c>
      <c r="B2313" s="13" t="s">
        <v>43</v>
      </c>
      <c r="D2313" s="3"/>
      <c r="E2313" s="3"/>
      <c r="F2313" s="3"/>
      <c r="G2313" s="3"/>
      <c r="H2313" s="3"/>
      <c r="I2313" s="3"/>
    </row>
    <row r="2314">
      <c r="A2314" s="4" t="s">
        <v>3618</v>
      </c>
      <c r="B2314" s="13" t="s">
        <v>43</v>
      </c>
      <c r="D2314" s="3"/>
      <c r="E2314" s="3"/>
      <c r="F2314" s="3"/>
      <c r="G2314" s="3"/>
      <c r="H2314" s="3"/>
      <c r="I2314" s="3"/>
    </row>
    <row r="2315">
      <c r="A2315" s="4" t="s">
        <v>3619</v>
      </c>
      <c r="B2315" s="13" t="s">
        <v>43</v>
      </c>
      <c r="D2315" s="3"/>
      <c r="E2315" s="3"/>
      <c r="F2315" s="3"/>
      <c r="G2315" s="3"/>
      <c r="H2315" s="3"/>
      <c r="I2315" s="3"/>
    </row>
    <row r="2316">
      <c r="A2316" s="4" t="s">
        <v>3620</v>
      </c>
      <c r="B2316" s="13" t="s">
        <v>43</v>
      </c>
      <c r="D2316" s="3"/>
      <c r="E2316" s="3"/>
      <c r="F2316" s="3"/>
      <c r="G2316" s="3"/>
      <c r="H2316" s="3"/>
      <c r="I2316" s="3"/>
    </row>
    <row r="2317">
      <c r="A2317" s="4" t="s">
        <v>3621</v>
      </c>
      <c r="B2317" s="13" t="s">
        <v>43</v>
      </c>
      <c r="D2317" s="3"/>
      <c r="E2317" s="3"/>
      <c r="F2317" s="3"/>
      <c r="G2317" s="3"/>
      <c r="H2317" s="3"/>
      <c r="I2317" s="3"/>
    </row>
    <row r="2318">
      <c r="A2318" s="4" t="s">
        <v>3622</v>
      </c>
      <c r="B2318" s="13" t="s">
        <v>43</v>
      </c>
      <c r="D2318" s="3"/>
      <c r="E2318" s="3"/>
      <c r="F2318" s="3"/>
      <c r="G2318" s="3"/>
      <c r="H2318" s="3"/>
      <c r="I2318" s="3"/>
    </row>
    <row r="2319">
      <c r="A2319" s="4" t="s">
        <v>3623</v>
      </c>
      <c r="B2319" s="13" t="s">
        <v>43</v>
      </c>
      <c r="D2319" s="3"/>
      <c r="E2319" s="3"/>
      <c r="F2319" s="3"/>
      <c r="G2319" s="3"/>
      <c r="H2319" s="3"/>
      <c r="I2319" s="3"/>
    </row>
    <row r="2320">
      <c r="A2320" s="4" t="s">
        <v>3624</v>
      </c>
      <c r="B2320" s="13" t="s">
        <v>43</v>
      </c>
      <c r="D2320" s="3"/>
      <c r="E2320" s="3"/>
      <c r="F2320" s="3"/>
      <c r="G2320" s="3"/>
      <c r="H2320" s="3"/>
      <c r="I2320" s="3"/>
    </row>
    <row r="2321">
      <c r="A2321" s="4" t="s">
        <v>3625</v>
      </c>
      <c r="B2321" s="13" t="s">
        <v>43</v>
      </c>
      <c r="D2321" s="3"/>
      <c r="E2321" s="3"/>
      <c r="F2321" s="3"/>
      <c r="G2321" s="3"/>
      <c r="H2321" s="3"/>
      <c r="I2321" s="3"/>
    </row>
    <row r="2322">
      <c r="A2322" s="4" t="s">
        <v>3626</v>
      </c>
      <c r="B2322" s="13" t="s">
        <v>43</v>
      </c>
      <c r="D2322" s="3"/>
      <c r="E2322" s="3"/>
      <c r="F2322" s="3"/>
      <c r="G2322" s="3"/>
      <c r="H2322" s="3"/>
      <c r="I2322" s="3"/>
    </row>
    <row r="2323">
      <c r="A2323" s="4" t="s">
        <v>3627</v>
      </c>
      <c r="B2323" s="13" t="s">
        <v>43</v>
      </c>
      <c r="D2323" s="3"/>
      <c r="E2323" s="3"/>
      <c r="F2323" s="3"/>
      <c r="G2323" s="3"/>
      <c r="H2323" s="3"/>
      <c r="I2323" s="3"/>
    </row>
    <row r="2324">
      <c r="A2324" s="4" t="s">
        <v>3628</v>
      </c>
      <c r="B2324" s="13" t="s">
        <v>43</v>
      </c>
      <c r="D2324" s="3"/>
      <c r="E2324" s="3"/>
      <c r="F2324" s="3"/>
      <c r="G2324" s="3"/>
      <c r="H2324" s="3"/>
      <c r="I2324" s="3"/>
    </row>
    <row r="2325">
      <c r="A2325" s="4" t="s">
        <v>3629</v>
      </c>
      <c r="B2325" s="13" t="s">
        <v>43</v>
      </c>
      <c r="D2325" s="3"/>
      <c r="E2325" s="3"/>
      <c r="F2325" s="3"/>
      <c r="G2325" s="3"/>
      <c r="H2325" s="3"/>
      <c r="I2325" s="3"/>
    </row>
    <row r="2326">
      <c r="A2326" s="4" t="s">
        <v>3630</v>
      </c>
      <c r="B2326" s="13" t="s">
        <v>43</v>
      </c>
      <c r="D2326" s="3"/>
      <c r="E2326" s="3"/>
      <c r="F2326" s="3"/>
      <c r="G2326" s="3"/>
      <c r="H2326" s="3"/>
      <c r="I2326" s="3"/>
    </row>
    <row r="2327">
      <c r="A2327" s="4" t="s">
        <v>3631</v>
      </c>
      <c r="B2327" s="13" t="s">
        <v>43</v>
      </c>
      <c r="D2327" s="3"/>
      <c r="E2327" s="3"/>
      <c r="F2327" s="3"/>
      <c r="G2327" s="3"/>
      <c r="H2327" s="3"/>
      <c r="I2327" s="3"/>
    </row>
    <row r="2328">
      <c r="A2328" s="4" t="s">
        <v>3632</v>
      </c>
      <c r="B2328" s="13" t="s">
        <v>43</v>
      </c>
      <c r="D2328" s="3"/>
      <c r="E2328" s="3"/>
      <c r="F2328" s="3"/>
      <c r="G2328" s="3"/>
      <c r="H2328" s="3"/>
      <c r="I2328" s="3"/>
    </row>
    <row r="2329">
      <c r="A2329" s="4" t="s">
        <v>3633</v>
      </c>
      <c r="B2329" s="13" t="s">
        <v>43</v>
      </c>
      <c r="D2329" s="3"/>
      <c r="E2329" s="3"/>
      <c r="F2329" s="3"/>
      <c r="G2329" s="3"/>
      <c r="H2329" s="3"/>
      <c r="I2329" s="3"/>
    </row>
    <row r="2330">
      <c r="A2330" s="4" t="s">
        <v>3634</v>
      </c>
      <c r="B2330" s="13" t="s">
        <v>43</v>
      </c>
      <c r="D2330" s="3"/>
      <c r="E2330" s="3"/>
      <c r="F2330" s="3"/>
      <c r="G2330" s="3"/>
      <c r="H2330" s="3"/>
      <c r="I2330" s="3"/>
    </row>
    <row r="2331">
      <c r="A2331" s="4" t="s">
        <v>3635</v>
      </c>
      <c r="B2331" s="13" t="s">
        <v>43</v>
      </c>
      <c r="D2331" s="3"/>
      <c r="E2331" s="3"/>
      <c r="F2331" s="3"/>
      <c r="G2331" s="3"/>
      <c r="H2331" s="3"/>
      <c r="I2331" s="3"/>
    </row>
    <row r="2332">
      <c r="A2332" s="4" t="s">
        <v>3636</v>
      </c>
      <c r="B2332" s="13" t="s">
        <v>43</v>
      </c>
      <c r="D2332" s="3"/>
      <c r="E2332" s="3"/>
      <c r="F2332" s="3"/>
      <c r="G2332" s="3"/>
      <c r="H2332" s="3"/>
      <c r="I2332" s="3"/>
    </row>
    <row r="2333">
      <c r="A2333" s="4" t="s">
        <v>3637</v>
      </c>
      <c r="B2333" s="13" t="s">
        <v>43</v>
      </c>
      <c r="D2333" s="3"/>
      <c r="E2333" s="3"/>
      <c r="F2333" s="3"/>
      <c r="G2333" s="3"/>
      <c r="H2333" s="3"/>
      <c r="I2333" s="3"/>
    </row>
    <row r="2334">
      <c r="A2334" s="4" t="s">
        <v>3638</v>
      </c>
      <c r="B2334" s="13" t="s">
        <v>43</v>
      </c>
      <c r="D2334" s="3"/>
      <c r="E2334" s="3"/>
      <c r="F2334" s="3"/>
      <c r="G2334" s="3"/>
      <c r="H2334" s="3"/>
      <c r="I2334" s="3"/>
    </row>
    <row r="2335">
      <c r="A2335" s="4" t="s">
        <v>3639</v>
      </c>
      <c r="B2335" s="13" t="s">
        <v>43</v>
      </c>
      <c r="D2335" s="3"/>
      <c r="E2335" s="3"/>
      <c r="F2335" s="3"/>
      <c r="G2335" s="3"/>
      <c r="H2335" s="3"/>
      <c r="I2335" s="3"/>
    </row>
    <row r="2336">
      <c r="A2336" s="4" t="s">
        <v>3640</v>
      </c>
      <c r="B2336" s="13" t="s">
        <v>43</v>
      </c>
      <c r="D2336" s="3"/>
      <c r="E2336" s="3"/>
      <c r="F2336" s="3"/>
      <c r="G2336" s="3"/>
      <c r="H2336" s="3"/>
      <c r="I2336" s="3"/>
    </row>
    <row r="2337">
      <c r="A2337" s="4" t="s">
        <v>3641</v>
      </c>
      <c r="B2337" s="13" t="s">
        <v>43</v>
      </c>
      <c r="D2337" s="3"/>
      <c r="E2337" s="3"/>
      <c r="F2337" s="3"/>
      <c r="G2337" s="3"/>
      <c r="H2337" s="3"/>
      <c r="I2337" s="3"/>
    </row>
    <row r="2338">
      <c r="A2338" s="4" t="s">
        <v>3642</v>
      </c>
      <c r="B2338" s="13" t="s">
        <v>43</v>
      </c>
      <c r="D2338" s="3"/>
      <c r="E2338" s="3"/>
      <c r="F2338" s="3"/>
      <c r="G2338" s="3"/>
      <c r="H2338" s="3"/>
      <c r="I2338" s="3"/>
    </row>
    <row r="2339">
      <c r="A2339" s="4" t="s">
        <v>3643</v>
      </c>
      <c r="B2339" s="13" t="s">
        <v>43</v>
      </c>
      <c r="D2339" s="3"/>
      <c r="E2339" s="3"/>
      <c r="F2339" s="3"/>
      <c r="G2339" s="3"/>
      <c r="H2339" s="3"/>
      <c r="I2339" s="3"/>
    </row>
    <row r="2340">
      <c r="A2340" s="4" t="s">
        <v>3644</v>
      </c>
      <c r="B2340" s="13" t="s">
        <v>43</v>
      </c>
      <c r="D2340" s="3"/>
      <c r="E2340" s="3"/>
      <c r="F2340" s="3"/>
      <c r="G2340" s="3"/>
      <c r="H2340" s="3"/>
      <c r="I2340" s="3"/>
    </row>
    <row r="2341">
      <c r="A2341" s="4" t="s">
        <v>3645</v>
      </c>
      <c r="B2341" s="13" t="s">
        <v>43</v>
      </c>
      <c r="D2341" s="3"/>
      <c r="E2341" s="3"/>
      <c r="F2341" s="3"/>
      <c r="G2341" s="3"/>
      <c r="H2341" s="3"/>
      <c r="I2341" s="3"/>
    </row>
    <row r="2342">
      <c r="A2342" s="4" t="s">
        <v>3646</v>
      </c>
      <c r="B2342" s="13" t="s">
        <v>43</v>
      </c>
      <c r="D2342" s="3"/>
      <c r="E2342" s="3"/>
      <c r="F2342" s="3"/>
      <c r="G2342" s="3"/>
      <c r="H2342" s="3"/>
      <c r="I2342" s="3"/>
    </row>
    <row r="2343">
      <c r="A2343" s="4" t="s">
        <v>3647</v>
      </c>
      <c r="B2343" s="13" t="s">
        <v>43</v>
      </c>
      <c r="D2343" s="3"/>
      <c r="E2343" s="3"/>
      <c r="F2343" s="3"/>
      <c r="G2343" s="3"/>
      <c r="H2343" s="3"/>
      <c r="I2343" s="3"/>
    </row>
    <row r="2344">
      <c r="A2344" s="4" t="s">
        <v>3648</v>
      </c>
      <c r="B2344" s="13" t="s">
        <v>43</v>
      </c>
      <c r="D2344" s="3"/>
      <c r="E2344" s="3"/>
      <c r="F2344" s="3"/>
      <c r="G2344" s="3"/>
      <c r="H2344" s="3"/>
      <c r="I2344" s="3"/>
    </row>
    <row r="2345">
      <c r="A2345" s="4" t="s">
        <v>3649</v>
      </c>
      <c r="B2345" s="13" t="s">
        <v>43</v>
      </c>
      <c r="D2345" s="3"/>
      <c r="E2345" s="3"/>
      <c r="F2345" s="3"/>
      <c r="G2345" s="3"/>
      <c r="H2345" s="3"/>
      <c r="I2345" s="3"/>
    </row>
    <row r="2346">
      <c r="A2346" s="4" t="s">
        <v>3650</v>
      </c>
      <c r="B2346" s="13" t="s">
        <v>43</v>
      </c>
      <c r="D2346" s="3"/>
      <c r="E2346" s="3"/>
      <c r="F2346" s="3"/>
      <c r="G2346" s="3"/>
      <c r="H2346" s="3"/>
      <c r="I2346" s="3"/>
    </row>
    <row r="2347">
      <c r="A2347" s="4" t="s">
        <v>3651</v>
      </c>
      <c r="B2347" s="13" t="s">
        <v>43</v>
      </c>
      <c r="D2347" s="3"/>
      <c r="E2347" s="3"/>
      <c r="F2347" s="3"/>
      <c r="G2347" s="3"/>
      <c r="H2347" s="3"/>
      <c r="I2347" s="3"/>
    </row>
    <row r="2348">
      <c r="A2348" s="4" t="s">
        <v>3652</v>
      </c>
      <c r="B2348" s="13" t="s">
        <v>43</v>
      </c>
      <c r="D2348" s="3"/>
      <c r="E2348" s="3"/>
      <c r="F2348" s="3"/>
      <c r="G2348" s="3"/>
      <c r="H2348" s="3"/>
      <c r="I2348" s="3"/>
    </row>
    <row r="2349">
      <c r="A2349" s="4" t="s">
        <v>3653</v>
      </c>
      <c r="B2349" s="13" t="s">
        <v>43</v>
      </c>
      <c r="D2349" s="3"/>
      <c r="E2349" s="3"/>
      <c r="F2349" s="3"/>
      <c r="G2349" s="3"/>
      <c r="H2349" s="3"/>
      <c r="I2349" s="3"/>
    </row>
    <row r="2350">
      <c r="A2350" s="4" t="s">
        <v>3654</v>
      </c>
      <c r="B2350" s="13" t="s">
        <v>43</v>
      </c>
      <c r="D2350" s="3"/>
      <c r="E2350" s="3"/>
      <c r="F2350" s="3"/>
      <c r="G2350" s="3"/>
      <c r="H2350" s="3"/>
      <c r="I2350" s="3"/>
    </row>
    <row r="2351">
      <c r="A2351" s="4" t="s">
        <v>3655</v>
      </c>
      <c r="B2351" s="13" t="s">
        <v>43</v>
      </c>
      <c r="D2351" s="3"/>
      <c r="E2351" s="3"/>
      <c r="F2351" s="3"/>
      <c r="G2351" s="3"/>
      <c r="H2351" s="3"/>
      <c r="I2351" s="3"/>
    </row>
    <row r="2352">
      <c r="A2352" s="4" t="s">
        <v>3656</v>
      </c>
      <c r="B2352" s="13" t="s">
        <v>43</v>
      </c>
      <c r="D2352" s="3"/>
      <c r="E2352" s="3"/>
      <c r="F2352" s="3"/>
      <c r="G2352" s="3"/>
      <c r="H2352" s="3"/>
      <c r="I2352" s="3"/>
    </row>
    <row r="2353">
      <c r="A2353" s="4" t="s">
        <v>3657</v>
      </c>
      <c r="B2353" s="13" t="s">
        <v>43</v>
      </c>
      <c r="D2353" s="3"/>
      <c r="E2353" s="3"/>
      <c r="F2353" s="3"/>
      <c r="G2353" s="3"/>
      <c r="H2353" s="3"/>
      <c r="I2353" s="3"/>
    </row>
    <row r="2354">
      <c r="A2354" s="4" t="s">
        <v>3658</v>
      </c>
      <c r="B2354" s="13" t="s">
        <v>43</v>
      </c>
      <c r="D2354" s="3"/>
      <c r="E2354" s="3"/>
      <c r="F2354" s="3"/>
      <c r="G2354" s="3"/>
      <c r="H2354" s="3"/>
      <c r="I2354" s="3"/>
    </row>
    <row r="2355">
      <c r="A2355" s="4" t="s">
        <v>3659</v>
      </c>
      <c r="B2355" s="13" t="s">
        <v>43</v>
      </c>
      <c r="D2355" s="3"/>
      <c r="E2355" s="3"/>
      <c r="F2355" s="3"/>
      <c r="G2355" s="3"/>
      <c r="H2355" s="3"/>
      <c r="I2355" s="3"/>
    </row>
    <row r="2356">
      <c r="A2356" s="4" t="s">
        <v>3660</v>
      </c>
      <c r="B2356" s="13" t="s">
        <v>43</v>
      </c>
      <c r="D2356" s="3"/>
      <c r="E2356" s="3"/>
      <c r="F2356" s="3"/>
      <c r="G2356" s="3"/>
      <c r="H2356" s="3"/>
      <c r="I2356" s="3"/>
    </row>
    <row r="2357">
      <c r="A2357" s="4" t="s">
        <v>3661</v>
      </c>
      <c r="B2357" s="13" t="s">
        <v>43</v>
      </c>
      <c r="D2357" s="3"/>
      <c r="E2357" s="3"/>
      <c r="F2357" s="3"/>
      <c r="G2357" s="3"/>
      <c r="H2357" s="3"/>
      <c r="I2357" s="3"/>
    </row>
    <row r="2358">
      <c r="A2358" s="4" t="s">
        <v>3662</v>
      </c>
      <c r="B2358" s="13" t="s">
        <v>43</v>
      </c>
      <c r="D2358" s="3"/>
      <c r="E2358" s="3"/>
      <c r="F2358" s="3"/>
      <c r="G2358" s="3"/>
      <c r="H2358" s="3"/>
      <c r="I2358" s="3"/>
    </row>
    <row r="2359">
      <c r="A2359" s="4" t="s">
        <v>3663</v>
      </c>
      <c r="B2359" s="13" t="s">
        <v>43</v>
      </c>
      <c r="D2359" s="3"/>
      <c r="E2359" s="3"/>
      <c r="F2359" s="3"/>
      <c r="G2359" s="3"/>
      <c r="H2359" s="3"/>
      <c r="I2359" s="3"/>
    </row>
    <row r="2360">
      <c r="A2360" s="4" t="s">
        <v>3664</v>
      </c>
      <c r="B2360" s="13" t="s">
        <v>43</v>
      </c>
      <c r="D2360" s="3"/>
      <c r="E2360" s="3"/>
      <c r="F2360" s="3"/>
      <c r="G2360" s="3"/>
      <c r="H2360" s="3"/>
      <c r="I2360" s="3"/>
    </row>
    <row r="2361">
      <c r="A2361" s="4" t="s">
        <v>3665</v>
      </c>
      <c r="B2361" s="13" t="s">
        <v>43</v>
      </c>
      <c r="D2361" s="3"/>
      <c r="E2361" s="3"/>
      <c r="F2361" s="3"/>
      <c r="G2361" s="3"/>
      <c r="H2361" s="3"/>
      <c r="I2361" s="3"/>
    </row>
    <row r="2362">
      <c r="A2362" s="4" t="s">
        <v>3666</v>
      </c>
      <c r="B2362" s="13" t="s">
        <v>43</v>
      </c>
      <c r="D2362" s="3"/>
      <c r="E2362" s="3"/>
      <c r="F2362" s="3"/>
      <c r="G2362" s="3"/>
      <c r="H2362" s="3"/>
      <c r="I2362" s="3"/>
    </row>
    <row r="2363">
      <c r="A2363" s="4" t="s">
        <v>3667</v>
      </c>
      <c r="B2363" s="13" t="s">
        <v>43</v>
      </c>
      <c r="D2363" s="3"/>
      <c r="E2363" s="3"/>
      <c r="F2363" s="3"/>
      <c r="G2363" s="3"/>
      <c r="H2363" s="3"/>
      <c r="I2363" s="3"/>
    </row>
    <row r="2364">
      <c r="A2364" s="4" t="s">
        <v>3668</v>
      </c>
      <c r="B2364" s="13" t="s">
        <v>43</v>
      </c>
      <c r="D2364" s="3"/>
      <c r="E2364" s="3"/>
      <c r="F2364" s="3"/>
      <c r="G2364" s="3"/>
      <c r="H2364" s="3"/>
      <c r="I2364" s="3"/>
    </row>
    <row r="2365">
      <c r="A2365" s="4" t="s">
        <v>3669</v>
      </c>
      <c r="B2365" s="13" t="s">
        <v>43</v>
      </c>
      <c r="D2365" s="3"/>
      <c r="E2365" s="3"/>
      <c r="F2365" s="3"/>
      <c r="G2365" s="3"/>
      <c r="H2365" s="3"/>
      <c r="I2365" s="3"/>
    </row>
    <row r="2366">
      <c r="A2366" s="4" t="s">
        <v>3670</v>
      </c>
      <c r="B2366" s="13" t="s">
        <v>43</v>
      </c>
      <c r="D2366" s="3"/>
      <c r="E2366" s="3"/>
      <c r="F2366" s="3"/>
      <c r="G2366" s="3"/>
      <c r="H2366" s="3"/>
      <c r="I2366" s="3"/>
    </row>
    <row r="2367">
      <c r="A2367" s="4" t="s">
        <v>3671</v>
      </c>
      <c r="B2367" s="13" t="s">
        <v>43</v>
      </c>
      <c r="D2367" s="3"/>
      <c r="E2367" s="3"/>
      <c r="F2367" s="3"/>
      <c r="G2367" s="3"/>
      <c r="H2367" s="3"/>
      <c r="I2367" s="3"/>
    </row>
    <row r="2368">
      <c r="A2368" s="4" t="s">
        <v>3672</v>
      </c>
      <c r="B2368" s="13" t="s">
        <v>43</v>
      </c>
      <c r="D2368" s="3"/>
      <c r="E2368" s="3"/>
      <c r="F2368" s="3"/>
      <c r="G2368" s="3"/>
      <c r="H2368" s="3"/>
      <c r="I2368" s="3"/>
    </row>
    <row r="2369">
      <c r="A2369" s="4" t="s">
        <v>3673</v>
      </c>
      <c r="B2369" s="13" t="s">
        <v>43</v>
      </c>
      <c r="D2369" s="3"/>
      <c r="E2369" s="3"/>
      <c r="F2369" s="3"/>
      <c r="G2369" s="3"/>
      <c r="H2369" s="3"/>
      <c r="I2369" s="3"/>
    </row>
    <row r="2370">
      <c r="A2370" s="4" t="s">
        <v>3674</v>
      </c>
      <c r="B2370" s="13" t="s">
        <v>43</v>
      </c>
      <c r="D2370" s="3"/>
      <c r="E2370" s="3"/>
      <c r="F2370" s="3"/>
      <c r="G2370" s="3"/>
      <c r="H2370" s="3"/>
      <c r="I2370" s="3"/>
    </row>
    <row r="2371">
      <c r="A2371" s="4" t="s">
        <v>3675</v>
      </c>
      <c r="B2371" s="13" t="s">
        <v>43</v>
      </c>
      <c r="D2371" s="3"/>
      <c r="E2371" s="3"/>
      <c r="F2371" s="3"/>
      <c r="G2371" s="3"/>
      <c r="H2371" s="3"/>
      <c r="I2371" s="3"/>
    </row>
    <row r="2372">
      <c r="A2372" s="4" t="s">
        <v>3676</v>
      </c>
      <c r="B2372" s="13" t="s">
        <v>43</v>
      </c>
      <c r="D2372" s="3"/>
      <c r="E2372" s="3"/>
      <c r="F2372" s="3"/>
      <c r="G2372" s="3"/>
      <c r="H2372" s="3"/>
      <c r="I2372" s="3"/>
    </row>
    <row r="2373">
      <c r="A2373" s="4" t="s">
        <v>3677</v>
      </c>
      <c r="B2373" s="13" t="s">
        <v>43</v>
      </c>
      <c r="D2373" s="3"/>
      <c r="E2373" s="3"/>
      <c r="F2373" s="3"/>
      <c r="G2373" s="3"/>
      <c r="H2373" s="3"/>
      <c r="I2373" s="3"/>
    </row>
    <row r="2374">
      <c r="A2374" s="4" t="s">
        <v>3678</v>
      </c>
      <c r="B2374" s="13" t="s">
        <v>43</v>
      </c>
      <c r="D2374" s="3"/>
      <c r="E2374" s="3"/>
      <c r="F2374" s="3"/>
      <c r="G2374" s="3"/>
      <c r="H2374" s="3"/>
      <c r="I2374" s="3"/>
    </row>
    <row r="2375">
      <c r="A2375" s="4" t="s">
        <v>3679</v>
      </c>
      <c r="B2375" s="13" t="s">
        <v>43</v>
      </c>
      <c r="D2375" s="3"/>
      <c r="E2375" s="3"/>
      <c r="F2375" s="3"/>
      <c r="G2375" s="3"/>
      <c r="H2375" s="3"/>
      <c r="I2375" s="3"/>
    </row>
    <row r="2376">
      <c r="A2376" s="4" t="s">
        <v>3680</v>
      </c>
      <c r="B2376" s="13" t="s">
        <v>43</v>
      </c>
      <c r="D2376" s="3"/>
      <c r="E2376" s="3"/>
      <c r="F2376" s="3"/>
      <c r="G2376" s="3"/>
      <c r="H2376" s="3"/>
      <c r="I2376" s="3"/>
    </row>
    <row r="2377">
      <c r="A2377" s="4" t="s">
        <v>3681</v>
      </c>
      <c r="B2377" s="13" t="s">
        <v>43</v>
      </c>
      <c r="D2377" s="3"/>
      <c r="E2377" s="3"/>
      <c r="F2377" s="3"/>
      <c r="G2377" s="3"/>
      <c r="H2377" s="3"/>
      <c r="I2377" s="3"/>
    </row>
    <row r="2378">
      <c r="A2378" s="4" t="s">
        <v>3682</v>
      </c>
      <c r="B2378" s="13" t="s">
        <v>43</v>
      </c>
      <c r="D2378" s="3"/>
      <c r="E2378" s="3"/>
      <c r="F2378" s="3"/>
      <c r="G2378" s="3"/>
      <c r="H2378" s="3"/>
      <c r="I2378" s="3"/>
    </row>
    <row r="2379">
      <c r="A2379" s="4" t="s">
        <v>3683</v>
      </c>
      <c r="B2379" s="13" t="s">
        <v>43</v>
      </c>
      <c r="D2379" s="3"/>
      <c r="E2379" s="3"/>
      <c r="F2379" s="3"/>
      <c r="G2379" s="3"/>
      <c r="H2379" s="3"/>
      <c r="I2379" s="3"/>
    </row>
    <row r="2380">
      <c r="A2380" s="4" t="s">
        <v>3684</v>
      </c>
      <c r="B2380" s="13" t="s">
        <v>43</v>
      </c>
      <c r="D2380" s="3"/>
      <c r="E2380" s="3"/>
      <c r="F2380" s="3"/>
      <c r="G2380" s="3"/>
      <c r="H2380" s="3"/>
      <c r="I2380" s="3"/>
    </row>
    <row r="2381">
      <c r="A2381" s="4" t="s">
        <v>3685</v>
      </c>
      <c r="B2381" s="13" t="s">
        <v>43</v>
      </c>
      <c r="D2381" s="3"/>
      <c r="E2381" s="3"/>
      <c r="F2381" s="3"/>
      <c r="G2381" s="3"/>
      <c r="H2381" s="3"/>
      <c r="I2381" s="3"/>
    </row>
    <row r="2382">
      <c r="A2382" s="4" t="s">
        <v>3686</v>
      </c>
      <c r="B2382" s="13" t="s">
        <v>43</v>
      </c>
      <c r="D2382" s="3"/>
      <c r="E2382" s="3"/>
      <c r="F2382" s="3"/>
      <c r="G2382" s="3"/>
      <c r="H2382" s="3"/>
      <c r="I2382" s="3"/>
    </row>
    <row r="2383">
      <c r="A2383" s="4" t="s">
        <v>3687</v>
      </c>
      <c r="B2383" s="13" t="s">
        <v>43</v>
      </c>
      <c r="D2383" s="3"/>
      <c r="E2383" s="3"/>
      <c r="F2383" s="3"/>
      <c r="G2383" s="3"/>
      <c r="H2383" s="3"/>
      <c r="I2383" s="3"/>
    </row>
    <row r="2384">
      <c r="A2384" s="4" t="s">
        <v>3688</v>
      </c>
      <c r="B2384" s="13" t="s">
        <v>43</v>
      </c>
      <c r="D2384" s="3"/>
      <c r="E2384" s="3"/>
      <c r="F2384" s="3"/>
      <c r="G2384" s="3"/>
      <c r="H2384" s="3"/>
      <c r="I2384" s="3"/>
    </row>
    <row r="2385">
      <c r="A2385" s="4" t="s">
        <v>3689</v>
      </c>
      <c r="B2385" s="13" t="s">
        <v>43</v>
      </c>
      <c r="D2385" s="3"/>
      <c r="E2385" s="3"/>
      <c r="F2385" s="3"/>
      <c r="G2385" s="3"/>
      <c r="H2385" s="3"/>
      <c r="I2385" s="3"/>
    </row>
    <row r="2386">
      <c r="A2386" s="4" t="s">
        <v>3690</v>
      </c>
      <c r="B2386" s="13" t="s">
        <v>43</v>
      </c>
      <c r="D2386" s="3"/>
      <c r="E2386" s="3"/>
      <c r="F2386" s="3"/>
      <c r="G2386" s="3"/>
      <c r="H2386" s="3"/>
      <c r="I2386" s="3"/>
    </row>
    <row r="2387">
      <c r="A2387" s="4" t="s">
        <v>3691</v>
      </c>
      <c r="B2387" s="13" t="s">
        <v>43</v>
      </c>
      <c r="D2387" s="3"/>
      <c r="E2387" s="3"/>
      <c r="F2387" s="3"/>
      <c r="G2387" s="3"/>
      <c r="H2387" s="3"/>
      <c r="I2387" s="3"/>
    </row>
    <row r="2388">
      <c r="A2388" s="4" t="s">
        <v>3692</v>
      </c>
      <c r="B2388" s="13" t="s">
        <v>43</v>
      </c>
      <c r="D2388" s="3"/>
      <c r="E2388" s="3"/>
      <c r="F2388" s="3"/>
      <c r="G2388" s="3"/>
      <c r="H2388" s="3"/>
      <c r="I2388" s="3"/>
    </row>
    <row r="2389">
      <c r="A2389" s="4" t="s">
        <v>3693</v>
      </c>
      <c r="B2389" s="13" t="s">
        <v>43</v>
      </c>
      <c r="D2389" s="3"/>
      <c r="E2389" s="3"/>
      <c r="F2389" s="3"/>
      <c r="G2389" s="3"/>
      <c r="H2389" s="3"/>
      <c r="I2389" s="3"/>
    </row>
    <row r="2390">
      <c r="A2390" s="4" t="s">
        <v>3694</v>
      </c>
      <c r="B2390" s="13" t="s">
        <v>43</v>
      </c>
      <c r="D2390" s="3"/>
      <c r="E2390" s="3"/>
      <c r="F2390" s="3"/>
      <c r="G2390" s="3"/>
      <c r="H2390" s="3"/>
      <c r="I2390" s="3"/>
    </row>
    <row r="2391">
      <c r="A2391" s="4" t="s">
        <v>3695</v>
      </c>
      <c r="B2391" s="13" t="s">
        <v>43</v>
      </c>
      <c r="D2391" s="3"/>
      <c r="E2391" s="3"/>
      <c r="F2391" s="3"/>
      <c r="G2391" s="3"/>
      <c r="H2391" s="3"/>
      <c r="I2391" s="3"/>
    </row>
    <row r="2392">
      <c r="A2392" s="4" t="s">
        <v>3696</v>
      </c>
      <c r="B2392" s="13" t="s">
        <v>43</v>
      </c>
      <c r="D2392" s="3"/>
      <c r="E2392" s="3"/>
      <c r="F2392" s="3"/>
      <c r="G2392" s="3"/>
      <c r="H2392" s="3"/>
      <c r="I2392" s="3"/>
    </row>
    <row r="2393">
      <c r="A2393" s="4" t="s">
        <v>3697</v>
      </c>
      <c r="B2393" s="13" t="s">
        <v>43</v>
      </c>
      <c r="D2393" s="3"/>
      <c r="E2393" s="3"/>
      <c r="F2393" s="3"/>
      <c r="G2393" s="3"/>
      <c r="H2393" s="3"/>
      <c r="I2393" s="3"/>
    </row>
    <row r="2394">
      <c r="A2394" s="4" t="s">
        <v>3698</v>
      </c>
      <c r="B2394" s="13" t="s">
        <v>43</v>
      </c>
      <c r="D2394" s="3"/>
      <c r="E2394" s="3"/>
      <c r="F2394" s="3"/>
      <c r="G2394" s="3"/>
      <c r="H2394" s="3"/>
      <c r="I2394" s="3"/>
    </row>
    <row r="2395">
      <c r="A2395" s="4" t="s">
        <v>3699</v>
      </c>
      <c r="B2395" s="13" t="s">
        <v>43</v>
      </c>
      <c r="D2395" s="3"/>
      <c r="E2395" s="3"/>
      <c r="F2395" s="3"/>
      <c r="G2395" s="3"/>
      <c r="H2395" s="3"/>
      <c r="I2395" s="3"/>
    </row>
    <row r="2396">
      <c r="A2396" s="4" t="s">
        <v>3700</v>
      </c>
      <c r="B2396" s="13" t="s">
        <v>43</v>
      </c>
      <c r="D2396" s="3"/>
      <c r="E2396" s="3"/>
      <c r="F2396" s="3"/>
      <c r="G2396" s="3"/>
      <c r="H2396" s="3"/>
      <c r="I2396" s="3"/>
    </row>
    <row r="2397">
      <c r="A2397" s="4" t="s">
        <v>3701</v>
      </c>
      <c r="B2397" s="13" t="s">
        <v>43</v>
      </c>
      <c r="D2397" s="3"/>
      <c r="E2397" s="3"/>
      <c r="F2397" s="3"/>
      <c r="G2397" s="3"/>
      <c r="H2397" s="3"/>
      <c r="I2397" s="3"/>
    </row>
    <row r="2398">
      <c r="A2398" s="4" t="s">
        <v>3702</v>
      </c>
      <c r="B2398" s="13" t="s">
        <v>43</v>
      </c>
      <c r="D2398" s="3"/>
      <c r="E2398" s="3"/>
      <c r="F2398" s="3"/>
      <c r="G2398" s="3"/>
      <c r="H2398" s="3"/>
      <c r="I2398" s="3"/>
    </row>
    <row r="2399">
      <c r="A2399" s="4" t="s">
        <v>3703</v>
      </c>
      <c r="B2399" s="13" t="s">
        <v>43</v>
      </c>
      <c r="D2399" s="3"/>
      <c r="E2399" s="3"/>
      <c r="F2399" s="3"/>
      <c r="G2399" s="3"/>
      <c r="H2399" s="3"/>
      <c r="I2399" s="3"/>
    </row>
    <row r="2400">
      <c r="A2400" s="4" t="s">
        <v>3704</v>
      </c>
      <c r="B2400" s="13" t="s">
        <v>43</v>
      </c>
      <c r="D2400" s="3"/>
      <c r="E2400" s="3"/>
      <c r="F2400" s="3"/>
      <c r="G2400" s="3"/>
      <c r="H2400" s="3"/>
      <c r="I2400" s="3"/>
    </row>
    <row r="2401">
      <c r="A2401" s="4" t="s">
        <v>3705</v>
      </c>
      <c r="B2401" s="13" t="s">
        <v>43</v>
      </c>
      <c r="D2401" s="3"/>
      <c r="E2401" s="3"/>
      <c r="F2401" s="3"/>
      <c r="G2401" s="3"/>
      <c r="H2401" s="3"/>
      <c r="I2401" s="3"/>
    </row>
    <row r="2402">
      <c r="A2402" s="4" t="s">
        <v>3706</v>
      </c>
      <c r="B2402" s="13" t="s">
        <v>43</v>
      </c>
      <c r="D2402" s="3"/>
      <c r="E2402" s="3"/>
      <c r="F2402" s="3"/>
      <c r="G2402" s="3"/>
      <c r="H2402" s="3"/>
      <c r="I2402" s="3"/>
    </row>
    <row r="2403">
      <c r="A2403" s="4" t="s">
        <v>3707</v>
      </c>
      <c r="B2403" s="13" t="s">
        <v>43</v>
      </c>
      <c r="D2403" s="3"/>
      <c r="E2403" s="3"/>
      <c r="F2403" s="3"/>
      <c r="G2403" s="3"/>
      <c r="H2403" s="3"/>
      <c r="I2403" s="3"/>
    </row>
    <row r="2404">
      <c r="A2404" s="4" t="s">
        <v>3708</v>
      </c>
      <c r="B2404" s="13" t="s">
        <v>43</v>
      </c>
      <c r="D2404" s="3"/>
      <c r="E2404" s="3"/>
      <c r="F2404" s="3"/>
      <c r="G2404" s="3"/>
      <c r="H2404" s="3"/>
      <c r="I2404" s="3"/>
    </row>
    <row r="2405">
      <c r="A2405" s="4" t="s">
        <v>3709</v>
      </c>
      <c r="B2405" s="13" t="s">
        <v>43</v>
      </c>
      <c r="D2405" s="3"/>
      <c r="E2405" s="3"/>
      <c r="F2405" s="3"/>
      <c r="G2405" s="3"/>
      <c r="H2405" s="3"/>
      <c r="I2405" s="3"/>
    </row>
    <row r="2406">
      <c r="A2406" s="4" t="s">
        <v>3710</v>
      </c>
      <c r="B2406" s="13" t="s">
        <v>43</v>
      </c>
      <c r="D2406" s="3"/>
      <c r="E2406" s="3"/>
      <c r="F2406" s="3"/>
      <c r="G2406" s="3"/>
      <c r="H2406" s="3"/>
      <c r="I2406" s="3"/>
    </row>
    <row r="2407">
      <c r="A2407" s="4" t="s">
        <v>3711</v>
      </c>
      <c r="B2407" s="13" t="s">
        <v>43</v>
      </c>
      <c r="D2407" s="3"/>
      <c r="E2407" s="3"/>
      <c r="F2407" s="3"/>
      <c r="G2407" s="3"/>
      <c r="H2407" s="3"/>
      <c r="I2407" s="3"/>
    </row>
    <row r="2408">
      <c r="A2408" s="4" t="s">
        <v>3712</v>
      </c>
      <c r="B2408" s="13" t="s">
        <v>43</v>
      </c>
      <c r="D2408" s="3"/>
      <c r="E2408" s="3"/>
      <c r="F2408" s="3"/>
      <c r="G2408" s="3"/>
      <c r="H2408" s="3"/>
      <c r="I2408" s="3"/>
    </row>
    <row r="2409">
      <c r="A2409" s="4" t="s">
        <v>3713</v>
      </c>
      <c r="B2409" s="13" t="s">
        <v>43</v>
      </c>
      <c r="D2409" s="3"/>
      <c r="E2409" s="3"/>
      <c r="F2409" s="3"/>
      <c r="G2409" s="3"/>
      <c r="H2409" s="3"/>
      <c r="I2409" s="3"/>
    </row>
    <row r="2410">
      <c r="A2410" s="4" t="s">
        <v>3714</v>
      </c>
      <c r="B2410" s="13" t="s">
        <v>43</v>
      </c>
      <c r="D2410" s="3"/>
      <c r="E2410" s="3"/>
      <c r="F2410" s="3"/>
      <c r="G2410" s="3"/>
      <c r="H2410" s="3"/>
      <c r="I2410" s="3"/>
    </row>
    <row r="2411">
      <c r="A2411" s="4" t="s">
        <v>3715</v>
      </c>
      <c r="B2411" s="13" t="s">
        <v>43</v>
      </c>
      <c r="D2411" s="3"/>
      <c r="E2411" s="3"/>
      <c r="F2411" s="3"/>
      <c r="G2411" s="3"/>
      <c r="H2411" s="3"/>
      <c r="I2411" s="3"/>
    </row>
    <row r="2412">
      <c r="A2412" s="4" t="s">
        <v>3716</v>
      </c>
      <c r="B2412" s="13" t="s">
        <v>43</v>
      </c>
      <c r="D2412" s="3"/>
      <c r="E2412" s="3"/>
      <c r="F2412" s="3"/>
      <c r="G2412" s="3"/>
      <c r="H2412" s="3"/>
      <c r="I2412" s="3"/>
    </row>
    <row r="2413">
      <c r="A2413" s="4" t="s">
        <v>3717</v>
      </c>
      <c r="B2413" s="13" t="s">
        <v>43</v>
      </c>
      <c r="D2413" s="3"/>
      <c r="E2413" s="3"/>
      <c r="F2413" s="3"/>
      <c r="G2413" s="3"/>
      <c r="H2413" s="3"/>
      <c r="I2413" s="3"/>
    </row>
    <row r="2414">
      <c r="A2414" s="4" t="s">
        <v>3718</v>
      </c>
      <c r="B2414" s="13" t="s">
        <v>43</v>
      </c>
      <c r="D2414" s="3"/>
      <c r="E2414" s="3"/>
      <c r="F2414" s="3"/>
      <c r="G2414" s="3"/>
      <c r="H2414" s="3"/>
      <c r="I2414" s="3"/>
    </row>
    <row r="2415">
      <c r="A2415" s="4" t="s">
        <v>3719</v>
      </c>
      <c r="B2415" s="13" t="s">
        <v>43</v>
      </c>
      <c r="D2415" s="3"/>
      <c r="E2415" s="3"/>
      <c r="F2415" s="3"/>
      <c r="G2415" s="3"/>
      <c r="H2415" s="3"/>
      <c r="I2415" s="3"/>
    </row>
    <row r="2416">
      <c r="A2416" s="4" t="s">
        <v>3720</v>
      </c>
      <c r="B2416" s="13" t="s">
        <v>43</v>
      </c>
      <c r="D2416" s="3"/>
      <c r="E2416" s="3"/>
      <c r="F2416" s="3"/>
      <c r="G2416" s="3"/>
      <c r="H2416" s="3"/>
      <c r="I2416" s="3"/>
    </row>
    <row r="2417">
      <c r="A2417" s="4" t="s">
        <v>3721</v>
      </c>
      <c r="B2417" s="13" t="s">
        <v>43</v>
      </c>
      <c r="D2417" s="3"/>
      <c r="E2417" s="3"/>
      <c r="F2417" s="3"/>
      <c r="G2417" s="3"/>
      <c r="H2417" s="3"/>
      <c r="I2417" s="3"/>
    </row>
    <row r="2418">
      <c r="A2418" s="4" t="s">
        <v>3722</v>
      </c>
      <c r="B2418" s="13" t="s">
        <v>43</v>
      </c>
      <c r="D2418" s="3"/>
      <c r="E2418" s="3"/>
      <c r="F2418" s="3"/>
      <c r="G2418" s="3"/>
      <c r="H2418" s="3"/>
      <c r="I2418" s="3"/>
    </row>
    <row r="2419">
      <c r="A2419" s="4" t="s">
        <v>3723</v>
      </c>
      <c r="B2419" s="13" t="s">
        <v>43</v>
      </c>
      <c r="D2419" s="3"/>
      <c r="E2419" s="3"/>
      <c r="F2419" s="3"/>
      <c r="G2419" s="3"/>
      <c r="H2419" s="3"/>
      <c r="I2419" s="3"/>
    </row>
    <row r="2420">
      <c r="A2420" s="4" t="s">
        <v>3724</v>
      </c>
      <c r="B2420" s="13" t="s">
        <v>43</v>
      </c>
      <c r="D2420" s="3"/>
      <c r="E2420" s="3"/>
      <c r="F2420" s="3"/>
      <c r="G2420" s="3"/>
      <c r="H2420" s="3"/>
      <c r="I2420" s="3"/>
    </row>
    <row r="2421">
      <c r="A2421" s="4" t="s">
        <v>3725</v>
      </c>
      <c r="B2421" s="13" t="s">
        <v>43</v>
      </c>
      <c r="D2421" s="3"/>
      <c r="E2421" s="3"/>
      <c r="F2421" s="3"/>
      <c r="G2421" s="3"/>
      <c r="H2421" s="3"/>
      <c r="I2421" s="3"/>
    </row>
    <row r="2422">
      <c r="A2422" s="4" t="s">
        <v>3726</v>
      </c>
      <c r="B2422" s="13" t="s">
        <v>43</v>
      </c>
      <c r="D2422" s="3"/>
      <c r="E2422" s="3"/>
      <c r="F2422" s="3"/>
      <c r="G2422" s="3"/>
      <c r="H2422" s="3"/>
      <c r="I2422" s="3"/>
    </row>
    <row r="2423">
      <c r="A2423" s="4" t="s">
        <v>3727</v>
      </c>
      <c r="B2423" s="13" t="s">
        <v>43</v>
      </c>
      <c r="D2423" s="3"/>
      <c r="E2423" s="3"/>
      <c r="F2423" s="3"/>
      <c r="G2423" s="3"/>
      <c r="H2423" s="3"/>
      <c r="I2423" s="3"/>
    </row>
    <row r="2424">
      <c r="A2424" s="4" t="s">
        <v>3728</v>
      </c>
      <c r="B2424" s="13" t="s">
        <v>43</v>
      </c>
      <c r="D2424" s="3"/>
      <c r="E2424" s="3"/>
      <c r="F2424" s="3"/>
      <c r="G2424" s="3"/>
      <c r="H2424" s="3"/>
      <c r="I2424" s="3"/>
    </row>
    <row r="2425">
      <c r="A2425" s="4" t="s">
        <v>3729</v>
      </c>
      <c r="B2425" s="13" t="s">
        <v>43</v>
      </c>
      <c r="D2425" s="3"/>
      <c r="E2425" s="3"/>
      <c r="F2425" s="3"/>
      <c r="G2425" s="3"/>
      <c r="H2425" s="3"/>
      <c r="I2425" s="3"/>
    </row>
    <row r="2426">
      <c r="A2426" s="4" t="s">
        <v>3730</v>
      </c>
      <c r="B2426" s="13" t="s">
        <v>43</v>
      </c>
      <c r="D2426" s="3"/>
      <c r="E2426" s="3"/>
      <c r="F2426" s="3"/>
      <c r="G2426" s="3"/>
      <c r="H2426" s="3"/>
      <c r="I2426" s="3"/>
    </row>
    <row r="2427">
      <c r="A2427" s="4" t="s">
        <v>3731</v>
      </c>
      <c r="B2427" s="13" t="s">
        <v>43</v>
      </c>
      <c r="D2427" s="3"/>
      <c r="E2427" s="3"/>
      <c r="F2427" s="3"/>
      <c r="G2427" s="3"/>
      <c r="H2427" s="3"/>
      <c r="I2427" s="3"/>
    </row>
    <row r="2428">
      <c r="A2428" s="4" t="s">
        <v>3732</v>
      </c>
      <c r="B2428" s="13" t="s">
        <v>43</v>
      </c>
      <c r="D2428" s="3"/>
      <c r="E2428" s="3"/>
      <c r="F2428" s="3"/>
      <c r="G2428" s="3"/>
      <c r="H2428" s="3"/>
      <c r="I2428" s="3"/>
    </row>
    <row r="2429">
      <c r="A2429" s="4" t="s">
        <v>3733</v>
      </c>
      <c r="B2429" s="13" t="s">
        <v>43</v>
      </c>
      <c r="D2429" s="3"/>
      <c r="E2429" s="3"/>
      <c r="F2429" s="3"/>
      <c r="G2429" s="3"/>
      <c r="H2429" s="3"/>
      <c r="I2429" s="3"/>
    </row>
    <row r="2430">
      <c r="A2430" s="4" t="s">
        <v>3734</v>
      </c>
      <c r="B2430" s="13" t="s">
        <v>43</v>
      </c>
      <c r="D2430" s="3"/>
      <c r="E2430" s="3"/>
      <c r="F2430" s="3"/>
      <c r="G2430" s="3"/>
      <c r="H2430" s="3"/>
      <c r="I2430" s="3"/>
    </row>
    <row r="2431">
      <c r="A2431" s="4" t="s">
        <v>3735</v>
      </c>
      <c r="B2431" s="13" t="s">
        <v>43</v>
      </c>
      <c r="D2431" s="3"/>
      <c r="E2431" s="3"/>
      <c r="F2431" s="3"/>
      <c r="G2431" s="3"/>
      <c r="H2431" s="3"/>
      <c r="I2431" s="3"/>
    </row>
    <row r="2432">
      <c r="A2432" s="4" t="s">
        <v>3736</v>
      </c>
      <c r="B2432" s="13" t="s">
        <v>43</v>
      </c>
      <c r="D2432" s="3"/>
      <c r="E2432" s="3"/>
      <c r="F2432" s="3"/>
      <c r="G2432" s="3"/>
      <c r="H2432" s="3"/>
      <c r="I2432" s="3"/>
    </row>
    <row r="2433">
      <c r="A2433" s="4" t="s">
        <v>3737</v>
      </c>
      <c r="B2433" s="13" t="s">
        <v>43</v>
      </c>
      <c r="D2433" s="3"/>
      <c r="E2433" s="3"/>
      <c r="F2433" s="3"/>
      <c r="G2433" s="3"/>
      <c r="H2433" s="3"/>
      <c r="I2433" s="3"/>
    </row>
    <row r="2434">
      <c r="A2434" s="4" t="s">
        <v>3738</v>
      </c>
      <c r="B2434" s="13" t="s">
        <v>43</v>
      </c>
      <c r="D2434" s="3"/>
      <c r="E2434" s="3"/>
      <c r="F2434" s="3"/>
      <c r="G2434" s="3"/>
      <c r="H2434" s="3"/>
      <c r="I2434" s="3"/>
    </row>
    <row r="2435">
      <c r="A2435" s="4" t="s">
        <v>3739</v>
      </c>
      <c r="B2435" s="13" t="s">
        <v>43</v>
      </c>
      <c r="D2435" s="3"/>
      <c r="E2435" s="3"/>
      <c r="F2435" s="3"/>
      <c r="G2435" s="3"/>
      <c r="H2435" s="3"/>
      <c r="I2435" s="3"/>
    </row>
    <row r="2436">
      <c r="A2436" s="4" t="s">
        <v>3740</v>
      </c>
      <c r="B2436" s="13" t="s">
        <v>43</v>
      </c>
      <c r="D2436" s="3"/>
      <c r="E2436" s="3"/>
      <c r="F2436" s="3"/>
      <c r="G2436" s="3"/>
      <c r="H2436" s="3"/>
      <c r="I2436" s="3"/>
    </row>
    <row r="2437">
      <c r="A2437" s="4" t="s">
        <v>3741</v>
      </c>
      <c r="B2437" s="13" t="s">
        <v>43</v>
      </c>
      <c r="D2437" s="3"/>
      <c r="E2437" s="3"/>
      <c r="F2437" s="3"/>
      <c r="G2437" s="3"/>
      <c r="H2437" s="3"/>
      <c r="I2437" s="3"/>
    </row>
    <row r="2438">
      <c r="A2438" s="4" t="s">
        <v>3742</v>
      </c>
      <c r="B2438" s="13" t="s">
        <v>43</v>
      </c>
      <c r="D2438" s="3"/>
      <c r="E2438" s="3"/>
      <c r="F2438" s="3"/>
      <c r="G2438" s="3"/>
      <c r="H2438" s="3"/>
      <c r="I2438" s="3"/>
    </row>
    <row r="2439">
      <c r="A2439" s="4" t="s">
        <v>3743</v>
      </c>
      <c r="B2439" s="13" t="s">
        <v>43</v>
      </c>
      <c r="D2439" s="3"/>
      <c r="E2439" s="3"/>
      <c r="F2439" s="3"/>
      <c r="G2439" s="3"/>
      <c r="H2439" s="3"/>
      <c r="I2439" s="3"/>
    </row>
    <row r="2440">
      <c r="A2440" s="4" t="s">
        <v>3744</v>
      </c>
      <c r="B2440" s="13" t="s">
        <v>43</v>
      </c>
      <c r="D2440" s="3"/>
      <c r="E2440" s="3"/>
      <c r="F2440" s="3"/>
      <c r="G2440" s="3"/>
      <c r="H2440" s="3"/>
      <c r="I2440" s="3"/>
    </row>
    <row r="2441">
      <c r="A2441" s="4" t="s">
        <v>3745</v>
      </c>
      <c r="B2441" s="13" t="s">
        <v>43</v>
      </c>
      <c r="D2441" s="3"/>
      <c r="E2441" s="3"/>
      <c r="F2441" s="3"/>
      <c r="G2441" s="3"/>
      <c r="H2441" s="3"/>
      <c r="I2441" s="3"/>
    </row>
    <row r="2442">
      <c r="A2442" s="4" t="s">
        <v>3746</v>
      </c>
      <c r="B2442" s="13" t="s">
        <v>43</v>
      </c>
      <c r="D2442" s="3"/>
      <c r="E2442" s="3"/>
      <c r="F2442" s="3"/>
      <c r="G2442" s="3"/>
      <c r="H2442" s="3"/>
      <c r="I2442" s="3"/>
    </row>
    <row r="2443">
      <c r="A2443" s="4" t="s">
        <v>3747</v>
      </c>
      <c r="B2443" s="13" t="s">
        <v>43</v>
      </c>
      <c r="D2443" s="3"/>
      <c r="E2443" s="3"/>
      <c r="F2443" s="3"/>
      <c r="G2443" s="3"/>
      <c r="H2443" s="3"/>
      <c r="I2443" s="3"/>
    </row>
    <row r="2444">
      <c r="A2444" s="4" t="s">
        <v>3748</v>
      </c>
      <c r="B2444" s="13" t="s">
        <v>43</v>
      </c>
      <c r="D2444" s="3"/>
      <c r="E2444" s="3"/>
      <c r="F2444" s="3"/>
      <c r="G2444" s="3"/>
      <c r="H2444" s="3"/>
      <c r="I2444" s="3"/>
    </row>
    <row r="2445">
      <c r="A2445" s="4" t="s">
        <v>3749</v>
      </c>
      <c r="B2445" s="13" t="s">
        <v>43</v>
      </c>
      <c r="D2445" s="3"/>
      <c r="E2445" s="3"/>
      <c r="F2445" s="3"/>
      <c r="G2445" s="3"/>
      <c r="H2445" s="3"/>
      <c r="I2445" s="3"/>
    </row>
    <row r="2446">
      <c r="A2446" s="4" t="s">
        <v>3750</v>
      </c>
      <c r="B2446" s="13" t="s">
        <v>43</v>
      </c>
      <c r="D2446" s="3"/>
      <c r="E2446" s="3"/>
      <c r="F2446" s="3"/>
      <c r="G2446" s="3"/>
      <c r="H2446" s="3"/>
      <c r="I2446" s="3"/>
    </row>
    <row r="2447">
      <c r="A2447" s="4" t="s">
        <v>3751</v>
      </c>
      <c r="B2447" s="13" t="s">
        <v>43</v>
      </c>
      <c r="D2447" s="3"/>
      <c r="E2447" s="3"/>
      <c r="F2447" s="3"/>
      <c r="G2447" s="3"/>
      <c r="H2447" s="3"/>
      <c r="I2447" s="3"/>
    </row>
    <row r="2448">
      <c r="A2448" s="4" t="s">
        <v>3752</v>
      </c>
      <c r="B2448" s="13" t="s">
        <v>43</v>
      </c>
      <c r="D2448" s="3"/>
      <c r="E2448" s="3"/>
      <c r="F2448" s="3"/>
      <c r="G2448" s="3"/>
      <c r="H2448" s="3"/>
      <c r="I2448" s="3"/>
    </row>
    <row r="2449">
      <c r="A2449" s="4" t="s">
        <v>3753</v>
      </c>
      <c r="B2449" s="13" t="s">
        <v>43</v>
      </c>
      <c r="D2449" s="3"/>
      <c r="E2449" s="3"/>
      <c r="F2449" s="3"/>
      <c r="G2449" s="3"/>
      <c r="H2449" s="3"/>
      <c r="I2449" s="3"/>
    </row>
    <row r="2450">
      <c r="A2450" s="4" t="s">
        <v>3754</v>
      </c>
      <c r="B2450" s="13" t="s">
        <v>43</v>
      </c>
      <c r="D2450" s="3"/>
      <c r="E2450" s="3"/>
      <c r="F2450" s="3"/>
      <c r="G2450" s="3"/>
      <c r="H2450" s="3"/>
      <c r="I2450" s="3"/>
    </row>
    <row r="2451">
      <c r="A2451" s="4" t="s">
        <v>3755</v>
      </c>
      <c r="B2451" s="13" t="s">
        <v>43</v>
      </c>
      <c r="D2451" s="3"/>
      <c r="E2451" s="3"/>
      <c r="F2451" s="3"/>
      <c r="G2451" s="3"/>
      <c r="H2451" s="3"/>
      <c r="I2451" s="3"/>
    </row>
    <row r="2452">
      <c r="A2452" s="4" t="s">
        <v>3756</v>
      </c>
      <c r="B2452" s="13" t="s">
        <v>43</v>
      </c>
      <c r="D2452" s="3"/>
      <c r="E2452" s="3"/>
      <c r="F2452" s="3"/>
      <c r="G2452" s="3"/>
      <c r="H2452" s="3"/>
      <c r="I2452" s="3"/>
    </row>
    <row r="2453">
      <c r="A2453" s="4" t="s">
        <v>3757</v>
      </c>
      <c r="B2453" s="13" t="s">
        <v>43</v>
      </c>
      <c r="D2453" s="3"/>
      <c r="E2453" s="3"/>
      <c r="F2453" s="3"/>
      <c r="G2453" s="3"/>
      <c r="H2453" s="3"/>
      <c r="I2453" s="3"/>
    </row>
    <row r="2454">
      <c r="A2454" s="4" t="s">
        <v>3758</v>
      </c>
      <c r="B2454" s="13" t="s">
        <v>43</v>
      </c>
      <c r="D2454" s="3"/>
      <c r="E2454" s="3"/>
      <c r="F2454" s="3"/>
      <c r="G2454" s="3"/>
      <c r="H2454" s="3"/>
      <c r="I2454" s="3"/>
    </row>
    <row r="2455">
      <c r="A2455" s="4" t="s">
        <v>3759</v>
      </c>
      <c r="B2455" s="13" t="s">
        <v>43</v>
      </c>
      <c r="D2455" s="3"/>
      <c r="E2455" s="3"/>
      <c r="F2455" s="3"/>
      <c r="G2455" s="3"/>
      <c r="H2455" s="3"/>
      <c r="I2455" s="3"/>
    </row>
    <row r="2456">
      <c r="A2456" s="4" t="s">
        <v>3760</v>
      </c>
      <c r="B2456" s="13" t="s">
        <v>43</v>
      </c>
      <c r="D2456" s="3"/>
      <c r="E2456" s="3"/>
      <c r="F2456" s="3"/>
      <c r="G2456" s="3"/>
      <c r="H2456" s="3"/>
      <c r="I2456" s="3"/>
    </row>
    <row r="2457">
      <c r="A2457" s="4" t="s">
        <v>3761</v>
      </c>
      <c r="B2457" s="13" t="s">
        <v>43</v>
      </c>
      <c r="D2457" s="3"/>
      <c r="E2457" s="3"/>
      <c r="F2457" s="3"/>
      <c r="G2457" s="3"/>
      <c r="H2457" s="3"/>
      <c r="I2457" s="3"/>
    </row>
    <row r="2458">
      <c r="A2458" s="4" t="s">
        <v>3762</v>
      </c>
      <c r="B2458" s="13" t="s">
        <v>43</v>
      </c>
      <c r="D2458" s="3"/>
      <c r="E2458" s="3"/>
      <c r="F2458" s="3"/>
      <c r="G2458" s="3"/>
      <c r="H2458" s="3"/>
      <c r="I2458" s="3"/>
    </row>
    <row r="2459">
      <c r="A2459" s="4" t="s">
        <v>3763</v>
      </c>
      <c r="B2459" s="13" t="s">
        <v>43</v>
      </c>
      <c r="D2459" s="3"/>
      <c r="E2459" s="3"/>
      <c r="F2459" s="3"/>
      <c r="G2459" s="3"/>
      <c r="H2459" s="3"/>
      <c r="I2459" s="3"/>
    </row>
    <row r="2460">
      <c r="A2460" s="4" t="s">
        <v>3764</v>
      </c>
      <c r="B2460" s="13" t="s">
        <v>43</v>
      </c>
      <c r="D2460" s="3"/>
      <c r="E2460" s="3"/>
      <c r="F2460" s="3"/>
      <c r="G2460" s="3"/>
      <c r="H2460" s="3"/>
      <c r="I2460" s="3"/>
    </row>
    <row r="2461">
      <c r="A2461" s="4" t="s">
        <v>3765</v>
      </c>
      <c r="B2461" s="13" t="s">
        <v>43</v>
      </c>
      <c r="D2461" s="3"/>
      <c r="E2461" s="3"/>
      <c r="F2461" s="3"/>
      <c r="G2461" s="3"/>
      <c r="H2461" s="3"/>
      <c r="I2461" s="3"/>
    </row>
    <row r="2462">
      <c r="A2462" s="4" t="s">
        <v>3766</v>
      </c>
      <c r="B2462" s="13" t="s">
        <v>43</v>
      </c>
      <c r="D2462" s="3"/>
      <c r="E2462" s="3"/>
      <c r="F2462" s="3"/>
      <c r="G2462" s="3"/>
      <c r="H2462" s="3"/>
      <c r="I2462" s="3"/>
    </row>
    <row r="2463">
      <c r="A2463" s="4" t="s">
        <v>3767</v>
      </c>
      <c r="B2463" s="13" t="s">
        <v>43</v>
      </c>
      <c r="D2463" s="3"/>
      <c r="E2463" s="3"/>
      <c r="F2463" s="3"/>
      <c r="G2463" s="3"/>
      <c r="H2463" s="3"/>
      <c r="I2463" s="3"/>
    </row>
    <row r="2464">
      <c r="A2464" s="4" t="s">
        <v>3768</v>
      </c>
      <c r="B2464" s="13" t="s">
        <v>43</v>
      </c>
      <c r="D2464" s="3"/>
      <c r="E2464" s="3"/>
      <c r="F2464" s="3"/>
      <c r="G2464" s="3"/>
      <c r="H2464" s="3"/>
      <c r="I2464" s="3"/>
    </row>
    <row r="2465">
      <c r="A2465" s="4" t="s">
        <v>3769</v>
      </c>
      <c r="B2465" s="13" t="s">
        <v>43</v>
      </c>
      <c r="D2465" s="3"/>
      <c r="E2465" s="3"/>
      <c r="F2465" s="3"/>
      <c r="G2465" s="3"/>
      <c r="H2465" s="3"/>
      <c r="I2465" s="3"/>
    </row>
    <row r="2466">
      <c r="A2466" s="4" t="s">
        <v>3770</v>
      </c>
      <c r="B2466" s="13" t="s">
        <v>43</v>
      </c>
      <c r="D2466" s="3"/>
      <c r="E2466" s="3"/>
      <c r="F2466" s="3"/>
      <c r="G2466" s="3"/>
      <c r="H2466" s="3"/>
      <c r="I2466" s="3"/>
    </row>
    <row r="2467">
      <c r="A2467" s="4" t="s">
        <v>3771</v>
      </c>
      <c r="B2467" s="13" t="s">
        <v>43</v>
      </c>
      <c r="D2467" s="3"/>
      <c r="E2467" s="3"/>
      <c r="F2467" s="3"/>
      <c r="G2467" s="3"/>
      <c r="H2467" s="3"/>
      <c r="I2467" s="3"/>
    </row>
    <row r="2468">
      <c r="A2468" s="4" t="s">
        <v>3772</v>
      </c>
      <c r="B2468" s="13" t="s">
        <v>43</v>
      </c>
      <c r="D2468" s="3"/>
      <c r="E2468" s="3"/>
      <c r="F2468" s="3"/>
      <c r="G2468" s="3"/>
      <c r="H2468" s="3"/>
      <c r="I2468" s="3"/>
    </row>
    <row r="2469">
      <c r="A2469" s="4" t="s">
        <v>3773</v>
      </c>
      <c r="B2469" s="13" t="s">
        <v>43</v>
      </c>
      <c r="D2469" s="3"/>
      <c r="E2469" s="3"/>
      <c r="F2469" s="3"/>
      <c r="G2469" s="3"/>
      <c r="H2469" s="3"/>
      <c r="I2469" s="3"/>
    </row>
    <row r="2470">
      <c r="A2470" s="4" t="s">
        <v>3774</v>
      </c>
      <c r="B2470" s="13" t="s">
        <v>43</v>
      </c>
      <c r="D2470" s="3"/>
      <c r="E2470" s="3"/>
      <c r="F2470" s="3"/>
      <c r="G2470" s="3"/>
      <c r="H2470" s="3"/>
      <c r="I2470" s="3"/>
    </row>
    <row r="2471">
      <c r="A2471" s="4" t="s">
        <v>3775</v>
      </c>
      <c r="B2471" s="13" t="s">
        <v>43</v>
      </c>
      <c r="D2471" s="3"/>
      <c r="E2471" s="3"/>
      <c r="F2471" s="3"/>
      <c r="G2471" s="3"/>
      <c r="H2471" s="3"/>
      <c r="I2471" s="3"/>
    </row>
    <row r="2472">
      <c r="A2472" s="4" t="s">
        <v>3776</v>
      </c>
      <c r="B2472" s="13" t="s">
        <v>43</v>
      </c>
      <c r="D2472" s="3"/>
      <c r="E2472" s="3"/>
      <c r="F2472" s="3"/>
      <c r="G2472" s="3"/>
      <c r="H2472" s="3"/>
      <c r="I2472" s="3"/>
    </row>
    <row r="2473">
      <c r="A2473" s="4" t="s">
        <v>3777</v>
      </c>
      <c r="B2473" s="13" t="s">
        <v>43</v>
      </c>
      <c r="D2473" s="3"/>
      <c r="E2473" s="3"/>
      <c r="F2473" s="3"/>
      <c r="G2473" s="3"/>
      <c r="H2473" s="3"/>
      <c r="I2473" s="3"/>
    </row>
    <row r="2474">
      <c r="A2474" s="4" t="s">
        <v>3778</v>
      </c>
      <c r="B2474" s="13" t="s">
        <v>43</v>
      </c>
      <c r="D2474" s="3"/>
      <c r="E2474" s="3"/>
      <c r="F2474" s="3"/>
      <c r="G2474" s="3"/>
      <c r="H2474" s="3"/>
      <c r="I2474" s="3"/>
    </row>
    <row r="2475">
      <c r="A2475" s="4" t="s">
        <v>3779</v>
      </c>
      <c r="B2475" s="13" t="s">
        <v>43</v>
      </c>
      <c r="D2475" s="3"/>
      <c r="E2475" s="3"/>
      <c r="F2475" s="3"/>
      <c r="G2475" s="3"/>
      <c r="H2475" s="3"/>
      <c r="I2475" s="3"/>
    </row>
    <row r="2476">
      <c r="A2476" s="4" t="s">
        <v>3780</v>
      </c>
      <c r="B2476" s="13" t="s">
        <v>43</v>
      </c>
      <c r="D2476" s="3"/>
      <c r="E2476" s="3"/>
      <c r="F2476" s="3"/>
      <c r="G2476" s="3"/>
      <c r="H2476" s="3"/>
      <c r="I2476" s="3"/>
    </row>
    <row r="2477">
      <c r="A2477" s="4" t="s">
        <v>3781</v>
      </c>
      <c r="B2477" s="13" t="s">
        <v>43</v>
      </c>
      <c r="D2477" s="3"/>
      <c r="E2477" s="3"/>
      <c r="F2477" s="3"/>
      <c r="G2477" s="3"/>
      <c r="H2477" s="3"/>
      <c r="I2477" s="3"/>
    </row>
    <row r="2478">
      <c r="A2478" s="4" t="s">
        <v>3782</v>
      </c>
      <c r="B2478" s="13" t="s">
        <v>43</v>
      </c>
      <c r="D2478" s="3"/>
      <c r="E2478" s="3"/>
      <c r="F2478" s="3"/>
      <c r="G2478" s="3"/>
      <c r="H2478" s="3"/>
      <c r="I2478" s="3"/>
    </row>
    <row r="2479">
      <c r="A2479" s="4" t="s">
        <v>3783</v>
      </c>
      <c r="B2479" s="13" t="s">
        <v>43</v>
      </c>
      <c r="D2479" s="3"/>
      <c r="E2479" s="3"/>
      <c r="F2479" s="3"/>
      <c r="G2479" s="3"/>
      <c r="H2479" s="3"/>
      <c r="I2479" s="3"/>
    </row>
    <row r="2480">
      <c r="A2480" s="4" t="s">
        <v>3784</v>
      </c>
      <c r="B2480" s="13" t="s">
        <v>43</v>
      </c>
      <c r="D2480" s="3"/>
      <c r="E2480" s="3"/>
      <c r="F2480" s="3"/>
      <c r="G2480" s="3"/>
      <c r="H2480" s="3"/>
      <c r="I2480" s="3"/>
    </row>
    <row r="2481">
      <c r="A2481" s="4" t="s">
        <v>3785</v>
      </c>
      <c r="B2481" s="13" t="s">
        <v>43</v>
      </c>
      <c r="D2481" s="3"/>
      <c r="E2481" s="3"/>
      <c r="F2481" s="3"/>
      <c r="G2481" s="3"/>
      <c r="H2481" s="3"/>
      <c r="I2481" s="3"/>
    </row>
    <row r="2482">
      <c r="A2482" s="4" t="s">
        <v>3786</v>
      </c>
      <c r="B2482" s="13" t="s">
        <v>43</v>
      </c>
      <c r="D2482" s="3"/>
      <c r="E2482" s="3"/>
      <c r="F2482" s="3"/>
      <c r="G2482" s="3"/>
      <c r="H2482" s="3"/>
      <c r="I2482" s="3"/>
    </row>
    <row r="2483">
      <c r="A2483" s="4" t="s">
        <v>3787</v>
      </c>
      <c r="B2483" s="13" t="s">
        <v>43</v>
      </c>
      <c r="D2483" s="3"/>
      <c r="E2483" s="3"/>
      <c r="F2483" s="3"/>
      <c r="G2483" s="3"/>
      <c r="H2483" s="3"/>
      <c r="I2483" s="3"/>
    </row>
    <row r="2484">
      <c r="A2484" s="4" t="s">
        <v>3788</v>
      </c>
      <c r="B2484" s="13" t="s">
        <v>43</v>
      </c>
      <c r="D2484" s="3"/>
      <c r="E2484" s="3"/>
      <c r="F2484" s="3"/>
      <c r="G2484" s="3"/>
      <c r="H2484" s="3"/>
      <c r="I2484" s="3"/>
    </row>
    <row r="2485">
      <c r="A2485" s="4" t="s">
        <v>3789</v>
      </c>
      <c r="B2485" s="13" t="s">
        <v>43</v>
      </c>
      <c r="D2485" s="3"/>
      <c r="E2485" s="3"/>
      <c r="F2485" s="3"/>
      <c r="G2485" s="3"/>
      <c r="H2485" s="3"/>
      <c r="I2485" s="3"/>
    </row>
    <row r="2486">
      <c r="A2486" s="4" t="s">
        <v>3790</v>
      </c>
      <c r="B2486" s="13" t="s">
        <v>43</v>
      </c>
      <c r="D2486" s="3"/>
      <c r="E2486" s="3"/>
      <c r="F2486" s="3"/>
      <c r="G2486" s="3"/>
      <c r="H2486" s="3"/>
      <c r="I2486" s="3"/>
    </row>
    <row r="2487">
      <c r="A2487" s="4" t="s">
        <v>3791</v>
      </c>
      <c r="B2487" s="13" t="s">
        <v>43</v>
      </c>
      <c r="D2487" s="3"/>
      <c r="E2487" s="3"/>
      <c r="F2487" s="3"/>
      <c r="G2487" s="3"/>
      <c r="H2487" s="3"/>
      <c r="I2487" s="3"/>
    </row>
    <row r="2488">
      <c r="A2488" s="4" t="s">
        <v>3792</v>
      </c>
      <c r="B2488" s="13" t="s">
        <v>43</v>
      </c>
      <c r="D2488" s="3"/>
      <c r="E2488" s="3"/>
      <c r="F2488" s="3"/>
      <c r="G2488" s="3"/>
      <c r="H2488" s="3"/>
      <c r="I2488" s="3"/>
    </row>
    <row r="2489">
      <c r="A2489" s="4" t="s">
        <v>3793</v>
      </c>
      <c r="B2489" s="13" t="s">
        <v>43</v>
      </c>
      <c r="D2489" s="3"/>
      <c r="E2489" s="3"/>
      <c r="F2489" s="3"/>
      <c r="G2489" s="3"/>
      <c r="H2489" s="3"/>
      <c r="I2489" s="3"/>
    </row>
    <row r="2490">
      <c r="A2490" s="4" t="s">
        <v>3794</v>
      </c>
      <c r="B2490" s="13" t="s">
        <v>43</v>
      </c>
      <c r="D2490" s="3"/>
      <c r="E2490" s="3"/>
      <c r="F2490" s="3"/>
      <c r="G2490" s="3"/>
      <c r="H2490" s="3"/>
      <c r="I2490" s="3"/>
    </row>
    <row r="2491">
      <c r="A2491" s="4" t="s">
        <v>3795</v>
      </c>
      <c r="B2491" s="13" t="s">
        <v>43</v>
      </c>
      <c r="D2491" s="3"/>
      <c r="E2491" s="3"/>
      <c r="F2491" s="3"/>
      <c r="G2491" s="3"/>
      <c r="H2491" s="3"/>
      <c r="I2491" s="3"/>
    </row>
    <row r="2492">
      <c r="A2492" s="4" t="s">
        <v>3796</v>
      </c>
      <c r="B2492" s="13" t="s">
        <v>43</v>
      </c>
      <c r="D2492" s="3"/>
      <c r="E2492" s="3"/>
      <c r="F2492" s="3"/>
      <c r="G2492" s="3"/>
      <c r="H2492" s="3"/>
      <c r="I2492" s="3"/>
    </row>
    <row r="2493">
      <c r="A2493" s="4" t="s">
        <v>3797</v>
      </c>
      <c r="B2493" s="13" t="s">
        <v>43</v>
      </c>
      <c r="D2493" s="3"/>
      <c r="E2493" s="3"/>
      <c r="F2493" s="3"/>
      <c r="G2493" s="3"/>
      <c r="H2493" s="3"/>
      <c r="I2493" s="3"/>
    </row>
    <row r="2494">
      <c r="A2494" s="4" t="s">
        <v>3798</v>
      </c>
      <c r="B2494" s="13" t="s">
        <v>43</v>
      </c>
      <c r="D2494" s="3"/>
      <c r="E2494" s="3"/>
      <c r="F2494" s="3"/>
      <c r="G2494" s="3"/>
      <c r="H2494" s="3"/>
      <c r="I2494" s="3"/>
    </row>
    <row r="2495">
      <c r="A2495" s="4" t="s">
        <v>3799</v>
      </c>
      <c r="B2495" s="13" t="s">
        <v>43</v>
      </c>
      <c r="D2495" s="3"/>
      <c r="E2495" s="3"/>
      <c r="F2495" s="3"/>
      <c r="G2495" s="3"/>
      <c r="H2495" s="3"/>
      <c r="I2495" s="3"/>
    </row>
    <row r="2496">
      <c r="A2496" s="4" t="s">
        <v>3800</v>
      </c>
      <c r="B2496" s="13" t="s">
        <v>43</v>
      </c>
      <c r="D2496" s="3"/>
      <c r="E2496" s="3"/>
      <c r="F2496" s="3"/>
      <c r="G2496" s="3"/>
      <c r="H2496" s="3"/>
      <c r="I2496" s="3"/>
    </row>
    <row r="2497">
      <c r="A2497" s="4" t="s">
        <v>3801</v>
      </c>
      <c r="B2497" s="13" t="s">
        <v>43</v>
      </c>
      <c r="D2497" s="3"/>
      <c r="E2497" s="3"/>
      <c r="F2497" s="3"/>
      <c r="G2497" s="3"/>
      <c r="H2497" s="3"/>
      <c r="I2497" s="3"/>
    </row>
    <row r="2498">
      <c r="A2498" s="4" t="s">
        <v>3802</v>
      </c>
      <c r="B2498" s="13" t="s">
        <v>43</v>
      </c>
      <c r="D2498" s="3"/>
      <c r="E2498" s="3"/>
      <c r="F2498" s="3"/>
      <c r="G2498" s="3"/>
      <c r="H2498" s="3"/>
      <c r="I2498" s="3"/>
    </row>
    <row r="2499">
      <c r="A2499" s="4" t="s">
        <v>3803</v>
      </c>
      <c r="B2499" s="13" t="s">
        <v>43</v>
      </c>
      <c r="D2499" s="3"/>
      <c r="E2499" s="3"/>
      <c r="F2499" s="3"/>
      <c r="G2499" s="3"/>
      <c r="H2499" s="3"/>
      <c r="I2499" s="3"/>
    </row>
    <row r="2500">
      <c r="A2500" s="4" t="s">
        <v>3804</v>
      </c>
      <c r="B2500" s="13" t="s">
        <v>43</v>
      </c>
      <c r="D2500" s="3"/>
      <c r="E2500" s="3"/>
      <c r="F2500" s="3"/>
      <c r="G2500" s="3"/>
      <c r="H2500" s="3"/>
      <c r="I2500" s="3"/>
    </row>
    <row r="2501">
      <c r="A2501" s="4" t="s">
        <v>3805</v>
      </c>
      <c r="B2501" s="13" t="s">
        <v>43</v>
      </c>
      <c r="D2501" s="3"/>
      <c r="E2501" s="3"/>
      <c r="F2501" s="3"/>
      <c r="G2501" s="3"/>
      <c r="H2501" s="3"/>
      <c r="I2501" s="3"/>
    </row>
    <row r="2502">
      <c r="A2502" s="4" t="s">
        <v>3806</v>
      </c>
      <c r="B2502" s="13" t="s">
        <v>43</v>
      </c>
      <c r="D2502" s="3"/>
      <c r="E2502" s="3"/>
      <c r="F2502" s="3"/>
      <c r="G2502" s="3"/>
      <c r="H2502" s="3"/>
      <c r="I2502" s="3"/>
    </row>
    <row r="2503">
      <c r="A2503" s="4" t="s">
        <v>3807</v>
      </c>
      <c r="B2503" s="13" t="s">
        <v>43</v>
      </c>
      <c r="D2503" s="3"/>
      <c r="E2503" s="3"/>
      <c r="F2503" s="3"/>
      <c r="G2503" s="3"/>
      <c r="H2503" s="3"/>
      <c r="I2503" s="3"/>
    </row>
    <row r="2504">
      <c r="A2504" s="4" t="s">
        <v>3808</v>
      </c>
      <c r="B2504" s="13" t="s">
        <v>43</v>
      </c>
      <c r="D2504" s="3"/>
      <c r="E2504" s="3"/>
      <c r="F2504" s="3"/>
      <c r="G2504" s="3"/>
      <c r="H2504" s="3"/>
      <c r="I2504" s="3"/>
    </row>
    <row r="2505">
      <c r="A2505" s="4" t="s">
        <v>3809</v>
      </c>
      <c r="B2505" s="13" t="s">
        <v>43</v>
      </c>
      <c r="D2505" s="3"/>
      <c r="E2505" s="3"/>
      <c r="F2505" s="3"/>
      <c r="G2505" s="3"/>
      <c r="H2505" s="3"/>
      <c r="I2505" s="3"/>
    </row>
    <row r="2506">
      <c r="A2506" s="4" t="s">
        <v>3810</v>
      </c>
      <c r="B2506" s="13" t="s">
        <v>43</v>
      </c>
      <c r="D2506" s="3"/>
      <c r="E2506" s="3"/>
      <c r="F2506" s="3"/>
      <c r="G2506" s="3"/>
      <c r="H2506" s="3"/>
      <c r="I2506" s="3"/>
    </row>
    <row r="2507">
      <c r="A2507" s="4" t="s">
        <v>3811</v>
      </c>
      <c r="B2507" s="13" t="s">
        <v>43</v>
      </c>
      <c r="D2507" s="3"/>
      <c r="E2507" s="3"/>
      <c r="F2507" s="3"/>
      <c r="G2507" s="3"/>
      <c r="H2507" s="3"/>
      <c r="I2507" s="3"/>
    </row>
    <row r="2508">
      <c r="A2508" s="4" t="s">
        <v>3812</v>
      </c>
      <c r="B2508" s="13" t="s">
        <v>43</v>
      </c>
      <c r="D2508" s="3"/>
      <c r="E2508" s="3"/>
      <c r="F2508" s="3"/>
      <c r="G2508" s="3"/>
      <c r="H2508" s="3"/>
      <c r="I2508" s="3"/>
    </row>
    <row r="2509">
      <c r="A2509" s="4" t="s">
        <v>3813</v>
      </c>
      <c r="B2509" s="13" t="s">
        <v>43</v>
      </c>
      <c r="D2509" s="3"/>
      <c r="E2509" s="3"/>
      <c r="F2509" s="3"/>
      <c r="G2509" s="3"/>
      <c r="H2509" s="3"/>
      <c r="I2509" s="3"/>
    </row>
    <row r="2510">
      <c r="A2510" s="4" t="s">
        <v>3814</v>
      </c>
      <c r="B2510" s="13" t="s">
        <v>43</v>
      </c>
      <c r="D2510" s="3"/>
      <c r="E2510" s="3"/>
      <c r="F2510" s="3"/>
      <c r="G2510" s="3"/>
      <c r="H2510" s="3"/>
      <c r="I2510" s="3"/>
    </row>
    <row r="2511">
      <c r="A2511" s="4" t="s">
        <v>3815</v>
      </c>
      <c r="B2511" s="13" t="s">
        <v>43</v>
      </c>
      <c r="D2511" s="3"/>
      <c r="E2511" s="3"/>
      <c r="F2511" s="3"/>
      <c r="G2511" s="3"/>
      <c r="H2511" s="3"/>
      <c r="I2511" s="3"/>
    </row>
    <row r="2512">
      <c r="A2512" s="4" t="s">
        <v>3816</v>
      </c>
      <c r="B2512" s="13" t="s">
        <v>43</v>
      </c>
      <c r="D2512" s="3"/>
      <c r="E2512" s="3"/>
      <c r="F2512" s="3"/>
      <c r="G2512" s="3"/>
      <c r="H2512" s="3"/>
      <c r="I2512" s="3"/>
    </row>
    <row r="2513">
      <c r="A2513" s="4" t="s">
        <v>3817</v>
      </c>
      <c r="B2513" s="13" t="s">
        <v>43</v>
      </c>
      <c r="D2513" s="3"/>
      <c r="E2513" s="3"/>
      <c r="F2513" s="3"/>
      <c r="G2513" s="3"/>
      <c r="H2513" s="3"/>
      <c r="I2513" s="3"/>
    </row>
    <row r="2514">
      <c r="A2514" s="4" t="s">
        <v>3818</v>
      </c>
      <c r="B2514" s="13" t="s">
        <v>43</v>
      </c>
      <c r="D2514" s="3"/>
      <c r="E2514" s="3"/>
      <c r="F2514" s="3"/>
      <c r="G2514" s="3"/>
      <c r="H2514" s="3"/>
      <c r="I2514" s="3"/>
    </row>
    <row r="2515">
      <c r="A2515" s="4" t="s">
        <v>3819</v>
      </c>
      <c r="B2515" s="13" t="s">
        <v>43</v>
      </c>
      <c r="D2515" s="3"/>
      <c r="E2515" s="3"/>
      <c r="F2515" s="3"/>
      <c r="G2515" s="3"/>
      <c r="H2515" s="3"/>
      <c r="I2515" s="3"/>
    </row>
    <row r="2516">
      <c r="A2516" s="4" t="s">
        <v>3820</v>
      </c>
      <c r="B2516" s="13" t="s">
        <v>43</v>
      </c>
      <c r="D2516" s="3"/>
      <c r="E2516" s="3"/>
      <c r="F2516" s="3"/>
      <c r="G2516" s="3"/>
      <c r="H2516" s="3"/>
      <c r="I2516" s="3"/>
    </row>
    <row r="2517">
      <c r="A2517" s="4" t="s">
        <v>3821</v>
      </c>
      <c r="B2517" s="13" t="s">
        <v>43</v>
      </c>
      <c r="D2517" s="3"/>
      <c r="E2517" s="3"/>
      <c r="F2517" s="3"/>
      <c r="G2517" s="3"/>
      <c r="H2517" s="3"/>
      <c r="I2517" s="3"/>
    </row>
    <row r="2518">
      <c r="A2518" s="4" t="s">
        <v>3822</v>
      </c>
      <c r="B2518" s="13" t="s">
        <v>43</v>
      </c>
      <c r="D2518" s="3"/>
      <c r="E2518" s="3"/>
      <c r="F2518" s="3"/>
      <c r="G2518" s="3"/>
      <c r="H2518" s="3"/>
      <c r="I2518" s="3"/>
    </row>
    <row r="2519">
      <c r="A2519" s="4" t="s">
        <v>3823</v>
      </c>
      <c r="B2519" s="13" t="s">
        <v>43</v>
      </c>
      <c r="D2519" s="3"/>
      <c r="E2519" s="3"/>
      <c r="F2519" s="3"/>
      <c r="G2519" s="3"/>
      <c r="H2519" s="3"/>
      <c r="I2519" s="3"/>
    </row>
    <row r="2520">
      <c r="A2520" s="4" t="s">
        <v>3824</v>
      </c>
      <c r="B2520" s="13" t="s">
        <v>43</v>
      </c>
      <c r="D2520" s="3"/>
      <c r="E2520" s="3"/>
      <c r="F2520" s="3"/>
      <c r="G2520" s="3"/>
      <c r="H2520" s="3"/>
      <c r="I2520" s="3"/>
    </row>
    <row r="2521">
      <c r="A2521" s="4" t="s">
        <v>3825</v>
      </c>
      <c r="B2521" s="13" t="s">
        <v>43</v>
      </c>
      <c r="D2521" s="3"/>
      <c r="E2521" s="3"/>
      <c r="F2521" s="3"/>
      <c r="G2521" s="3"/>
      <c r="H2521" s="3"/>
      <c r="I2521" s="3"/>
    </row>
    <row r="2522">
      <c r="A2522" s="4" t="s">
        <v>3826</v>
      </c>
      <c r="B2522" s="13" t="s">
        <v>43</v>
      </c>
      <c r="D2522" s="3"/>
      <c r="E2522" s="3"/>
      <c r="F2522" s="3"/>
      <c r="G2522" s="3"/>
      <c r="H2522" s="3"/>
      <c r="I2522" s="3"/>
    </row>
    <row r="2523">
      <c r="A2523" s="4" t="s">
        <v>3827</v>
      </c>
      <c r="B2523" s="13" t="s">
        <v>43</v>
      </c>
      <c r="D2523" s="3"/>
      <c r="E2523" s="3"/>
      <c r="F2523" s="3"/>
      <c r="G2523" s="3"/>
      <c r="H2523" s="3"/>
      <c r="I2523" s="3"/>
    </row>
    <row r="2524">
      <c r="A2524" s="4" t="s">
        <v>3828</v>
      </c>
      <c r="B2524" s="13" t="s">
        <v>43</v>
      </c>
      <c r="D2524" s="3"/>
      <c r="E2524" s="3"/>
      <c r="F2524" s="3"/>
      <c r="G2524" s="3"/>
      <c r="H2524" s="3"/>
      <c r="I2524" s="3"/>
    </row>
    <row r="2525">
      <c r="A2525" s="4" t="s">
        <v>3829</v>
      </c>
      <c r="B2525" s="13" t="s">
        <v>43</v>
      </c>
      <c r="D2525" s="3"/>
      <c r="E2525" s="3"/>
      <c r="F2525" s="3"/>
      <c r="G2525" s="3"/>
      <c r="H2525" s="3"/>
      <c r="I2525" s="3"/>
    </row>
    <row r="2526">
      <c r="A2526" s="4" t="s">
        <v>3830</v>
      </c>
      <c r="B2526" s="13" t="s">
        <v>43</v>
      </c>
      <c r="D2526" s="3"/>
      <c r="E2526" s="3"/>
      <c r="F2526" s="3"/>
      <c r="G2526" s="3"/>
      <c r="H2526" s="3"/>
      <c r="I2526" s="3"/>
    </row>
    <row r="2527">
      <c r="A2527" s="4" t="s">
        <v>3831</v>
      </c>
      <c r="B2527" s="13" t="s">
        <v>43</v>
      </c>
      <c r="D2527" s="3"/>
      <c r="E2527" s="3"/>
      <c r="F2527" s="3"/>
      <c r="G2527" s="3"/>
      <c r="H2527" s="3"/>
      <c r="I2527" s="3"/>
    </row>
    <row r="2528">
      <c r="A2528" s="4" t="s">
        <v>3832</v>
      </c>
      <c r="B2528" s="13" t="s">
        <v>43</v>
      </c>
      <c r="D2528" s="3"/>
      <c r="E2528" s="3"/>
      <c r="F2528" s="3"/>
      <c r="G2528" s="3"/>
      <c r="H2528" s="3"/>
      <c r="I2528" s="3"/>
    </row>
    <row r="2529">
      <c r="A2529" s="4" t="s">
        <v>3833</v>
      </c>
      <c r="B2529" s="13" t="s">
        <v>43</v>
      </c>
      <c r="D2529" s="3"/>
      <c r="E2529" s="3"/>
      <c r="F2529" s="3"/>
      <c r="G2529" s="3"/>
      <c r="H2529" s="3"/>
      <c r="I2529" s="3"/>
    </row>
    <row r="2530">
      <c r="A2530" s="4" t="s">
        <v>3834</v>
      </c>
      <c r="B2530" s="13" t="s">
        <v>43</v>
      </c>
      <c r="D2530" s="3"/>
      <c r="E2530" s="3"/>
      <c r="F2530" s="3"/>
      <c r="G2530" s="3"/>
      <c r="H2530" s="3"/>
      <c r="I2530" s="3"/>
    </row>
    <row r="2531">
      <c r="A2531" s="4" t="s">
        <v>3835</v>
      </c>
      <c r="B2531" s="13" t="s">
        <v>43</v>
      </c>
      <c r="D2531" s="3"/>
      <c r="E2531" s="3"/>
      <c r="F2531" s="3"/>
      <c r="G2531" s="3"/>
      <c r="H2531" s="3"/>
      <c r="I2531" s="3"/>
    </row>
    <row r="2532">
      <c r="A2532" s="4" t="s">
        <v>3836</v>
      </c>
      <c r="B2532" s="13" t="s">
        <v>43</v>
      </c>
      <c r="D2532" s="3"/>
      <c r="E2532" s="3"/>
      <c r="F2532" s="3"/>
      <c r="G2532" s="3"/>
      <c r="H2532" s="3"/>
      <c r="I2532" s="3"/>
    </row>
    <row r="2533">
      <c r="A2533" s="4" t="s">
        <v>3837</v>
      </c>
      <c r="B2533" s="13" t="s">
        <v>43</v>
      </c>
      <c r="D2533" s="3"/>
      <c r="E2533" s="3"/>
      <c r="F2533" s="3"/>
      <c r="G2533" s="3"/>
      <c r="H2533" s="3"/>
      <c r="I2533" s="3"/>
    </row>
    <row r="2534">
      <c r="A2534" s="4" t="s">
        <v>3838</v>
      </c>
      <c r="B2534" s="13" t="s">
        <v>43</v>
      </c>
      <c r="D2534" s="3"/>
      <c r="E2534" s="3"/>
      <c r="F2534" s="3"/>
      <c r="G2534" s="3"/>
      <c r="H2534" s="3"/>
      <c r="I2534" s="3"/>
    </row>
    <row r="2535">
      <c r="A2535" s="4" t="s">
        <v>3839</v>
      </c>
      <c r="B2535" s="13" t="s">
        <v>43</v>
      </c>
      <c r="D2535" s="3"/>
      <c r="E2535" s="3"/>
      <c r="F2535" s="3"/>
      <c r="G2535" s="3"/>
      <c r="H2535" s="3"/>
      <c r="I2535" s="3"/>
    </row>
    <row r="2536">
      <c r="A2536" s="4" t="s">
        <v>3840</v>
      </c>
      <c r="B2536" s="13" t="s">
        <v>43</v>
      </c>
      <c r="D2536" s="3"/>
      <c r="E2536" s="3"/>
      <c r="F2536" s="3"/>
      <c r="G2536" s="3"/>
      <c r="H2536" s="3"/>
      <c r="I2536" s="3"/>
    </row>
    <row r="2537">
      <c r="A2537" s="4" t="s">
        <v>3841</v>
      </c>
      <c r="B2537" s="13" t="s">
        <v>43</v>
      </c>
      <c r="D2537" s="3"/>
      <c r="E2537" s="3"/>
      <c r="F2537" s="3"/>
      <c r="G2537" s="3"/>
      <c r="H2537" s="3"/>
      <c r="I2537" s="3"/>
    </row>
    <row r="2538">
      <c r="A2538" s="4" t="s">
        <v>3842</v>
      </c>
      <c r="B2538" s="13" t="s">
        <v>43</v>
      </c>
      <c r="D2538" s="3"/>
      <c r="E2538" s="3"/>
      <c r="F2538" s="3"/>
      <c r="G2538" s="3"/>
      <c r="H2538" s="3"/>
      <c r="I2538" s="3"/>
    </row>
    <row r="2539">
      <c r="A2539" s="4" t="s">
        <v>3843</v>
      </c>
      <c r="B2539" s="13" t="s">
        <v>43</v>
      </c>
      <c r="D2539" s="3"/>
      <c r="E2539" s="3"/>
      <c r="F2539" s="3"/>
      <c r="G2539" s="3"/>
      <c r="H2539" s="3"/>
      <c r="I2539" s="3"/>
    </row>
    <row r="2540">
      <c r="A2540" s="4" t="s">
        <v>3844</v>
      </c>
      <c r="B2540" s="13" t="s">
        <v>43</v>
      </c>
      <c r="D2540" s="3"/>
      <c r="E2540" s="3"/>
      <c r="F2540" s="3"/>
      <c r="G2540" s="3"/>
      <c r="H2540" s="3"/>
      <c r="I2540" s="3"/>
    </row>
    <row r="2541">
      <c r="A2541" s="4" t="s">
        <v>3845</v>
      </c>
      <c r="B2541" s="13" t="s">
        <v>43</v>
      </c>
      <c r="D2541" s="3"/>
      <c r="E2541" s="3"/>
      <c r="F2541" s="3"/>
      <c r="G2541" s="3"/>
      <c r="H2541" s="3"/>
      <c r="I2541" s="3"/>
    </row>
    <row r="2542">
      <c r="A2542" s="4" t="s">
        <v>3846</v>
      </c>
      <c r="B2542" s="13" t="s">
        <v>43</v>
      </c>
      <c r="D2542" s="3"/>
      <c r="E2542" s="3"/>
      <c r="F2542" s="3"/>
      <c r="G2542" s="3"/>
      <c r="H2542" s="3"/>
      <c r="I2542" s="3"/>
    </row>
    <row r="2543">
      <c r="A2543" s="4" t="s">
        <v>3847</v>
      </c>
      <c r="B2543" s="13" t="s">
        <v>43</v>
      </c>
      <c r="D2543" s="3"/>
      <c r="E2543" s="3"/>
      <c r="F2543" s="3"/>
      <c r="G2543" s="3"/>
      <c r="H2543" s="3"/>
      <c r="I2543" s="3"/>
    </row>
    <row r="2544">
      <c r="A2544" s="4" t="s">
        <v>3848</v>
      </c>
      <c r="B2544" s="13" t="s">
        <v>43</v>
      </c>
      <c r="D2544" s="3"/>
      <c r="E2544" s="3"/>
      <c r="F2544" s="3"/>
      <c r="G2544" s="3"/>
      <c r="H2544" s="3"/>
      <c r="I2544" s="3"/>
    </row>
    <row r="2545">
      <c r="A2545" s="4" t="s">
        <v>3849</v>
      </c>
      <c r="B2545" s="13" t="s">
        <v>43</v>
      </c>
      <c r="D2545" s="3"/>
      <c r="E2545" s="3"/>
      <c r="F2545" s="3"/>
      <c r="G2545" s="3"/>
      <c r="H2545" s="3"/>
      <c r="I2545" s="3"/>
    </row>
    <row r="2546">
      <c r="A2546" s="4" t="s">
        <v>3850</v>
      </c>
      <c r="B2546" s="13" t="s">
        <v>43</v>
      </c>
      <c r="D2546" s="3"/>
      <c r="E2546" s="3"/>
      <c r="F2546" s="3"/>
      <c r="G2546" s="3"/>
      <c r="H2546" s="3"/>
      <c r="I2546" s="3"/>
    </row>
    <row r="2547">
      <c r="A2547" s="4" t="s">
        <v>3851</v>
      </c>
      <c r="B2547" s="13" t="s">
        <v>43</v>
      </c>
      <c r="D2547" s="3"/>
      <c r="E2547" s="3"/>
      <c r="F2547" s="3"/>
      <c r="G2547" s="3"/>
      <c r="H2547" s="3"/>
      <c r="I2547" s="3"/>
    </row>
    <row r="2548">
      <c r="A2548" s="4" t="s">
        <v>3852</v>
      </c>
      <c r="B2548" s="13" t="s">
        <v>43</v>
      </c>
      <c r="D2548" s="3"/>
      <c r="E2548" s="3"/>
      <c r="F2548" s="3"/>
      <c r="G2548" s="3"/>
      <c r="H2548" s="3"/>
      <c r="I2548" s="3"/>
    </row>
    <row r="2549">
      <c r="A2549" s="4" t="s">
        <v>3853</v>
      </c>
      <c r="B2549" s="13" t="s">
        <v>43</v>
      </c>
      <c r="D2549" s="3"/>
      <c r="E2549" s="3"/>
      <c r="F2549" s="3"/>
      <c r="G2549" s="3"/>
      <c r="H2549" s="3"/>
      <c r="I2549" s="3"/>
    </row>
    <row r="2550">
      <c r="A2550" s="4" t="s">
        <v>3854</v>
      </c>
      <c r="B2550" s="13" t="s">
        <v>43</v>
      </c>
      <c r="D2550" s="3"/>
      <c r="E2550" s="3"/>
      <c r="F2550" s="3"/>
      <c r="G2550" s="3"/>
      <c r="H2550" s="3"/>
      <c r="I2550" s="3"/>
    </row>
    <row r="2551">
      <c r="A2551" s="4" t="s">
        <v>3855</v>
      </c>
      <c r="B2551" s="13" t="s">
        <v>43</v>
      </c>
      <c r="D2551" s="3"/>
      <c r="E2551" s="3"/>
      <c r="F2551" s="3"/>
      <c r="G2551" s="3"/>
      <c r="H2551" s="3"/>
      <c r="I2551" s="3"/>
    </row>
    <row r="2552">
      <c r="A2552" s="4" t="s">
        <v>3856</v>
      </c>
      <c r="B2552" s="13" t="s">
        <v>43</v>
      </c>
      <c r="D2552" s="3"/>
      <c r="E2552" s="3"/>
      <c r="F2552" s="3"/>
      <c r="G2552" s="3"/>
      <c r="H2552" s="3"/>
      <c r="I2552" s="3"/>
    </row>
    <row r="2553">
      <c r="A2553" s="4" t="s">
        <v>3857</v>
      </c>
      <c r="B2553" s="13" t="s">
        <v>43</v>
      </c>
      <c r="D2553" s="3"/>
      <c r="E2553" s="3"/>
      <c r="F2553" s="3"/>
      <c r="G2553" s="3"/>
      <c r="H2553" s="3"/>
      <c r="I2553" s="3"/>
    </row>
    <row r="2554">
      <c r="A2554" s="4" t="s">
        <v>3858</v>
      </c>
      <c r="B2554" s="13" t="s">
        <v>43</v>
      </c>
      <c r="D2554" s="3"/>
      <c r="E2554" s="3"/>
      <c r="F2554" s="3"/>
      <c r="G2554" s="3"/>
      <c r="H2554" s="3"/>
      <c r="I2554" s="3"/>
    </row>
    <row r="2555">
      <c r="A2555" s="4" t="s">
        <v>3859</v>
      </c>
      <c r="B2555" s="13" t="s">
        <v>43</v>
      </c>
      <c r="D2555" s="3"/>
      <c r="E2555" s="3"/>
      <c r="F2555" s="3"/>
      <c r="G2555" s="3"/>
      <c r="H2555" s="3"/>
      <c r="I2555" s="3"/>
    </row>
    <row r="2556">
      <c r="A2556" s="4" t="s">
        <v>3860</v>
      </c>
      <c r="B2556" s="13" t="s">
        <v>43</v>
      </c>
      <c r="D2556" s="3"/>
      <c r="E2556" s="3"/>
      <c r="F2556" s="3"/>
      <c r="G2556" s="3"/>
      <c r="H2556" s="3"/>
      <c r="I2556" s="3"/>
    </row>
    <row r="2557">
      <c r="A2557" s="4" t="s">
        <v>3861</v>
      </c>
      <c r="B2557" s="13" t="s">
        <v>43</v>
      </c>
      <c r="D2557" s="3"/>
      <c r="E2557" s="3"/>
      <c r="F2557" s="3"/>
      <c r="G2557" s="3"/>
      <c r="H2557" s="3"/>
      <c r="I2557" s="3"/>
    </row>
    <row r="2558">
      <c r="A2558" s="4" t="s">
        <v>3862</v>
      </c>
      <c r="B2558" s="13" t="s">
        <v>43</v>
      </c>
      <c r="D2558" s="3"/>
      <c r="E2558" s="3"/>
      <c r="F2558" s="3"/>
      <c r="G2558" s="3"/>
      <c r="H2558" s="3"/>
      <c r="I2558" s="3"/>
    </row>
    <row r="2559">
      <c r="A2559" s="4" t="s">
        <v>3863</v>
      </c>
      <c r="B2559" s="13" t="s">
        <v>43</v>
      </c>
      <c r="D2559" s="3"/>
      <c r="E2559" s="3"/>
      <c r="F2559" s="3"/>
      <c r="G2559" s="3"/>
      <c r="H2559" s="3"/>
      <c r="I2559" s="3"/>
    </row>
    <row r="2560">
      <c r="A2560" s="4" t="s">
        <v>3864</v>
      </c>
      <c r="B2560" s="13" t="s">
        <v>43</v>
      </c>
      <c r="D2560" s="3"/>
      <c r="E2560" s="3"/>
      <c r="F2560" s="3"/>
      <c r="G2560" s="3"/>
      <c r="H2560" s="3"/>
      <c r="I2560" s="3"/>
    </row>
    <row r="2561">
      <c r="A2561" s="4" t="s">
        <v>3865</v>
      </c>
      <c r="B2561" s="13" t="s">
        <v>43</v>
      </c>
      <c r="D2561" s="3"/>
      <c r="E2561" s="3"/>
      <c r="F2561" s="3"/>
      <c r="G2561" s="3"/>
      <c r="H2561" s="3"/>
      <c r="I2561" s="3"/>
    </row>
    <row r="2562">
      <c r="A2562" s="4" t="s">
        <v>3866</v>
      </c>
      <c r="B2562" s="13" t="s">
        <v>43</v>
      </c>
      <c r="D2562" s="3"/>
      <c r="E2562" s="3"/>
      <c r="F2562" s="3"/>
      <c r="G2562" s="3"/>
      <c r="H2562" s="3"/>
      <c r="I2562" s="3"/>
    </row>
    <row r="2563">
      <c r="A2563" s="4" t="s">
        <v>3867</v>
      </c>
      <c r="B2563" s="13" t="s">
        <v>43</v>
      </c>
      <c r="D2563" s="3"/>
      <c r="E2563" s="3"/>
      <c r="F2563" s="3"/>
      <c r="G2563" s="3"/>
      <c r="H2563" s="3"/>
      <c r="I2563" s="3"/>
    </row>
    <row r="2564">
      <c r="A2564" s="4" t="s">
        <v>3868</v>
      </c>
      <c r="B2564" s="13" t="s">
        <v>43</v>
      </c>
      <c r="D2564" s="3"/>
      <c r="E2564" s="3"/>
      <c r="F2564" s="3"/>
      <c r="G2564" s="3"/>
      <c r="H2564" s="3"/>
      <c r="I2564" s="3"/>
    </row>
    <row r="2565">
      <c r="A2565" s="4" t="s">
        <v>3869</v>
      </c>
      <c r="B2565" s="13" t="s">
        <v>43</v>
      </c>
      <c r="D2565" s="3"/>
      <c r="E2565" s="3"/>
      <c r="F2565" s="3"/>
      <c r="G2565" s="3"/>
      <c r="H2565" s="3"/>
      <c r="I2565" s="3"/>
    </row>
    <row r="2566">
      <c r="A2566" s="4" t="s">
        <v>3870</v>
      </c>
      <c r="B2566" s="13" t="s">
        <v>43</v>
      </c>
      <c r="D2566" s="3"/>
      <c r="E2566" s="3"/>
      <c r="F2566" s="3"/>
      <c r="G2566" s="3"/>
      <c r="H2566" s="3"/>
      <c r="I2566" s="3"/>
    </row>
    <row r="2567">
      <c r="A2567" s="4" t="s">
        <v>3871</v>
      </c>
      <c r="B2567" s="13" t="s">
        <v>43</v>
      </c>
      <c r="D2567" s="3"/>
      <c r="E2567" s="3"/>
      <c r="F2567" s="3"/>
      <c r="G2567" s="3"/>
      <c r="H2567" s="3"/>
      <c r="I2567" s="3"/>
    </row>
    <row r="2568">
      <c r="A2568" s="4" t="s">
        <v>3872</v>
      </c>
      <c r="B2568" s="13" t="s">
        <v>43</v>
      </c>
      <c r="D2568" s="3"/>
      <c r="E2568" s="3"/>
      <c r="F2568" s="3"/>
      <c r="G2568" s="3"/>
      <c r="H2568" s="3"/>
      <c r="I2568" s="3"/>
    </row>
    <row r="2569">
      <c r="A2569" s="4" t="s">
        <v>3873</v>
      </c>
      <c r="B2569" s="13" t="s">
        <v>43</v>
      </c>
      <c r="D2569" s="3"/>
      <c r="E2569" s="3"/>
      <c r="F2569" s="3"/>
      <c r="G2569" s="3"/>
      <c r="H2569" s="3"/>
      <c r="I2569" s="3"/>
    </row>
    <row r="2570">
      <c r="A2570" s="4" t="s">
        <v>3874</v>
      </c>
      <c r="B2570" s="13" t="s">
        <v>43</v>
      </c>
      <c r="D2570" s="3"/>
      <c r="E2570" s="3"/>
      <c r="F2570" s="3"/>
      <c r="G2570" s="3"/>
      <c r="H2570" s="3"/>
      <c r="I2570" s="3"/>
    </row>
    <row r="2571">
      <c r="A2571" s="4" t="s">
        <v>3875</v>
      </c>
      <c r="B2571" s="13" t="s">
        <v>43</v>
      </c>
      <c r="D2571" s="3"/>
      <c r="E2571" s="3"/>
      <c r="F2571" s="3"/>
      <c r="G2571" s="3"/>
      <c r="H2571" s="3"/>
      <c r="I2571" s="3"/>
    </row>
    <row r="2572">
      <c r="A2572" s="4" t="s">
        <v>3876</v>
      </c>
      <c r="B2572" s="13" t="s">
        <v>43</v>
      </c>
      <c r="D2572" s="3"/>
      <c r="E2572" s="3"/>
      <c r="F2572" s="3"/>
      <c r="G2572" s="3"/>
      <c r="H2572" s="3"/>
      <c r="I2572" s="3"/>
    </row>
    <row r="2573">
      <c r="A2573" s="4" t="s">
        <v>3877</v>
      </c>
      <c r="B2573" s="13" t="s">
        <v>43</v>
      </c>
      <c r="D2573" s="3"/>
      <c r="E2573" s="3"/>
      <c r="F2573" s="3"/>
      <c r="G2573" s="3"/>
      <c r="H2573" s="3"/>
      <c r="I2573" s="3"/>
    </row>
    <row r="2574">
      <c r="A2574" s="4" t="s">
        <v>3878</v>
      </c>
      <c r="B2574" s="13" t="s">
        <v>43</v>
      </c>
      <c r="D2574" s="3"/>
      <c r="E2574" s="3"/>
      <c r="F2574" s="3"/>
      <c r="G2574" s="3"/>
      <c r="H2574" s="3"/>
      <c r="I2574" s="3"/>
    </row>
    <row r="2575">
      <c r="A2575" s="4" t="s">
        <v>3879</v>
      </c>
      <c r="B2575" s="13" t="s">
        <v>43</v>
      </c>
      <c r="D2575" s="3"/>
      <c r="E2575" s="3"/>
      <c r="F2575" s="3"/>
      <c r="G2575" s="3"/>
      <c r="H2575" s="3"/>
      <c r="I2575" s="3"/>
    </row>
    <row r="2576">
      <c r="A2576" s="4" t="s">
        <v>3880</v>
      </c>
      <c r="B2576" s="13" t="s">
        <v>43</v>
      </c>
      <c r="D2576" s="3"/>
      <c r="E2576" s="3"/>
      <c r="F2576" s="3"/>
      <c r="G2576" s="3"/>
      <c r="H2576" s="3"/>
      <c r="I2576" s="3"/>
    </row>
    <row r="2577">
      <c r="A2577" s="4" t="s">
        <v>3881</v>
      </c>
      <c r="B2577" s="13" t="s">
        <v>43</v>
      </c>
      <c r="D2577" s="3"/>
      <c r="E2577" s="3"/>
      <c r="F2577" s="3"/>
      <c r="G2577" s="3"/>
      <c r="H2577" s="3"/>
      <c r="I2577" s="3"/>
    </row>
    <row r="2578">
      <c r="A2578" s="4" t="s">
        <v>3882</v>
      </c>
      <c r="B2578" s="13" t="s">
        <v>43</v>
      </c>
      <c r="D2578" s="3"/>
      <c r="E2578" s="3"/>
      <c r="F2578" s="3"/>
      <c r="G2578" s="3"/>
      <c r="H2578" s="3"/>
      <c r="I2578" s="3"/>
    </row>
    <row r="2579">
      <c r="A2579" s="4" t="s">
        <v>3883</v>
      </c>
      <c r="B2579" s="13" t="s">
        <v>43</v>
      </c>
      <c r="D2579" s="3"/>
      <c r="E2579" s="3"/>
      <c r="F2579" s="3"/>
      <c r="G2579" s="3"/>
      <c r="H2579" s="3"/>
      <c r="I2579" s="3"/>
    </row>
    <row r="2580">
      <c r="A2580" s="4" t="s">
        <v>3884</v>
      </c>
      <c r="B2580" s="13" t="s">
        <v>43</v>
      </c>
      <c r="D2580" s="3"/>
      <c r="E2580" s="3"/>
      <c r="F2580" s="3"/>
      <c r="G2580" s="3"/>
      <c r="H2580" s="3"/>
      <c r="I2580" s="3"/>
    </row>
    <row r="2581">
      <c r="A2581" s="4" t="s">
        <v>3885</v>
      </c>
      <c r="B2581" s="13" t="s">
        <v>43</v>
      </c>
      <c r="D2581" s="3"/>
      <c r="E2581" s="3"/>
      <c r="F2581" s="3"/>
      <c r="G2581" s="3"/>
      <c r="H2581" s="3"/>
      <c r="I2581" s="3"/>
    </row>
    <row r="2582">
      <c r="A2582" s="4" t="s">
        <v>3886</v>
      </c>
      <c r="B2582" s="13" t="s">
        <v>43</v>
      </c>
      <c r="D2582" s="3"/>
      <c r="E2582" s="3"/>
      <c r="F2582" s="3"/>
      <c r="G2582" s="3"/>
      <c r="H2582" s="3"/>
      <c r="I2582" s="3"/>
    </row>
    <row r="2583">
      <c r="A2583" s="4" t="s">
        <v>3887</v>
      </c>
      <c r="B2583" s="13" t="s">
        <v>43</v>
      </c>
      <c r="D2583" s="3"/>
      <c r="E2583" s="3"/>
      <c r="F2583" s="3"/>
      <c r="G2583" s="3"/>
      <c r="H2583" s="3"/>
      <c r="I2583" s="3"/>
    </row>
    <row r="2584">
      <c r="A2584" s="4" t="s">
        <v>3888</v>
      </c>
      <c r="B2584" s="13" t="s">
        <v>43</v>
      </c>
      <c r="D2584" s="3"/>
      <c r="E2584" s="3"/>
      <c r="F2584" s="3"/>
      <c r="G2584" s="3"/>
      <c r="H2584" s="3"/>
      <c r="I2584" s="3"/>
    </row>
    <row r="2585">
      <c r="A2585" s="4" t="s">
        <v>3889</v>
      </c>
      <c r="B2585" s="13" t="s">
        <v>43</v>
      </c>
      <c r="D2585" s="3"/>
      <c r="E2585" s="3"/>
      <c r="F2585" s="3"/>
      <c r="G2585" s="3"/>
      <c r="H2585" s="3"/>
      <c r="I2585" s="3"/>
    </row>
    <row r="2586">
      <c r="A2586" s="4" t="s">
        <v>3890</v>
      </c>
      <c r="B2586" s="13" t="s">
        <v>43</v>
      </c>
      <c r="D2586" s="3"/>
      <c r="E2586" s="3"/>
      <c r="F2586" s="3"/>
      <c r="G2586" s="3"/>
      <c r="H2586" s="3"/>
      <c r="I2586" s="3"/>
    </row>
    <row r="2587">
      <c r="A2587" s="4" t="s">
        <v>3891</v>
      </c>
      <c r="B2587" s="13" t="s">
        <v>43</v>
      </c>
      <c r="D2587" s="3"/>
      <c r="E2587" s="3"/>
      <c r="F2587" s="3"/>
      <c r="G2587" s="3"/>
      <c r="H2587" s="3"/>
      <c r="I2587" s="3"/>
    </row>
    <row r="2588">
      <c r="A2588" s="4" t="s">
        <v>3892</v>
      </c>
      <c r="B2588" s="13" t="s">
        <v>43</v>
      </c>
      <c r="D2588" s="3"/>
      <c r="E2588" s="3"/>
      <c r="F2588" s="3"/>
      <c r="G2588" s="3"/>
      <c r="H2588" s="3"/>
      <c r="I2588" s="3"/>
    </row>
    <row r="2589">
      <c r="A2589" s="4" t="s">
        <v>3893</v>
      </c>
      <c r="B2589" s="13" t="s">
        <v>43</v>
      </c>
      <c r="D2589" s="3"/>
      <c r="E2589" s="3"/>
      <c r="F2589" s="3"/>
      <c r="G2589" s="3"/>
      <c r="H2589" s="3"/>
      <c r="I2589" s="3"/>
    </row>
    <row r="2590">
      <c r="A2590" s="4" t="s">
        <v>3894</v>
      </c>
      <c r="B2590" s="13" t="s">
        <v>43</v>
      </c>
      <c r="D2590" s="3"/>
      <c r="E2590" s="3"/>
      <c r="F2590" s="3"/>
      <c r="G2590" s="3"/>
      <c r="H2590" s="3"/>
      <c r="I2590" s="3"/>
    </row>
    <row r="2591">
      <c r="A2591" s="4" t="s">
        <v>3895</v>
      </c>
      <c r="B2591" s="13" t="s">
        <v>43</v>
      </c>
      <c r="D2591" s="3"/>
      <c r="E2591" s="3"/>
      <c r="F2591" s="3"/>
      <c r="G2591" s="3"/>
      <c r="H2591" s="3"/>
      <c r="I2591" s="3"/>
    </row>
    <row r="2592">
      <c r="A2592" s="4" t="s">
        <v>3896</v>
      </c>
      <c r="B2592" s="13" t="s">
        <v>43</v>
      </c>
      <c r="D2592" s="3"/>
      <c r="E2592" s="3"/>
      <c r="F2592" s="3"/>
      <c r="G2592" s="3"/>
      <c r="H2592" s="3"/>
      <c r="I2592" s="3"/>
    </row>
    <row r="2593">
      <c r="A2593" s="4" t="s">
        <v>3897</v>
      </c>
      <c r="B2593" s="13" t="s">
        <v>43</v>
      </c>
      <c r="D2593" s="3"/>
      <c r="E2593" s="3"/>
      <c r="F2593" s="3"/>
      <c r="G2593" s="3"/>
      <c r="H2593" s="3"/>
      <c r="I2593" s="3"/>
    </row>
    <row r="2594">
      <c r="A2594" s="4" t="s">
        <v>3898</v>
      </c>
      <c r="B2594" s="13" t="s">
        <v>43</v>
      </c>
      <c r="D2594" s="3"/>
      <c r="E2594" s="3"/>
      <c r="F2594" s="3"/>
      <c r="G2594" s="3"/>
      <c r="H2594" s="3"/>
      <c r="I2594" s="3"/>
    </row>
    <row r="2595">
      <c r="A2595" s="4" t="s">
        <v>3899</v>
      </c>
      <c r="B2595" s="13" t="s">
        <v>43</v>
      </c>
      <c r="D2595" s="3"/>
      <c r="E2595" s="3"/>
      <c r="F2595" s="3"/>
      <c r="G2595" s="3"/>
      <c r="H2595" s="3"/>
      <c r="I2595" s="3"/>
    </row>
    <row r="2596">
      <c r="A2596" s="4" t="s">
        <v>3900</v>
      </c>
      <c r="B2596" s="13" t="s">
        <v>43</v>
      </c>
      <c r="D2596" s="3"/>
      <c r="E2596" s="3"/>
      <c r="F2596" s="3"/>
      <c r="G2596" s="3"/>
      <c r="H2596" s="3"/>
      <c r="I2596" s="3"/>
    </row>
    <row r="2597">
      <c r="A2597" s="4" t="s">
        <v>3901</v>
      </c>
      <c r="B2597" s="13" t="s">
        <v>43</v>
      </c>
      <c r="D2597" s="3"/>
      <c r="E2597" s="3"/>
      <c r="F2597" s="3"/>
      <c r="G2597" s="3"/>
      <c r="H2597" s="3"/>
      <c r="I2597" s="3"/>
    </row>
    <row r="2598">
      <c r="A2598" s="4" t="s">
        <v>3902</v>
      </c>
      <c r="B2598" s="13" t="s">
        <v>43</v>
      </c>
      <c r="D2598" s="3"/>
      <c r="E2598" s="3"/>
      <c r="F2598" s="3"/>
      <c r="G2598" s="3"/>
      <c r="H2598" s="3"/>
      <c r="I2598" s="3"/>
    </row>
    <row r="2599">
      <c r="A2599" s="4" t="s">
        <v>3903</v>
      </c>
      <c r="B2599" s="13" t="s">
        <v>43</v>
      </c>
      <c r="D2599" s="3"/>
      <c r="E2599" s="3"/>
      <c r="F2599" s="3"/>
      <c r="G2599" s="3"/>
      <c r="H2599" s="3"/>
      <c r="I2599" s="3"/>
    </row>
    <row r="2600">
      <c r="A2600" s="4" t="s">
        <v>3904</v>
      </c>
      <c r="B2600" s="13" t="s">
        <v>43</v>
      </c>
      <c r="D2600" s="3"/>
      <c r="E2600" s="3"/>
      <c r="F2600" s="3"/>
      <c r="G2600" s="3"/>
      <c r="H2600" s="3"/>
      <c r="I2600" s="3"/>
    </row>
    <row r="2601">
      <c r="A2601" s="4" t="s">
        <v>3905</v>
      </c>
      <c r="B2601" s="13" t="s">
        <v>43</v>
      </c>
      <c r="D2601" s="3"/>
      <c r="E2601" s="3"/>
      <c r="F2601" s="3"/>
      <c r="G2601" s="3"/>
      <c r="H2601" s="3"/>
      <c r="I2601" s="3"/>
    </row>
    <row r="2602">
      <c r="A2602" s="4" t="s">
        <v>3906</v>
      </c>
      <c r="B2602" s="13" t="s">
        <v>43</v>
      </c>
      <c r="D2602" s="3"/>
      <c r="E2602" s="3"/>
      <c r="F2602" s="3"/>
      <c r="G2602" s="3"/>
      <c r="H2602" s="3"/>
      <c r="I2602" s="3"/>
    </row>
    <row r="2603">
      <c r="A2603" s="4" t="s">
        <v>3907</v>
      </c>
      <c r="B2603" s="13" t="s">
        <v>43</v>
      </c>
      <c r="D2603" s="3"/>
      <c r="E2603" s="3"/>
      <c r="F2603" s="3"/>
      <c r="G2603" s="3"/>
      <c r="H2603" s="3"/>
      <c r="I2603" s="3"/>
    </row>
    <row r="2604">
      <c r="A2604" s="4" t="s">
        <v>3908</v>
      </c>
      <c r="B2604" s="13" t="s">
        <v>43</v>
      </c>
      <c r="D2604" s="3"/>
      <c r="E2604" s="3"/>
      <c r="F2604" s="3"/>
      <c r="G2604" s="3"/>
      <c r="H2604" s="3"/>
      <c r="I2604" s="3"/>
    </row>
    <row r="2605">
      <c r="A2605" s="4" t="s">
        <v>3909</v>
      </c>
      <c r="B2605" s="13" t="s">
        <v>43</v>
      </c>
      <c r="D2605" s="3"/>
      <c r="E2605" s="3"/>
      <c r="F2605" s="3"/>
      <c r="G2605" s="3"/>
      <c r="H2605" s="3"/>
      <c r="I2605" s="3"/>
    </row>
    <row r="2606">
      <c r="A2606" s="4" t="s">
        <v>3910</v>
      </c>
      <c r="B2606" s="13" t="s">
        <v>43</v>
      </c>
      <c r="D2606" s="3"/>
      <c r="E2606" s="3"/>
      <c r="F2606" s="3"/>
      <c r="G2606" s="3"/>
      <c r="H2606" s="3"/>
      <c r="I2606" s="3"/>
    </row>
    <row r="2607">
      <c r="A2607" s="4" t="s">
        <v>3911</v>
      </c>
      <c r="B2607" s="13" t="s">
        <v>43</v>
      </c>
      <c r="D2607" s="3"/>
      <c r="E2607" s="3"/>
      <c r="F2607" s="3"/>
      <c r="G2607" s="3"/>
      <c r="H2607" s="3"/>
      <c r="I2607" s="3"/>
    </row>
    <row r="2608">
      <c r="A2608" s="4" t="s">
        <v>3912</v>
      </c>
      <c r="B2608" s="13" t="s">
        <v>43</v>
      </c>
      <c r="D2608" s="3"/>
      <c r="E2608" s="3"/>
      <c r="F2608" s="3"/>
      <c r="G2608" s="3"/>
      <c r="H2608" s="3"/>
      <c r="I2608" s="3"/>
    </row>
    <row r="2609">
      <c r="A2609" s="4" t="s">
        <v>3913</v>
      </c>
      <c r="B2609" s="13" t="s">
        <v>43</v>
      </c>
      <c r="D2609" s="3"/>
      <c r="E2609" s="3"/>
      <c r="F2609" s="3"/>
      <c r="G2609" s="3"/>
      <c r="H2609" s="3"/>
      <c r="I2609" s="3"/>
    </row>
    <row r="2610">
      <c r="A2610" s="4" t="s">
        <v>3914</v>
      </c>
      <c r="B2610" s="13" t="s">
        <v>43</v>
      </c>
      <c r="D2610" s="3"/>
      <c r="E2610" s="3"/>
      <c r="F2610" s="3"/>
      <c r="G2610" s="3"/>
      <c r="H2610" s="3"/>
      <c r="I2610" s="3"/>
    </row>
    <row r="2611">
      <c r="A2611" s="4" t="s">
        <v>3915</v>
      </c>
      <c r="B2611" s="13" t="s">
        <v>43</v>
      </c>
      <c r="D2611" s="3"/>
      <c r="E2611" s="3"/>
      <c r="F2611" s="3"/>
      <c r="G2611" s="3"/>
      <c r="H2611" s="3"/>
      <c r="I2611" s="3"/>
    </row>
    <row r="2612">
      <c r="A2612" s="4" t="s">
        <v>3916</v>
      </c>
      <c r="B2612" s="13" t="s">
        <v>43</v>
      </c>
      <c r="D2612" s="3"/>
      <c r="E2612" s="3"/>
      <c r="F2612" s="3"/>
      <c r="G2612" s="3"/>
      <c r="H2612" s="3"/>
      <c r="I2612" s="3"/>
    </row>
    <row r="2613">
      <c r="A2613" s="4" t="s">
        <v>3917</v>
      </c>
      <c r="B2613" s="13" t="s">
        <v>43</v>
      </c>
      <c r="D2613" s="3"/>
      <c r="E2613" s="3"/>
      <c r="F2613" s="3"/>
      <c r="G2613" s="3"/>
      <c r="H2613" s="3"/>
      <c r="I2613" s="3"/>
    </row>
    <row r="2614">
      <c r="A2614" s="4" t="s">
        <v>3918</v>
      </c>
      <c r="B2614" s="13" t="s">
        <v>43</v>
      </c>
      <c r="D2614" s="3"/>
      <c r="E2614" s="3"/>
      <c r="F2614" s="3"/>
      <c r="G2614" s="3"/>
      <c r="H2614" s="3"/>
      <c r="I2614" s="3"/>
    </row>
    <row r="2615">
      <c r="A2615" s="4" t="s">
        <v>3919</v>
      </c>
      <c r="B2615" s="13" t="s">
        <v>43</v>
      </c>
      <c r="D2615" s="3"/>
      <c r="E2615" s="3"/>
      <c r="F2615" s="3"/>
      <c r="G2615" s="3"/>
      <c r="H2615" s="3"/>
      <c r="I2615" s="3"/>
    </row>
    <row r="2616">
      <c r="A2616" s="4" t="s">
        <v>3920</v>
      </c>
      <c r="B2616" s="13" t="s">
        <v>43</v>
      </c>
      <c r="D2616" s="3"/>
      <c r="E2616" s="3"/>
      <c r="F2616" s="3"/>
      <c r="G2616" s="3"/>
      <c r="H2616" s="3"/>
      <c r="I2616" s="3"/>
    </row>
    <row r="2617">
      <c r="A2617" s="4" t="s">
        <v>3921</v>
      </c>
      <c r="B2617" s="13" t="s">
        <v>43</v>
      </c>
      <c r="D2617" s="3"/>
      <c r="E2617" s="3"/>
      <c r="F2617" s="3"/>
      <c r="G2617" s="3"/>
      <c r="H2617" s="3"/>
      <c r="I2617" s="3"/>
    </row>
    <row r="2618">
      <c r="A2618" s="4" t="s">
        <v>3922</v>
      </c>
      <c r="B2618" s="13" t="s">
        <v>43</v>
      </c>
      <c r="D2618" s="3"/>
      <c r="E2618" s="3"/>
      <c r="F2618" s="3"/>
      <c r="G2618" s="3"/>
      <c r="H2618" s="3"/>
      <c r="I2618" s="3"/>
    </row>
    <row r="2619">
      <c r="A2619" s="4" t="s">
        <v>3923</v>
      </c>
      <c r="B2619" s="13" t="s">
        <v>43</v>
      </c>
      <c r="D2619" s="3"/>
      <c r="E2619" s="3"/>
      <c r="F2619" s="3"/>
      <c r="G2619" s="3"/>
      <c r="H2619" s="3"/>
      <c r="I2619" s="3"/>
    </row>
    <row r="2620">
      <c r="A2620" s="4" t="s">
        <v>3924</v>
      </c>
      <c r="B2620" s="13" t="s">
        <v>43</v>
      </c>
      <c r="D2620" s="3"/>
      <c r="E2620" s="3"/>
      <c r="F2620" s="3"/>
      <c r="G2620" s="3"/>
      <c r="H2620" s="3"/>
      <c r="I2620" s="3"/>
    </row>
    <row r="2621">
      <c r="A2621" s="4" t="s">
        <v>3925</v>
      </c>
      <c r="B2621" s="13" t="s">
        <v>43</v>
      </c>
      <c r="D2621" s="3"/>
      <c r="E2621" s="3"/>
      <c r="F2621" s="3"/>
      <c r="G2621" s="3"/>
      <c r="H2621" s="3"/>
      <c r="I2621" s="3"/>
    </row>
    <row r="2622">
      <c r="A2622" s="4" t="s">
        <v>3926</v>
      </c>
      <c r="B2622" s="13" t="s">
        <v>43</v>
      </c>
      <c r="D2622" s="3"/>
      <c r="E2622" s="3"/>
      <c r="F2622" s="3"/>
      <c r="G2622" s="3"/>
      <c r="H2622" s="3"/>
      <c r="I2622" s="3"/>
    </row>
    <row r="2623">
      <c r="A2623" s="4" t="s">
        <v>3927</v>
      </c>
      <c r="B2623" s="13" t="s">
        <v>43</v>
      </c>
      <c r="D2623" s="3"/>
      <c r="E2623" s="3"/>
      <c r="F2623" s="3"/>
      <c r="G2623" s="3"/>
      <c r="H2623" s="3"/>
      <c r="I2623" s="3"/>
    </row>
    <row r="2624">
      <c r="A2624" s="4" t="s">
        <v>3928</v>
      </c>
      <c r="B2624" s="13" t="s">
        <v>43</v>
      </c>
      <c r="D2624" s="3"/>
      <c r="E2624" s="3"/>
      <c r="F2624" s="3"/>
      <c r="G2624" s="3"/>
      <c r="H2624" s="3"/>
      <c r="I2624" s="3"/>
    </row>
    <row r="2625">
      <c r="A2625" s="4" t="s">
        <v>3929</v>
      </c>
      <c r="B2625" s="13" t="s">
        <v>43</v>
      </c>
      <c r="D2625" s="3"/>
      <c r="E2625" s="3"/>
      <c r="F2625" s="3"/>
      <c r="G2625" s="3"/>
      <c r="H2625" s="3"/>
      <c r="I2625" s="3"/>
    </row>
    <row r="2626">
      <c r="A2626" s="4" t="s">
        <v>3930</v>
      </c>
      <c r="B2626" s="13" t="s">
        <v>43</v>
      </c>
      <c r="D2626" s="3"/>
      <c r="E2626" s="3"/>
      <c r="F2626" s="3"/>
      <c r="G2626" s="3"/>
      <c r="H2626" s="3"/>
      <c r="I2626" s="3"/>
    </row>
    <row r="2627">
      <c r="A2627" s="4" t="s">
        <v>3931</v>
      </c>
      <c r="B2627" s="13" t="s">
        <v>43</v>
      </c>
      <c r="D2627" s="3"/>
      <c r="E2627" s="3"/>
      <c r="F2627" s="3"/>
      <c r="G2627" s="3"/>
      <c r="H2627" s="3"/>
      <c r="I2627" s="3"/>
    </row>
    <row r="2628">
      <c r="A2628" s="4" t="s">
        <v>3932</v>
      </c>
      <c r="B2628" s="13" t="s">
        <v>43</v>
      </c>
      <c r="D2628" s="3"/>
      <c r="E2628" s="3"/>
      <c r="F2628" s="3"/>
      <c r="G2628" s="3"/>
      <c r="H2628" s="3"/>
      <c r="I2628" s="3"/>
    </row>
    <row r="2629">
      <c r="A2629" s="4" t="s">
        <v>3933</v>
      </c>
      <c r="B2629" s="13" t="s">
        <v>43</v>
      </c>
      <c r="D2629" s="3"/>
      <c r="E2629" s="3"/>
      <c r="F2629" s="3"/>
      <c r="G2629" s="3"/>
      <c r="H2629" s="3"/>
      <c r="I2629" s="3"/>
    </row>
    <row r="2630">
      <c r="A2630" s="4" t="s">
        <v>3934</v>
      </c>
      <c r="B2630" s="13" t="s">
        <v>43</v>
      </c>
      <c r="D2630" s="3"/>
      <c r="E2630" s="3"/>
      <c r="F2630" s="3"/>
      <c r="G2630" s="3"/>
      <c r="H2630" s="3"/>
      <c r="I2630" s="3"/>
    </row>
    <row r="2631">
      <c r="A2631" s="4" t="s">
        <v>3935</v>
      </c>
      <c r="B2631" s="13" t="s">
        <v>43</v>
      </c>
      <c r="D2631" s="3"/>
      <c r="E2631" s="3"/>
      <c r="F2631" s="3"/>
      <c r="G2631" s="3"/>
      <c r="H2631" s="3"/>
      <c r="I2631" s="3"/>
    </row>
    <row r="2632">
      <c r="A2632" s="4" t="s">
        <v>3936</v>
      </c>
      <c r="B2632" s="13" t="s">
        <v>43</v>
      </c>
      <c r="D2632" s="3"/>
      <c r="E2632" s="3"/>
      <c r="F2632" s="3"/>
      <c r="G2632" s="3"/>
      <c r="H2632" s="3"/>
      <c r="I2632" s="3"/>
    </row>
    <row r="2633">
      <c r="A2633" s="4" t="s">
        <v>3937</v>
      </c>
      <c r="B2633" s="13" t="s">
        <v>43</v>
      </c>
      <c r="D2633" s="3"/>
      <c r="E2633" s="3"/>
      <c r="F2633" s="3"/>
      <c r="G2633" s="3"/>
      <c r="H2633" s="3"/>
      <c r="I2633" s="3"/>
    </row>
    <row r="2634">
      <c r="A2634" s="4" t="s">
        <v>3938</v>
      </c>
      <c r="B2634" s="13" t="s">
        <v>43</v>
      </c>
      <c r="D2634" s="3"/>
      <c r="E2634" s="3"/>
      <c r="F2634" s="3"/>
      <c r="G2634" s="3"/>
      <c r="H2634" s="3"/>
      <c r="I2634" s="3"/>
    </row>
    <row r="2635">
      <c r="A2635" s="4" t="s">
        <v>3939</v>
      </c>
      <c r="B2635" s="13" t="s">
        <v>43</v>
      </c>
      <c r="D2635" s="3"/>
      <c r="E2635" s="3"/>
      <c r="F2635" s="3"/>
      <c r="G2635" s="3"/>
      <c r="H2635" s="3"/>
      <c r="I2635" s="3"/>
    </row>
    <row r="2636">
      <c r="A2636" s="4" t="s">
        <v>3940</v>
      </c>
      <c r="B2636" s="13" t="s">
        <v>43</v>
      </c>
      <c r="D2636" s="3"/>
      <c r="E2636" s="3"/>
      <c r="F2636" s="3"/>
      <c r="G2636" s="3"/>
      <c r="H2636" s="3"/>
      <c r="I2636" s="3"/>
    </row>
    <row r="2637">
      <c r="A2637" s="4" t="s">
        <v>3941</v>
      </c>
      <c r="B2637" s="13" t="s">
        <v>43</v>
      </c>
      <c r="D2637" s="3"/>
      <c r="E2637" s="3"/>
      <c r="F2637" s="3"/>
      <c r="G2637" s="3"/>
      <c r="H2637" s="3"/>
      <c r="I2637" s="3"/>
    </row>
    <row r="2638">
      <c r="A2638" s="4" t="s">
        <v>3942</v>
      </c>
      <c r="B2638" s="13" t="s">
        <v>43</v>
      </c>
      <c r="D2638" s="3"/>
      <c r="E2638" s="3"/>
      <c r="F2638" s="3"/>
      <c r="G2638" s="3"/>
      <c r="H2638" s="3"/>
      <c r="I2638" s="3"/>
    </row>
    <row r="2639">
      <c r="A2639" s="4" t="s">
        <v>3943</v>
      </c>
      <c r="B2639" s="13" t="s">
        <v>43</v>
      </c>
      <c r="D2639" s="3"/>
      <c r="E2639" s="3"/>
      <c r="F2639" s="3"/>
      <c r="G2639" s="3"/>
      <c r="H2639" s="3"/>
      <c r="I2639" s="3"/>
    </row>
    <row r="2640">
      <c r="A2640" s="4" t="s">
        <v>3944</v>
      </c>
      <c r="B2640" s="13" t="s">
        <v>43</v>
      </c>
      <c r="D2640" s="3"/>
      <c r="E2640" s="3"/>
      <c r="F2640" s="3"/>
      <c r="G2640" s="3"/>
      <c r="H2640" s="3"/>
      <c r="I2640" s="3"/>
    </row>
    <row r="2641">
      <c r="A2641" s="4" t="s">
        <v>3945</v>
      </c>
      <c r="B2641" s="13" t="s">
        <v>43</v>
      </c>
      <c r="D2641" s="3"/>
      <c r="E2641" s="3"/>
      <c r="F2641" s="3"/>
      <c r="G2641" s="3"/>
      <c r="H2641" s="3"/>
      <c r="I2641" s="3"/>
    </row>
    <row r="2642">
      <c r="A2642" s="4" t="s">
        <v>3946</v>
      </c>
      <c r="B2642" s="13" t="s">
        <v>43</v>
      </c>
      <c r="D2642" s="3"/>
      <c r="E2642" s="3"/>
      <c r="F2642" s="3"/>
      <c r="G2642" s="3"/>
      <c r="H2642" s="3"/>
      <c r="I2642" s="3"/>
    </row>
    <row r="2643">
      <c r="A2643" s="4" t="s">
        <v>3947</v>
      </c>
      <c r="B2643" s="13" t="s">
        <v>43</v>
      </c>
      <c r="D2643" s="3"/>
      <c r="E2643" s="3"/>
      <c r="F2643" s="3"/>
      <c r="G2643" s="3"/>
      <c r="H2643" s="3"/>
      <c r="I2643" s="3"/>
    </row>
    <row r="2644">
      <c r="A2644" s="4" t="s">
        <v>3948</v>
      </c>
      <c r="B2644" s="13" t="s">
        <v>43</v>
      </c>
      <c r="D2644" s="3"/>
      <c r="E2644" s="3"/>
      <c r="F2644" s="3"/>
      <c r="G2644" s="3"/>
      <c r="H2644" s="3"/>
      <c r="I2644" s="3"/>
    </row>
    <row r="2645">
      <c r="A2645" s="4" t="s">
        <v>3949</v>
      </c>
      <c r="B2645" s="13" t="s">
        <v>43</v>
      </c>
      <c r="D2645" s="3"/>
      <c r="E2645" s="3"/>
      <c r="F2645" s="3"/>
      <c r="G2645" s="3"/>
      <c r="H2645" s="3"/>
      <c r="I2645" s="3"/>
    </row>
    <row r="2646">
      <c r="A2646" s="4" t="s">
        <v>3950</v>
      </c>
      <c r="B2646" s="13" t="s">
        <v>43</v>
      </c>
      <c r="D2646" s="3"/>
      <c r="E2646" s="3"/>
      <c r="F2646" s="3"/>
      <c r="G2646" s="3"/>
      <c r="H2646" s="3"/>
      <c r="I2646" s="3"/>
    </row>
    <row r="2647">
      <c r="A2647" s="4" t="s">
        <v>3951</v>
      </c>
      <c r="B2647" s="13" t="s">
        <v>43</v>
      </c>
      <c r="D2647" s="3"/>
      <c r="E2647" s="3"/>
      <c r="F2647" s="3"/>
      <c r="G2647" s="3"/>
      <c r="H2647" s="3"/>
      <c r="I2647" s="3"/>
    </row>
    <row r="2648">
      <c r="A2648" s="4" t="s">
        <v>3952</v>
      </c>
      <c r="B2648" s="13" t="s">
        <v>43</v>
      </c>
      <c r="D2648" s="3"/>
      <c r="E2648" s="3"/>
      <c r="F2648" s="3"/>
      <c r="G2648" s="3"/>
      <c r="H2648" s="3"/>
      <c r="I2648" s="3"/>
    </row>
    <row r="2649">
      <c r="A2649" s="4" t="s">
        <v>3953</v>
      </c>
      <c r="B2649" s="13" t="s">
        <v>43</v>
      </c>
      <c r="D2649" s="3"/>
      <c r="E2649" s="3"/>
      <c r="F2649" s="3"/>
      <c r="G2649" s="3"/>
      <c r="H2649" s="3"/>
      <c r="I2649" s="3"/>
    </row>
    <row r="2650">
      <c r="A2650" s="4" t="s">
        <v>3954</v>
      </c>
      <c r="B2650" s="13" t="s">
        <v>43</v>
      </c>
      <c r="D2650" s="3"/>
      <c r="E2650" s="3"/>
      <c r="F2650" s="3"/>
      <c r="G2650" s="3"/>
      <c r="H2650" s="3"/>
      <c r="I2650" s="3"/>
    </row>
    <row r="2651">
      <c r="A2651" s="4" t="s">
        <v>3955</v>
      </c>
      <c r="B2651" s="13" t="s">
        <v>43</v>
      </c>
      <c r="D2651" s="3"/>
      <c r="E2651" s="3"/>
      <c r="F2651" s="3"/>
      <c r="G2651" s="3"/>
      <c r="H2651" s="3"/>
      <c r="I2651" s="3"/>
    </row>
    <row r="2652">
      <c r="A2652" s="4" t="s">
        <v>3956</v>
      </c>
      <c r="B2652" s="13" t="s">
        <v>43</v>
      </c>
      <c r="D2652" s="3"/>
      <c r="E2652" s="3"/>
      <c r="F2652" s="3"/>
      <c r="G2652" s="3"/>
      <c r="H2652" s="3"/>
      <c r="I2652" s="3"/>
    </row>
    <row r="2653">
      <c r="A2653" s="4" t="s">
        <v>3957</v>
      </c>
      <c r="B2653" s="13" t="s">
        <v>43</v>
      </c>
      <c r="D2653" s="3"/>
      <c r="E2653" s="3"/>
      <c r="F2653" s="3"/>
      <c r="G2653" s="3"/>
      <c r="H2653" s="3"/>
      <c r="I2653" s="3"/>
    </row>
    <row r="2654">
      <c r="A2654" s="4" t="s">
        <v>3958</v>
      </c>
      <c r="B2654" s="13" t="s">
        <v>43</v>
      </c>
      <c r="D2654" s="3"/>
      <c r="E2654" s="3"/>
      <c r="F2654" s="3"/>
      <c r="G2654" s="3"/>
      <c r="H2654" s="3"/>
      <c r="I2654" s="3"/>
    </row>
    <row r="2655">
      <c r="A2655" s="4" t="s">
        <v>3959</v>
      </c>
      <c r="B2655" s="13" t="s">
        <v>43</v>
      </c>
      <c r="D2655" s="3"/>
      <c r="E2655" s="3"/>
      <c r="F2655" s="3"/>
      <c r="G2655" s="3"/>
      <c r="H2655" s="3"/>
      <c r="I2655" s="3"/>
    </row>
    <row r="2656">
      <c r="A2656" s="4" t="s">
        <v>3960</v>
      </c>
      <c r="B2656" s="13" t="s">
        <v>43</v>
      </c>
      <c r="D2656" s="3"/>
      <c r="E2656" s="3"/>
      <c r="F2656" s="3"/>
      <c r="G2656" s="3"/>
      <c r="H2656" s="3"/>
      <c r="I2656" s="3"/>
    </row>
    <row r="2657">
      <c r="A2657" s="4" t="s">
        <v>3961</v>
      </c>
      <c r="B2657" s="13" t="s">
        <v>43</v>
      </c>
      <c r="D2657" s="3"/>
      <c r="E2657" s="3"/>
      <c r="F2657" s="3"/>
      <c r="G2657" s="3"/>
      <c r="H2657" s="3"/>
      <c r="I2657" s="3"/>
    </row>
    <row r="2658">
      <c r="A2658" s="4" t="s">
        <v>3962</v>
      </c>
      <c r="B2658" s="13" t="s">
        <v>43</v>
      </c>
      <c r="D2658" s="3"/>
      <c r="E2658" s="3"/>
      <c r="F2658" s="3"/>
      <c r="G2658" s="3"/>
      <c r="H2658" s="3"/>
      <c r="I2658" s="3"/>
    </row>
    <row r="2659">
      <c r="A2659" s="4" t="s">
        <v>3963</v>
      </c>
      <c r="B2659" s="13" t="s">
        <v>43</v>
      </c>
      <c r="D2659" s="3"/>
      <c r="E2659" s="3"/>
      <c r="F2659" s="3"/>
      <c r="G2659" s="3"/>
      <c r="H2659" s="3"/>
      <c r="I2659" s="3"/>
    </row>
    <row r="2660">
      <c r="A2660" s="4" t="s">
        <v>3964</v>
      </c>
      <c r="B2660" s="13" t="s">
        <v>43</v>
      </c>
      <c r="D2660" s="3"/>
      <c r="E2660" s="3"/>
      <c r="F2660" s="3"/>
      <c r="G2660" s="3"/>
      <c r="H2660" s="3"/>
      <c r="I2660" s="3"/>
    </row>
    <row r="2661">
      <c r="A2661" s="4" t="s">
        <v>3965</v>
      </c>
      <c r="B2661" s="13" t="s">
        <v>43</v>
      </c>
      <c r="D2661" s="3"/>
      <c r="E2661" s="3"/>
      <c r="F2661" s="3"/>
      <c r="G2661" s="3"/>
      <c r="H2661" s="3"/>
      <c r="I2661" s="3"/>
    </row>
    <row r="2662">
      <c r="A2662" s="4" t="s">
        <v>3966</v>
      </c>
      <c r="B2662" s="13" t="s">
        <v>43</v>
      </c>
      <c r="D2662" s="3"/>
      <c r="E2662" s="3"/>
      <c r="F2662" s="3"/>
      <c r="G2662" s="3"/>
      <c r="H2662" s="3"/>
      <c r="I2662" s="3"/>
    </row>
    <row r="2663">
      <c r="A2663" s="4" t="s">
        <v>3967</v>
      </c>
      <c r="B2663" s="13" t="s">
        <v>43</v>
      </c>
      <c r="D2663" s="3"/>
      <c r="E2663" s="3"/>
      <c r="F2663" s="3"/>
      <c r="G2663" s="3"/>
      <c r="H2663" s="3"/>
      <c r="I2663" s="3"/>
    </row>
    <row r="2664">
      <c r="A2664" s="4" t="s">
        <v>3968</v>
      </c>
      <c r="B2664" s="13" t="s">
        <v>43</v>
      </c>
      <c r="D2664" s="3"/>
      <c r="E2664" s="3"/>
      <c r="F2664" s="3"/>
      <c r="G2664" s="3"/>
      <c r="H2664" s="3"/>
      <c r="I2664" s="3"/>
    </row>
    <row r="2665">
      <c r="A2665" s="4" t="s">
        <v>3969</v>
      </c>
      <c r="B2665" s="13" t="s">
        <v>43</v>
      </c>
      <c r="D2665" s="3"/>
      <c r="E2665" s="3"/>
      <c r="F2665" s="3"/>
      <c r="G2665" s="3"/>
      <c r="H2665" s="3"/>
      <c r="I2665" s="3"/>
    </row>
    <row r="2666">
      <c r="A2666" s="4" t="s">
        <v>3970</v>
      </c>
      <c r="B2666" s="13" t="s">
        <v>43</v>
      </c>
      <c r="D2666" s="3"/>
      <c r="E2666" s="3"/>
      <c r="F2666" s="3"/>
      <c r="G2666" s="3"/>
      <c r="H2666" s="3"/>
      <c r="I2666" s="3"/>
    </row>
    <row r="2667">
      <c r="A2667" s="4" t="s">
        <v>3971</v>
      </c>
      <c r="B2667" s="13" t="s">
        <v>43</v>
      </c>
      <c r="D2667" s="3"/>
      <c r="E2667" s="3"/>
      <c r="F2667" s="3"/>
      <c r="G2667" s="3"/>
      <c r="H2667" s="3"/>
      <c r="I2667" s="3"/>
    </row>
    <row r="2668">
      <c r="A2668" s="4" t="s">
        <v>3972</v>
      </c>
      <c r="B2668" s="13" t="s">
        <v>43</v>
      </c>
      <c r="D2668" s="3"/>
      <c r="E2668" s="3"/>
      <c r="F2668" s="3"/>
      <c r="G2668" s="3"/>
      <c r="H2668" s="3"/>
      <c r="I2668" s="3"/>
    </row>
    <row r="2669">
      <c r="A2669" s="4" t="s">
        <v>3973</v>
      </c>
      <c r="B2669" s="13" t="s">
        <v>43</v>
      </c>
      <c r="D2669" s="3"/>
      <c r="E2669" s="3"/>
      <c r="F2669" s="3"/>
      <c r="G2669" s="3"/>
      <c r="H2669" s="3"/>
      <c r="I2669" s="3"/>
    </row>
    <row r="2670">
      <c r="A2670" s="4" t="s">
        <v>3974</v>
      </c>
      <c r="B2670" s="13" t="s">
        <v>43</v>
      </c>
      <c r="D2670" s="3"/>
      <c r="E2670" s="3"/>
      <c r="F2670" s="3"/>
      <c r="G2670" s="3"/>
      <c r="H2670" s="3"/>
      <c r="I2670" s="3"/>
    </row>
    <row r="2671">
      <c r="A2671" s="4" t="s">
        <v>3975</v>
      </c>
      <c r="B2671" s="13" t="s">
        <v>43</v>
      </c>
      <c r="D2671" s="3"/>
      <c r="E2671" s="3"/>
      <c r="F2671" s="3"/>
      <c r="G2671" s="3"/>
      <c r="H2671" s="3"/>
      <c r="I2671" s="3"/>
    </row>
    <row r="2672">
      <c r="A2672" s="4" t="s">
        <v>3976</v>
      </c>
      <c r="B2672" s="13" t="s">
        <v>43</v>
      </c>
      <c r="D2672" s="3"/>
      <c r="E2672" s="3"/>
      <c r="F2672" s="3"/>
      <c r="G2672" s="3"/>
      <c r="H2672" s="3"/>
      <c r="I2672" s="3"/>
    </row>
    <row r="2673">
      <c r="A2673" s="4" t="s">
        <v>3977</v>
      </c>
      <c r="B2673" s="13" t="s">
        <v>43</v>
      </c>
      <c r="D2673" s="3"/>
      <c r="E2673" s="3"/>
      <c r="F2673" s="3"/>
      <c r="G2673" s="3"/>
      <c r="H2673" s="3"/>
      <c r="I2673" s="3"/>
    </row>
    <row r="2674">
      <c r="A2674" s="4" t="s">
        <v>3978</v>
      </c>
      <c r="B2674" s="13" t="s">
        <v>43</v>
      </c>
      <c r="D2674" s="3"/>
      <c r="E2674" s="3"/>
      <c r="F2674" s="3"/>
      <c r="G2674" s="3"/>
      <c r="H2674" s="3"/>
      <c r="I2674" s="3"/>
    </row>
    <row r="2675">
      <c r="A2675" s="4" t="s">
        <v>3979</v>
      </c>
      <c r="B2675" s="13" t="s">
        <v>43</v>
      </c>
      <c r="D2675" s="3"/>
      <c r="E2675" s="3"/>
      <c r="F2675" s="3"/>
      <c r="G2675" s="3"/>
      <c r="H2675" s="3"/>
      <c r="I2675" s="3"/>
    </row>
    <row r="2676">
      <c r="A2676" s="4" t="s">
        <v>3980</v>
      </c>
      <c r="B2676" s="13" t="s">
        <v>43</v>
      </c>
      <c r="D2676" s="3"/>
      <c r="E2676" s="3"/>
      <c r="F2676" s="3"/>
      <c r="G2676" s="3"/>
      <c r="H2676" s="3"/>
      <c r="I2676" s="3"/>
    </row>
    <row r="2677">
      <c r="A2677" s="4" t="s">
        <v>3981</v>
      </c>
      <c r="B2677" s="13" t="s">
        <v>43</v>
      </c>
      <c r="D2677" s="3"/>
      <c r="E2677" s="3"/>
      <c r="F2677" s="3"/>
      <c r="G2677" s="3"/>
      <c r="H2677" s="3"/>
      <c r="I2677" s="3"/>
    </row>
    <row r="2678">
      <c r="A2678" s="4" t="s">
        <v>3982</v>
      </c>
      <c r="B2678" s="13" t="s">
        <v>43</v>
      </c>
      <c r="D2678" s="3"/>
      <c r="E2678" s="3"/>
      <c r="F2678" s="3"/>
      <c r="G2678" s="3"/>
      <c r="H2678" s="3"/>
      <c r="I2678" s="3"/>
    </row>
    <row r="2679">
      <c r="A2679" s="4" t="s">
        <v>3983</v>
      </c>
      <c r="B2679" s="13" t="s">
        <v>43</v>
      </c>
      <c r="D2679" s="3"/>
      <c r="E2679" s="3"/>
      <c r="F2679" s="3"/>
      <c r="G2679" s="3"/>
      <c r="H2679" s="3"/>
      <c r="I2679" s="3"/>
    </row>
    <row r="2680">
      <c r="A2680" s="4" t="s">
        <v>3984</v>
      </c>
      <c r="B2680" s="13" t="s">
        <v>43</v>
      </c>
      <c r="D2680" s="3"/>
      <c r="E2680" s="3"/>
      <c r="F2680" s="3"/>
      <c r="G2680" s="3"/>
      <c r="H2680" s="3"/>
      <c r="I2680" s="3"/>
    </row>
    <row r="2681">
      <c r="A2681" s="4" t="s">
        <v>3985</v>
      </c>
      <c r="B2681" s="13" t="s">
        <v>43</v>
      </c>
      <c r="D2681" s="3"/>
      <c r="E2681" s="3"/>
      <c r="F2681" s="3"/>
      <c r="G2681" s="3"/>
      <c r="H2681" s="3"/>
      <c r="I2681" s="3"/>
    </row>
    <row r="2682">
      <c r="A2682" s="4" t="s">
        <v>3986</v>
      </c>
      <c r="B2682" s="13" t="s">
        <v>43</v>
      </c>
      <c r="D2682" s="3"/>
      <c r="E2682" s="3"/>
      <c r="F2682" s="3"/>
      <c r="G2682" s="3"/>
      <c r="H2682" s="3"/>
      <c r="I2682" s="3"/>
    </row>
    <row r="2683">
      <c r="A2683" s="4" t="s">
        <v>3987</v>
      </c>
      <c r="B2683" s="13" t="s">
        <v>43</v>
      </c>
      <c r="D2683" s="3"/>
      <c r="E2683" s="3"/>
      <c r="F2683" s="3"/>
      <c r="G2683" s="3"/>
      <c r="H2683" s="3"/>
      <c r="I2683" s="3"/>
    </row>
    <row r="2684">
      <c r="A2684" s="4" t="s">
        <v>3988</v>
      </c>
      <c r="B2684" s="13" t="s">
        <v>43</v>
      </c>
      <c r="D2684" s="3"/>
      <c r="E2684" s="3"/>
      <c r="F2684" s="3"/>
      <c r="G2684" s="3"/>
      <c r="H2684" s="3"/>
      <c r="I2684" s="3"/>
    </row>
    <row r="2685">
      <c r="A2685" s="4" t="s">
        <v>3989</v>
      </c>
      <c r="B2685" s="13" t="s">
        <v>43</v>
      </c>
      <c r="D2685" s="3"/>
      <c r="E2685" s="3"/>
      <c r="F2685" s="3"/>
      <c r="G2685" s="3"/>
      <c r="H2685" s="3"/>
      <c r="I2685" s="3"/>
    </row>
    <row r="2686">
      <c r="A2686" s="4" t="s">
        <v>3990</v>
      </c>
      <c r="B2686" s="13" t="s">
        <v>43</v>
      </c>
      <c r="D2686" s="3"/>
      <c r="E2686" s="3"/>
      <c r="F2686" s="3"/>
      <c r="G2686" s="3"/>
      <c r="H2686" s="3"/>
      <c r="I2686" s="3"/>
    </row>
    <row r="2687">
      <c r="A2687" s="4" t="s">
        <v>3991</v>
      </c>
      <c r="B2687" s="13" t="s">
        <v>43</v>
      </c>
      <c r="D2687" s="3"/>
      <c r="E2687" s="3"/>
      <c r="F2687" s="3"/>
      <c r="G2687" s="3"/>
      <c r="H2687" s="3"/>
      <c r="I2687" s="3"/>
    </row>
    <row r="2688">
      <c r="A2688" s="4" t="s">
        <v>3992</v>
      </c>
      <c r="B2688" s="13" t="s">
        <v>43</v>
      </c>
      <c r="D2688" s="3"/>
      <c r="E2688" s="3"/>
      <c r="F2688" s="3"/>
      <c r="G2688" s="3"/>
      <c r="H2688" s="3"/>
      <c r="I2688" s="3"/>
    </row>
    <row r="2689">
      <c r="A2689" s="4" t="s">
        <v>3993</v>
      </c>
      <c r="B2689" s="13" t="s">
        <v>43</v>
      </c>
      <c r="D2689" s="3"/>
      <c r="E2689" s="3"/>
      <c r="F2689" s="3"/>
      <c r="G2689" s="3"/>
      <c r="H2689" s="3"/>
      <c r="I2689" s="3"/>
    </row>
    <row r="2690">
      <c r="A2690" s="4" t="s">
        <v>3994</v>
      </c>
      <c r="B2690" s="13" t="s">
        <v>43</v>
      </c>
      <c r="D2690" s="3"/>
      <c r="E2690" s="3"/>
      <c r="F2690" s="3"/>
      <c r="G2690" s="3"/>
      <c r="H2690" s="3"/>
      <c r="I2690" s="3"/>
    </row>
    <row r="2691">
      <c r="A2691" s="4" t="s">
        <v>3995</v>
      </c>
      <c r="B2691" s="13" t="s">
        <v>43</v>
      </c>
      <c r="D2691" s="3"/>
      <c r="E2691" s="3"/>
      <c r="F2691" s="3"/>
      <c r="G2691" s="3"/>
      <c r="H2691" s="3"/>
      <c r="I2691" s="3"/>
    </row>
    <row r="2692">
      <c r="A2692" s="4" t="s">
        <v>3996</v>
      </c>
      <c r="B2692" s="13" t="s">
        <v>43</v>
      </c>
      <c r="D2692" s="3"/>
      <c r="E2692" s="3"/>
      <c r="F2692" s="3"/>
      <c r="G2692" s="3"/>
      <c r="H2692" s="3"/>
      <c r="I2692" s="3"/>
    </row>
    <row r="2693">
      <c r="A2693" s="4" t="s">
        <v>3997</v>
      </c>
      <c r="B2693" s="13" t="s">
        <v>43</v>
      </c>
      <c r="D2693" s="3"/>
      <c r="E2693" s="3"/>
      <c r="F2693" s="3"/>
      <c r="G2693" s="3"/>
      <c r="H2693" s="3"/>
      <c r="I2693" s="3"/>
    </row>
    <row r="2694">
      <c r="A2694" s="4" t="s">
        <v>3998</v>
      </c>
      <c r="B2694" s="13" t="s">
        <v>43</v>
      </c>
      <c r="D2694" s="3"/>
      <c r="E2694" s="3"/>
      <c r="F2694" s="3"/>
      <c r="G2694" s="3"/>
      <c r="H2694" s="3"/>
      <c r="I2694" s="3"/>
    </row>
    <row r="2695">
      <c r="A2695" s="4" t="s">
        <v>3999</v>
      </c>
      <c r="B2695" s="13" t="s">
        <v>43</v>
      </c>
      <c r="D2695" s="3"/>
      <c r="E2695" s="3"/>
      <c r="F2695" s="3"/>
      <c r="G2695" s="3"/>
      <c r="H2695" s="3"/>
      <c r="I2695" s="3"/>
    </row>
    <row r="2696">
      <c r="A2696" s="4" t="s">
        <v>4000</v>
      </c>
      <c r="B2696" s="13" t="s">
        <v>43</v>
      </c>
      <c r="D2696" s="3"/>
      <c r="E2696" s="3"/>
      <c r="F2696" s="3"/>
      <c r="G2696" s="3"/>
      <c r="H2696" s="3"/>
      <c r="I2696" s="3"/>
    </row>
    <row r="2697">
      <c r="A2697" s="4" t="s">
        <v>4001</v>
      </c>
      <c r="B2697" s="13" t="s">
        <v>43</v>
      </c>
      <c r="D2697" s="3"/>
      <c r="E2697" s="3"/>
      <c r="F2697" s="3"/>
      <c r="G2697" s="3"/>
      <c r="H2697" s="3"/>
      <c r="I2697" s="3"/>
    </row>
    <row r="2698">
      <c r="A2698" s="4" t="s">
        <v>4002</v>
      </c>
      <c r="B2698" s="13" t="s">
        <v>43</v>
      </c>
      <c r="D2698" s="3"/>
      <c r="E2698" s="3"/>
      <c r="F2698" s="3"/>
      <c r="G2698" s="3"/>
      <c r="H2698" s="3"/>
      <c r="I2698" s="3"/>
    </row>
    <row r="2699">
      <c r="A2699" s="4" t="s">
        <v>4003</v>
      </c>
      <c r="B2699" s="13" t="s">
        <v>43</v>
      </c>
      <c r="D2699" s="3"/>
      <c r="E2699" s="3"/>
      <c r="F2699" s="3"/>
      <c r="G2699" s="3"/>
      <c r="H2699" s="3"/>
      <c r="I2699" s="3"/>
    </row>
    <row r="2700">
      <c r="A2700" s="4" t="s">
        <v>4004</v>
      </c>
      <c r="B2700" s="13" t="s">
        <v>43</v>
      </c>
      <c r="D2700" s="3"/>
      <c r="E2700" s="3"/>
      <c r="F2700" s="3"/>
      <c r="G2700" s="3"/>
      <c r="H2700" s="3"/>
      <c r="I2700" s="3"/>
    </row>
    <row r="2701">
      <c r="A2701" s="4" t="s">
        <v>4005</v>
      </c>
      <c r="B2701" s="13" t="s">
        <v>43</v>
      </c>
      <c r="D2701" s="3"/>
      <c r="E2701" s="3"/>
      <c r="F2701" s="3"/>
      <c r="G2701" s="3"/>
      <c r="H2701" s="3"/>
      <c r="I2701" s="3"/>
    </row>
    <row r="2702">
      <c r="A2702" s="4" t="s">
        <v>4006</v>
      </c>
      <c r="B2702" s="13" t="s">
        <v>43</v>
      </c>
      <c r="D2702" s="3"/>
      <c r="E2702" s="3"/>
      <c r="F2702" s="3"/>
      <c r="G2702" s="3"/>
      <c r="H2702" s="3"/>
      <c r="I2702" s="3"/>
    </row>
    <row r="2703">
      <c r="A2703" s="4" t="s">
        <v>4007</v>
      </c>
      <c r="B2703" s="13" t="s">
        <v>43</v>
      </c>
      <c r="D2703" s="3"/>
      <c r="E2703" s="3"/>
      <c r="F2703" s="3"/>
      <c r="G2703" s="3"/>
      <c r="H2703" s="3"/>
      <c r="I2703" s="3"/>
    </row>
    <row r="2704">
      <c r="A2704" s="4" t="s">
        <v>4008</v>
      </c>
      <c r="B2704" s="13" t="s">
        <v>43</v>
      </c>
      <c r="D2704" s="3"/>
      <c r="E2704" s="3"/>
      <c r="F2704" s="3"/>
      <c r="G2704" s="3"/>
      <c r="H2704" s="3"/>
      <c r="I2704" s="3"/>
    </row>
    <row r="2705">
      <c r="A2705" s="4" t="s">
        <v>4009</v>
      </c>
      <c r="B2705" s="13" t="s">
        <v>43</v>
      </c>
      <c r="D2705" s="3"/>
      <c r="E2705" s="3"/>
      <c r="F2705" s="3"/>
      <c r="G2705" s="3"/>
      <c r="H2705" s="3"/>
      <c r="I2705" s="3"/>
    </row>
    <row r="2706">
      <c r="A2706" s="4" t="s">
        <v>4010</v>
      </c>
      <c r="B2706" s="13" t="s">
        <v>43</v>
      </c>
      <c r="D2706" s="3"/>
      <c r="E2706" s="3"/>
      <c r="F2706" s="3"/>
      <c r="G2706" s="3"/>
      <c r="H2706" s="3"/>
      <c r="I2706" s="3"/>
    </row>
    <row r="2707">
      <c r="A2707" s="4" t="s">
        <v>4011</v>
      </c>
      <c r="B2707" s="13" t="s">
        <v>43</v>
      </c>
      <c r="D2707" s="3"/>
      <c r="E2707" s="3"/>
      <c r="F2707" s="3"/>
      <c r="G2707" s="3"/>
      <c r="H2707" s="3"/>
      <c r="I2707" s="3"/>
    </row>
    <row r="2708">
      <c r="A2708" s="4" t="s">
        <v>4012</v>
      </c>
      <c r="B2708" s="13" t="s">
        <v>43</v>
      </c>
      <c r="D2708" s="3"/>
      <c r="E2708" s="3"/>
      <c r="F2708" s="3"/>
      <c r="G2708" s="3"/>
      <c r="H2708" s="3"/>
      <c r="I2708" s="3"/>
    </row>
    <row r="2709">
      <c r="A2709" s="4" t="s">
        <v>4013</v>
      </c>
      <c r="B2709" s="13" t="s">
        <v>43</v>
      </c>
      <c r="D2709" s="3"/>
      <c r="E2709" s="3"/>
      <c r="F2709" s="3"/>
      <c r="G2709" s="3"/>
      <c r="H2709" s="3"/>
      <c r="I2709" s="3"/>
    </row>
    <row r="2710">
      <c r="A2710" s="4" t="s">
        <v>4014</v>
      </c>
      <c r="B2710" s="13" t="s">
        <v>43</v>
      </c>
      <c r="D2710" s="3"/>
      <c r="E2710" s="3"/>
      <c r="F2710" s="3"/>
      <c r="G2710" s="3"/>
      <c r="H2710" s="3"/>
      <c r="I2710" s="3"/>
    </row>
    <row r="2711">
      <c r="A2711" s="4" t="s">
        <v>4015</v>
      </c>
      <c r="B2711" s="13" t="s">
        <v>43</v>
      </c>
      <c r="D2711" s="3"/>
      <c r="E2711" s="3"/>
      <c r="F2711" s="3"/>
      <c r="G2711" s="3"/>
      <c r="H2711" s="3"/>
      <c r="I2711" s="3"/>
    </row>
    <row r="2712">
      <c r="A2712" s="4" t="s">
        <v>4016</v>
      </c>
      <c r="B2712" s="13" t="s">
        <v>43</v>
      </c>
      <c r="D2712" s="3"/>
      <c r="E2712" s="3"/>
      <c r="F2712" s="3"/>
      <c r="G2712" s="3"/>
      <c r="H2712" s="3"/>
      <c r="I2712" s="3"/>
    </row>
    <row r="2713">
      <c r="A2713" s="4" t="s">
        <v>4017</v>
      </c>
      <c r="B2713" s="13" t="s">
        <v>43</v>
      </c>
      <c r="D2713" s="3"/>
      <c r="E2713" s="3"/>
      <c r="F2713" s="3"/>
      <c r="G2713" s="3"/>
      <c r="H2713" s="3"/>
      <c r="I2713" s="3"/>
    </row>
    <row r="2714">
      <c r="A2714" s="4" t="s">
        <v>4018</v>
      </c>
      <c r="B2714" s="13" t="s">
        <v>43</v>
      </c>
      <c r="D2714" s="3"/>
      <c r="E2714" s="3"/>
      <c r="F2714" s="3"/>
      <c r="G2714" s="3"/>
      <c r="H2714" s="3"/>
      <c r="I2714" s="3"/>
    </row>
    <row r="2715">
      <c r="A2715" s="4" t="s">
        <v>4019</v>
      </c>
      <c r="B2715" s="13" t="s">
        <v>43</v>
      </c>
      <c r="D2715" s="3"/>
      <c r="E2715" s="3"/>
      <c r="F2715" s="3"/>
      <c r="G2715" s="3"/>
      <c r="H2715" s="3"/>
      <c r="I2715" s="3"/>
    </row>
    <row r="2716">
      <c r="A2716" s="4" t="s">
        <v>4020</v>
      </c>
      <c r="B2716" s="13" t="s">
        <v>43</v>
      </c>
      <c r="D2716" s="3"/>
      <c r="E2716" s="3"/>
      <c r="F2716" s="3"/>
      <c r="G2716" s="3"/>
      <c r="H2716" s="3"/>
      <c r="I2716" s="3"/>
    </row>
    <row r="2717">
      <c r="A2717" s="4" t="s">
        <v>4021</v>
      </c>
      <c r="B2717" s="13" t="s">
        <v>43</v>
      </c>
      <c r="D2717" s="3"/>
      <c r="E2717" s="3"/>
      <c r="F2717" s="3"/>
      <c r="G2717" s="3"/>
      <c r="H2717" s="3"/>
      <c r="I2717" s="3"/>
    </row>
    <row r="2718">
      <c r="A2718" s="4" t="s">
        <v>4022</v>
      </c>
      <c r="B2718" s="13" t="s">
        <v>43</v>
      </c>
      <c r="D2718" s="3"/>
      <c r="E2718" s="3"/>
      <c r="F2718" s="3"/>
      <c r="G2718" s="3"/>
      <c r="H2718" s="3"/>
      <c r="I2718" s="3"/>
    </row>
    <row r="2719">
      <c r="A2719" s="4" t="s">
        <v>4023</v>
      </c>
      <c r="B2719" s="13" t="s">
        <v>43</v>
      </c>
      <c r="D2719" s="3"/>
      <c r="E2719" s="3"/>
      <c r="F2719" s="3"/>
      <c r="G2719" s="3"/>
      <c r="H2719" s="3"/>
      <c r="I2719" s="3"/>
    </row>
    <row r="2720">
      <c r="A2720" s="4" t="s">
        <v>4024</v>
      </c>
      <c r="B2720" s="13" t="s">
        <v>43</v>
      </c>
      <c r="D2720" s="3"/>
      <c r="E2720" s="3"/>
      <c r="F2720" s="3"/>
      <c r="G2720" s="3"/>
      <c r="H2720" s="3"/>
      <c r="I2720" s="3"/>
    </row>
    <row r="2721">
      <c r="A2721" s="4" t="s">
        <v>4025</v>
      </c>
      <c r="B2721" s="13" t="s">
        <v>43</v>
      </c>
      <c r="D2721" s="3"/>
      <c r="E2721" s="3"/>
      <c r="F2721" s="3"/>
      <c r="G2721" s="3"/>
      <c r="H2721" s="3"/>
      <c r="I2721" s="3"/>
    </row>
    <row r="2722">
      <c r="A2722" s="4" t="s">
        <v>4026</v>
      </c>
      <c r="B2722" s="13" t="s">
        <v>43</v>
      </c>
      <c r="D2722" s="3"/>
      <c r="E2722" s="3"/>
      <c r="F2722" s="3"/>
      <c r="G2722" s="3"/>
      <c r="H2722" s="3"/>
      <c r="I2722" s="3"/>
    </row>
    <row r="2723">
      <c r="A2723" s="4" t="s">
        <v>4027</v>
      </c>
      <c r="B2723" s="13" t="s">
        <v>43</v>
      </c>
      <c r="D2723" s="3"/>
      <c r="E2723" s="3"/>
      <c r="F2723" s="3"/>
      <c r="G2723" s="3"/>
      <c r="H2723" s="3"/>
      <c r="I2723" s="3"/>
    </row>
    <row r="2724">
      <c r="A2724" s="4" t="s">
        <v>4028</v>
      </c>
      <c r="B2724" s="13" t="s">
        <v>43</v>
      </c>
      <c r="D2724" s="3"/>
      <c r="E2724" s="3"/>
      <c r="F2724" s="3"/>
      <c r="G2724" s="3"/>
      <c r="H2724" s="3"/>
      <c r="I2724" s="3"/>
    </row>
    <row r="2725">
      <c r="A2725" s="4" t="s">
        <v>4029</v>
      </c>
      <c r="B2725" s="13" t="s">
        <v>43</v>
      </c>
      <c r="D2725" s="3"/>
      <c r="E2725" s="3"/>
      <c r="F2725" s="3"/>
      <c r="G2725" s="3"/>
      <c r="H2725" s="3"/>
      <c r="I2725" s="3"/>
    </row>
    <row r="2726">
      <c r="A2726" s="4" t="s">
        <v>4030</v>
      </c>
      <c r="B2726" s="13" t="s">
        <v>43</v>
      </c>
      <c r="D2726" s="3"/>
      <c r="E2726" s="3"/>
      <c r="F2726" s="3"/>
      <c r="G2726" s="3"/>
      <c r="H2726" s="3"/>
      <c r="I2726" s="3"/>
    </row>
    <row r="2727">
      <c r="A2727" s="4" t="s">
        <v>4031</v>
      </c>
      <c r="B2727" s="13" t="s">
        <v>43</v>
      </c>
      <c r="D2727" s="3"/>
      <c r="E2727" s="3"/>
      <c r="F2727" s="3"/>
      <c r="G2727" s="3"/>
      <c r="H2727" s="3"/>
      <c r="I2727" s="3"/>
    </row>
    <row r="2728">
      <c r="A2728" s="4" t="s">
        <v>4032</v>
      </c>
      <c r="B2728" s="13" t="s">
        <v>43</v>
      </c>
      <c r="D2728" s="3"/>
      <c r="E2728" s="3"/>
      <c r="F2728" s="3"/>
      <c r="G2728" s="3"/>
      <c r="H2728" s="3"/>
      <c r="I2728" s="3"/>
    </row>
    <row r="2729">
      <c r="A2729" s="4" t="s">
        <v>4033</v>
      </c>
      <c r="B2729" s="13" t="s">
        <v>43</v>
      </c>
      <c r="D2729" s="3"/>
      <c r="E2729" s="3"/>
      <c r="F2729" s="3"/>
      <c r="G2729" s="3"/>
      <c r="H2729" s="3"/>
      <c r="I2729" s="3"/>
    </row>
    <row r="2730">
      <c r="A2730" s="4" t="s">
        <v>4034</v>
      </c>
      <c r="B2730" s="13" t="s">
        <v>43</v>
      </c>
      <c r="D2730" s="3"/>
      <c r="E2730" s="3"/>
      <c r="F2730" s="3"/>
      <c r="G2730" s="3"/>
      <c r="H2730" s="3"/>
      <c r="I2730" s="3"/>
    </row>
    <row r="2731">
      <c r="A2731" s="4" t="s">
        <v>4035</v>
      </c>
      <c r="B2731" s="13" t="s">
        <v>43</v>
      </c>
      <c r="D2731" s="3"/>
      <c r="E2731" s="3"/>
      <c r="F2731" s="3"/>
      <c r="G2731" s="3"/>
      <c r="H2731" s="3"/>
      <c r="I2731" s="3"/>
    </row>
    <row r="2732">
      <c r="A2732" s="4" t="s">
        <v>4036</v>
      </c>
      <c r="B2732" s="13" t="s">
        <v>43</v>
      </c>
      <c r="D2732" s="3"/>
      <c r="E2732" s="3"/>
      <c r="F2732" s="3"/>
      <c r="G2732" s="3"/>
      <c r="H2732" s="3"/>
      <c r="I2732" s="3"/>
    </row>
    <row r="2733">
      <c r="A2733" s="4" t="s">
        <v>4037</v>
      </c>
      <c r="B2733" s="13" t="s">
        <v>43</v>
      </c>
      <c r="D2733" s="3"/>
      <c r="E2733" s="3"/>
      <c r="F2733" s="3"/>
      <c r="G2733" s="3"/>
      <c r="H2733" s="3"/>
      <c r="I2733" s="3"/>
    </row>
    <row r="2734">
      <c r="A2734" s="4" t="s">
        <v>4038</v>
      </c>
      <c r="B2734" s="13" t="s">
        <v>43</v>
      </c>
      <c r="D2734" s="3"/>
      <c r="E2734" s="3"/>
      <c r="F2734" s="3"/>
      <c r="G2734" s="3"/>
      <c r="H2734" s="3"/>
      <c r="I2734" s="3"/>
    </row>
    <row r="2735">
      <c r="A2735" s="4" t="s">
        <v>4039</v>
      </c>
      <c r="B2735" s="13" t="s">
        <v>43</v>
      </c>
      <c r="D2735" s="3"/>
      <c r="E2735" s="3"/>
      <c r="F2735" s="3"/>
      <c r="G2735" s="3"/>
      <c r="H2735" s="3"/>
      <c r="I2735" s="3"/>
    </row>
    <row r="2736">
      <c r="A2736" s="4" t="s">
        <v>4040</v>
      </c>
      <c r="B2736" s="13" t="s">
        <v>43</v>
      </c>
      <c r="D2736" s="3"/>
      <c r="E2736" s="3"/>
      <c r="F2736" s="3"/>
      <c r="G2736" s="3"/>
      <c r="H2736" s="3"/>
      <c r="I2736" s="3"/>
    </row>
    <row r="2737">
      <c r="A2737" s="4" t="s">
        <v>4041</v>
      </c>
      <c r="B2737" s="13" t="s">
        <v>43</v>
      </c>
      <c r="D2737" s="3"/>
      <c r="E2737" s="3"/>
      <c r="F2737" s="3"/>
      <c r="G2737" s="3"/>
      <c r="H2737" s="3"/>
      <c r="I2737" s="3"/>
    </row>
    <row r="2738">
      <c r="A2738" s="4" t="s">
        <v>4042</v>
      </c>
      <c r="B2738" s="13" t="s">
        <v>43</v>
      </c>
      <c r="D2738" s="3"/>
      <c r="E2738" s="3"/>
      <c r="F2738" s="3"/>
      <c r="G2738" s="3"/>
      <c r="H2738" s="3"/>
      <c r="I2738" s="3"/>
    </row>
    <row r="2739">
      <c r="A2739" s="4" t="s">
        <v>4043</v>
      </c>
      <c r="B2739" s="13" t="s">
        <v>43</v>
      </c>
      <c r="D2739" s="3"/>
      <c r="E2739" s="3"/>
      <c r="F2739" s="3"/>
      <c r="G2739" s="3"/>
      <c r="H2739" s="3"/>
      <c r="I2739" s="3"/>
    </row>
    <row r="2740">
      <c r="A2740" s="4" t="s">
        <v>4044</v>
      </c>
      <c r="B2740" s="13" t="s">
        <v>43</v>
      </c>
      <c r="D2740" s="3"/>
      <c r="E2740" s="3"/>
      <c r="F2740" s="3"/>
      <c r="G2740" s="3"/>
      <c r="H2740" s="3"/>
      <c r="I2740" s="3"/>
    </row>
    <row r="2741">
      <c r="A2741" s="4" t="s">
        <v>4045</v>
      </c>
      <c r="B2741" s="13" t="s">
        <v>43</v>
      </c>
      <c r="D2741" s="3"/>
      <c r="E2741" s="3"/>
      <c r="F2741" s="3"/>
      <c r="G2741" s="3"/>
      <c r="H2741" s="3"/>
      <c r="I2741" s="3"/>
    </row>
    <row r="2742">
      <c r="A2742" s="4" t="s">
        <v>4046</v>
      </c>
      <c r="B2742" s="13" t="s">
        <v>43</v>
      </c>
      <c r="D2742" s="3"/>
      <c r="E2742" s="3"/>
      <c r="F2742" s="3"/>
      <c r="G2742" s="3"/>
      <c r="H2742" s="3"/>
      <c r="I2742" s="3"/>
    </row>
    <row r="2743">
      <c r="A2743" s="4" t="s">
        <v>4047</v>
      </c>
      <c r="B2743" s="13" t="s">
        <v>43</v>
      </c>
      <c r="D2743" s="3"/>
      <c r="E2743" s="3"/>
      <c r="F2743" s="3"/>
      <c r="G2743" s="3"/>
      <c r="H2743" s="3"/>
      <c r="I2743" s="3"/>
    </row>
    <row r="2744">
      <c r="A2744" s="4" t="s">
        <v>4048</v>
      </c>
      <c r="B2744" s="13" t="s">
        <v>43</v>
      </c>
      <c r="D2744" s="3"/>
      <c r="E2744" s="3"/>
      <c r="F2744" s="3"/>
      <c r="G2744" s="3"/>
      <c r="H2744" s="3"/>
      <c r="I2744" s="3"/>
    </row>
    <row r="2745">
      <c r="A2745" s="4" t="s">
        <v>4049</v>
      </c>
      <c r="B2745" s="13" t="s">
        <v>43</v>
      </c>
      <c r="D2745" s="3"/>
      <c r="E2745" s="3"/>
      <c r="F2745" s="3"/>
      <c r="G2745" s="3"/>
      <c r="H2745" s="3"/>
      <c r="I2745" s="3"/>
    </row>
    <row r="2746">
      <c r="A2746" s="4" t="s">
        <v>4050</v>
      </c>
      <c r="B2746" s="13" t="s">
        <v>43</v>
      </c>
      <c r="D2746" s="3"/>
      <c r="E2746" s="3"/>
      <c r="F2746" s="3"/>
      <c r="G2746" s="3"/>
      <c r="H2746" s="3"/>
      <c r="I2746" s="3"/>
    </row>
    <row r="2747">
      <c r="A2747" s="4" t="s">
        <v>4051</v>
      </c>
      <c r="B2747" s="13" t="s">
        <v>43</v>
      </c>
      <c r="D2747" s="3"/>
      <c r="E2747" s="3"/>
      <c r="F2747" s="3"/>
      <c r="G2747" s="3"/>
      <c r="H2747" s="3"/>
      <c r="I2747" s="3"/>
    </row>
    <row r="2748">
      <c r="A2748" s="4" t="s">
        <v>4052</v>
      </c>
      <c r="B2748" s="13" t="s">
        <v>43</v>
      </c>
      <c r="D2748" s="3"/>
      <c r="E2748" s="3"/>
      <c r="F2748" s="3"/>
      <c r="G2748" s="3"/>
      <c r="H2748" s="3"/>
      <c r="I2748" s="3"/>
    </row>
    <row r="2749">
      <c r="A2749" s="4" t="s">
        <v>4053</v>
      </c>
      <c r="B2749" s="13" t="s">
        <v>43</v>
      </c>
      <c r="D2749" s="3"/>
      <c r="E2749" s="3"/>
      <c r="F2749" s="3"/>
      <c r="G2749" s="3"/>
      <c r="H2749" s="3"/>
      <c r="I2749" s="3"/>
    </row>
    <row r="2750">
      <c r="A2750" s="4" t="s">
        <v>4054</v>
      </c>
      <c r="B2750" s="13" t="s">
        <v>43</v>
      </c>
      <c r="D2750" s="3"/>
      <c r="E2750" s="3"/>
      <c r="F2750" s="3"/>
      <c r="G2750" s="3"/>
      <c r="H2750" s="3"/>
      <c r="I2750" s="3"/>
    </row>
    <row r="2751">
      <c r="A2751" s="4" t="s">
        <v>4055</v>
      </c>
      <c r="B2751" s="13" t="s">
        <v>43</v>
      </c>
      <c r="D2751" s="3"/>
      <c r="E2751" s="3"/>
      <c r="F2751" s="3"/>
      <c r="G2751" s="3"/>
      <c r="H2751" s="3"/>
      <c r="I2751" s="3"/>
    </row>
    <row r="2752">
      <c r="A2752" s="4" t="s">
        <v>4056</v>
      </c>
      <c r="B2752" s="13" t="s">
        <v>43</v>
      </c>
      <c r="D2752" s="3"/>
      <c r="E2752" s="3"/>
      <c r="F2752" s="3"/>
      <c r="G2752" s="3"/>
      <c r="H2752" s="3"/>
      <c r="I2752" s="3"/>
    </row>
    <row r="2753">
      <c r="A2753" s="4" t="s">
        <v>4057</v>
      </c>
      <c r="B2753" s="13" t="s">
        <v>43</v>
      </c>
      <c r="D2753" s="3"/>
      <c r="E2753" s="3"/>
      <c r="F2753" s="3"/>
      <c r="G2753" s="3"/>
      <c r="H2753" s="3"/>
      <c r="I2753" s="3"/>
    </row>
    <row r="2754">
      <c r="A2754" s="4" t="s">
        <v>4058</v>
      </c>
      <c r="B2754" s="13" t="s">
        <v>43</v>
      </c>
      <c r="D2754" s="3"/>
      <c r="E2754" s="3"/>
      <c r="F2754" s="3"/>
      <c r="G2754" s="3"/>
      <c r="H2754" s="3"/>
      <c r="I2754" s="3"/>
    </row>
    <row r="2755">
      <c r="A2755" s="4" t="s">
        <v>4059</v>
      </c>
      <c r="B2755" s="13" t="s">
        <v>43</v>
      </c>
      <c r="D2755" s="3"/>
      <c r="E2755" s="3"/>
      <c r="F2755" s="3"/>
      <c r="G2755" s="3"/>
      <c r="H2755" s="3"/>
      <c r="I2755" s="3"/>
    </row>
    <row r="2756">
      <c r="A2756" s="4" t="s">
        <v>4060</v>
      </c>
      <c r="B2756" s="13" t="s">
        <v>43</v>
      </c>
      <c r="D2756" s="3"/>
      <c r="E2756" s="3"/>
      <c r="F2756" s="3"/>
      <c r="G2756" s="3"/>
      <c r="H2756" s="3"/>
      <c r="I2756" s="3"/>
    </row>
    <row r="2757">
      <c r="A2757" s="4" t="s">
        <v>4061</v>
      </c>
      <c r="B2757" s="13" t="s">
        <v>43</v>
      </c>
      <c r="D2757" s="3"/>
      <c r="E2757" s="3"/>
      <c r="F2757" s="3"/>
      <c r="G2757" s="3"/>
      <c r="H2757" s="3"/>
      <c r="I2757" s="3"/>
    </row>
    <row r="2758">
      <c r="A2758" s="4" t="s">
        <v>4062</v>
      </c>
      <c r="B2758" s="13" t="s">
        <v>43</v>
      </c>
      <c r="D2758" s="3"/>
      <c r="E2758" s="3"/>
      <c r="F2758" s="3"/>
      <c r="G2758" s="3"/>
      <c r="H2758" s="3"/>
      <c r="I2758" s="3"/>
    </row>
    <row r="2759">
      <c r="A2759" s="4" t="s">
        <v>4063</v>
      </c>
      <c r="B2759" s="13" t="s">
        <v>43</v>
      </c>
      <c r="D2759" s="3"/>
      <c r="E2759" s="3"/>
      <c r="F2759" s="3"/>
      <c r="G2759" s="3"/>
      <c r="H2759" s="3"/>
      <c r="I2759" s="3"/>
    </row>
    <row r="2760">
      <c r="A2760" s="4" t="s">
        <v>4064</v>
      </c>
      <c r="B2760" s="13" t="s">
        <v>43</v>
      </c>
      <c r="D2760" s="3"/>
      <c r="E2760" s="3"/>
      <c r="F2760" s="3"/>
      <c r="G2760" s="3"/>
      <c r="H2760" s="3"/>
      <c r="I2760" s="3"/>
    </row>
    <row r="2761">
      <c r="A2761" s="4" t="s">
        <v>4065</v>
      </c>
      <c r="B2761" s="13" t="s">
        <v>43</v>
      </c>
      <c r="D2761" s="3"/>
      <c r="E2761" s="3"/>
      <c r="F2761" s="3"/>
      <c r="G2761" s="3"/>
      <c r="H2761" s="3"/>
      <c r="I2761" s="3"/>
    </row>
    <row r="2762">
      <c r="A2762" s="4" t="s">
        <v>4066</v>
      </c>
      <c r="B2762" s="13" t="s">
        <v>43</v>
      </c>
      <c r="D2762" s="3"/>
      <c r="E2762" s="3"/>
      <c r="F2762" s="3"/>
      <c r="G2762" s="3"/>
      <c r="H2762" s="3"/>
      <c r="I2762" s="3"/>
    </row>
    <row r="2763">
      <c r="A2763" s="4" t="s">
        <v>4067</v>
      </c>
      <c r="B2763" s="13" t="s">
        <v>43</v>
      </c>
      <c r="D2763" s="3"/>
      <c r="E2763" s="3"/>
      <c r="F2763" s="3"/>
      <c r="G2763" s="3"/>
      <c r="H2763" s="3"/>
      <c r="I2763" s="3"/>
    </row>
    <row r="2764">
      <c r="A2764" s="4" t="s">
        <v>4068</v>
      </c>
      <c r="B2764" s="13" t="s">
        <v>43</v>
      </c>
      <c r="D2764" s="3"/>
      <c r="E2764" s="3"/>
      <c r="F2764" s="3"/>
      <c r="G2764" s="3"/>
      <c r="H2764" s="3"/>
      <c r="I2764" s="3"/>
    </row>
    <row r="2765">
      <c r="A2765" s="4" t="s">
        <v>4069</v>
      </c>
      <c r="B2765" s="13" t="s">
        <v>43</v>
      </c>
      <c r="D2765" s="3"/>
      <c r="E2765" s="3"/>
      <c r="F2765" s="3"/>
      <c r="G2765" s="3"/>
      <c r="H2765" s="3"/>
      <c r="I2765" s="3"/>
    </row>
    <row r="2766">
      <c r="A2766" s="4" t="s">
        <v>4070</v>
      </c>
      <c r="B2766" s="13" t="s">
        <v>43</v>
      </c>
      <c r="D2766" s="3"/>
      <c r="E2766" s="3"/>
      <c r="F2766" s="3"/>
      <c r="G2766" s="3"/>
      <c r="H2766" s="3"/>
      <c r="I2766" s="3"/>
    </row>
    <row r="2767">
      <c r="A2767" s="4" t="s">
        <v>4071</v>
      </c>
      <c r="B2767" s="13" t="s">
        <v>43</v>
      </c>
      <c r="D2767" s="3"/>
      <c r="E2767" s="3"/>
      <c r="F2767" s="3"/>
      <c r="G2767" s="3"/>
      <c r="H2767" s="3"/>
      <c r="I2767" s="3"/>
    </row>
    <row r="2768">
      <c r="A2768" s="4" t="s">
        <v>4072</v>
      </c>
      <c r="B2768" s="13" t="s">
        <v>43</v>
      </c>
      <c r="D2768" s="3"/>
      <c r="E2768" s="3"/>
      <c r="F2768" s="3"/>
      <c r="G2768" s="3"/>
      <c r="H2768" s="3"/>
      <c r="I2768" s="3"/>
    </row>
    <row r="2769">
      <c r="A2769" s="4" t="s">
        <v>4073</v>
      </c>
      <c r="B2769" s="13" t="s">
        <v>43</v>
      </c>
      <c r="D2769" s="3"/>
      <c r="E2769" s="3"/>
      <c r="F2769" s="3"/>
      <c r="G2769" s="3"/>
      <c r="H2769" s="3"/>
      <c r="I2769" s="3"/>
    </row>
    <row r="2770">
      <c r="A2770" s="4" t="s">
        <v>4074</v>
      </c>
      <c r="B2770" s="13" t="s">
        <v>43</v>
      </c>
      <c r="D2770" s="3"/>
      <c r="E2770" s="3"/>
      <c r="F2770" s="3"/>
      <c r="G2770" s="3"/>
      <c r="H2770" s="3"/>
      <c r="I2770" s="3"/>
    </row>
    <row r="2771">
      <c r="A2771" s="4" t="s">
        <v>4075</v>
      </c>
      <c r="B2771" s="13" t="s">
        <v>43</v>
      </c>
      <c r="D2771" s="3"/>
      <c r="E2771" s="3"/>
      <c r="F2771" s="3"/>
      <c r="G2771" s="3"/>
      <c r="H2771" s="3"/>
      <c r="I2771" s="3"/>
    </row>
    <row r="2772">
      <c r="A2772" s="4" t="s">
        <v>4076</v>
      </c>
      <c r="B2772" s="13" t="s">
        <v>43</v>
      </c>
      <c r="D2772" s="3"/>
      <c r="E2772" s="3"/>
      <c r="F2772" s="3"/>
      <c r="G2772" s="3"/>
      <c r="H2772" s="3"/>
      <c r="I2772" s="3"/>
    </row>
    <row r="2773">
      <c r="A2773" s="4" t="s">
        <v>4077</v>
      </c>
      <c r="B2773" s="13" t="s">
        <v>43</v>
      </c>
      <c r="D2773" s="3"/>
      <c r="E2773" s="3"/>
      <c r="F2773" s="3"/>
      <c r="G2773" s="3"/>
      <c r="H2773" s="3"/>
      <c r="I2773" s="3"/>
    </row>
    <row r="2774">
      <c r="A2774" s="4" t="s">
        <v>4078</v>
      </c>
      <c r="B2774" s="13" t="s">
        <v>43</v>
      </c>
      <c r="D2774" s="3"/>
      <c r="E2774" s="3"/>
      <c r="F2774" s="3"/>
      <c r="G2774" s="3"/>
      <c r="H2774" s="3"/>
      <c r="I2774" s="3"/>
    </row>
    <row r="2775">
      <c r="A2775" s="4" t="s">
        <v>4079</v>
      </c>
      <c r="B2775" s="13" t="s">
        <v>43</v>
      </c>
      <c r="D2775" s="3"/>
      <c r="E2775" s="3"/>
      <c r="F2775" s="3"/>
      <c r="G2775" s="3"/>
      <c r="H2775" s="3"/>
      <c r="I2775" s="3"/>
    </row>
    <row r="2776">
      <c r="A2776" s="4" t="s">
        <v>4080</v>
      </c>
      <c r="B2776" s="13" t="s">
        <v>43</v>
      </c>
      <c r="D2776" s="3"/>
      <c r="E2776" s="3"/>
      <c r="F2776" s="3"/>
      <c r="G2776" s="3"/>
      <c r="H2776" s="3"/>
      <c r="I2776" s="3"/>
    </row>
    <row r="2777">
      <c r="A2777" s="4" t="s">
        <v>4081</v>
      </c>
      <c r="B2777" s="13" t="s">
        <v>43</v>
      </c>
      <c r="D2777" s="3"/>
      <c r="E2777" s="3"/>
      <c r="F2777" s="3"/>
      <c r="G2777" s="3"/>
      <c r="H2777" s="3"/>
      <c r="I2777" s="3"/>
    </row>
    <row r="2778">
      <c r="A2778" s="4" t="s">
        <v>4082</v>
      </c>
      <c r="B2778" s="13" t="s">
        <v>43</v>
      </c>
      <c r="D2778" s="3"/>
      <c r="E2778" s="3"/>
      <c r="F2778" s="3"/>
      <c r="G2778" s="3"/>
      <c r="H2778" s="3"/>
      <c r="I2778" s="3"/>
    </row>
    <row r="2779">
      <c r="A2779" s="4" t="s">
        <v>4083</v>
      </c>
      <c r="B2779" s="13" t="s">
        <v>43</v>
      </c>
      <c r="D2779" s="3"/>
      <c r="E2779" s="3"/>
      <c r="F2779" s="3"/>
      <c r="G2779" s="3"/>
      <c r="H2779" s="3"/>
      <c r="I2779" s="3"/>
    </row>
    <row r="2780">
      <c r="A2780" s="4" t="s">
        <v>4084</v>
      </c>
      <c r="B2780" s="13" t="s">
        <v>43</v>
      </c>
      <c r="D2780" s="3"/>
      <c r="E2780" s="3"/>
      <c r="F2780" s="3"/>
      <c r="G2780" s="3"/>
      <c r="H2780" s="3"/>
      <c r="I2780" s="3"/>
    </row>
    <row r="2781">
      <c r="A2781" s="4" t="s">
        <v>4085</v>
      </c>
      <c r="B2781" s="13" t="s">
        <v>43</v>
      </c>
      <c r="D2781" s="3"/>
      <c r="E2781" s="3"/>
      <c r="F2781" s="3"/>
      <c r="G2781" s="3"/>
      <c r="H2781" s="3"/>
      <c r="I2781" s="3"/>
    </row>
    <row r="2782">
      <c r="A2782" s="4" t="s">
        <v>4086</v>
      </c>
      <c r="B2782" s="13" t="s">
        <v>43</v>
      </c>
      <c r="D2782" s="3"/>
      <c r="E2782" s="3"/>
      <c r="F2782" s="3"/>
      <c r="G2782" s="3"/>
      <c r="H2782" s="3"/>
      <c r="I2782" s="3"/>
    </row>
    <row r="2783">
      <c r="A2783" s="4" t="s">
        <v>4087</v>
      </c>
      <c r="B2783" s="13" t="s">
        <v>43</v>
      </c>
      <c r="D2783" s="3"/>
      <c r="E2783" s="3"/>
      <c r="F2783" s="3"/>
      <c r="G2783" s="3"/>
      <c r="H2783" s="3"/>
      <c r="I2783" s="3"/>
    </row>
    <row r="2784">
      <c r="A2784" s="4" t="s">
        <v>4088</v>
      </c>
      <c r="B2784" s="13" t="s">
        <v>43</v>
      </c>
      <c r="D2784" s="3"/>
      <c r="E2784" s="3"/>
      <c r="F2784" s="3"/>
      <c r="G2784" s="3"/>
      <c r="H2784" s="3"/>
      <c r="I2784" s="3"/>
    </row>
    <row r="2785">
      <c r="A2785" s="4" t="s">
        <v>4089</v>
      </c>
      <c r="B2785" s="13" t="s">
        <v>43</v>
      </c>
      <c r="D2785" s="3"/>
      <c r="E2785" s="3"/>
      <c r="F2785" s="3"/>
      <c r="G2785" s="3"/>
      <c r="H2785" s="3"/>
      <c r="I2785" s="3"/>
    </row>
    <row r="2786">
      <c r="A2786" s="4" t="s">
        <v>4090</v>
      </c>
      <c r="B2786" s="13" t="s">
        <v>43</v>
      </c>
      <c r="D2786" s="3"/>
      <c r="E2786" s="3"/>
      <c r="F2786" s="3"/>
      <c r="G2786" s="3"/>
      <c r="H2786" s="3"/>
      <c r="I2786" s="3"/>
    </row>
    <row r="2787">
      <c r="A2787" s="4" t="s">
        <v>4091</v>
      </c>
      <c r="B2787" s="13" t="s">
        <v>43</v>
      </c>
      <c r="D2787" s="3"/>
      <c r="E2787" s="3"/>
      <c r="F2787" s="3"/>
      <c r="G2787" s="3"/>
      <c r="H2787" s="3"/>
      <c r="I2787" s="3"/>
    </row>
    <row r="2788">
      <c r="A2788" s="4" t="s">
        <v>4092</v>
      </c>
      <c r="B2788" s="13" t="s">
        <v>43</v>
      </c>
      <c r="D2788" s="3"/>
      <c r="E2788" s="3"/>
      <c r="F2788" s="3"/>
      <c r="G2788" s="3"/>
      <c r="H2788" s="3"/>
      <c r="I2788" s="3"/>
    </row>
    <row r="2789">
      <c r="A2789" s="4" t="s">
        <v>4093</v>
      </c>
      <c r="B2789" s="13" t="s">
        <v>43</v>
      </c>
      <c r="D2789" s="3"/>
      <c r="E2789" s="3"/>
      <c r="F2789" s="3"/>
      <c r="G2789" s="3"/>
      <c r="H2789" s="3"/>
      <c r="I2789" s="3"/>
    </row>
    <row r="2790">
      <c r="A2790" s="4" t="s">
        <v>4094</v>
      </c>
      <c r="B2790" s="13" t="s">
        <v>43</v>
      </c>
      <c r="D2790" s="3"/>
      <c r="E2790" s="3"/>
      <c r="F2790" s="3"/>
      <c r="G2790" s="3"/>
      <c r="H2790" s="3"/>
      <c r="I2790" s="3"/>
    </row>
    <row r="2791">
      <c r="A2791" s="4" t="s">
        <v>4095</v>
      </c>
      <c r="B2791" s="13" t="s">
        <v>43</v>
      </c>
      <c r="D2791" s="3"/>
      <c r="E2791" s="3"/>
      <c r="F2791" s="3"/>
      <c r="G2791" s="3"/>
      <c r="H2791" s="3"/>
      <c r="I2791" s="3"/>
    </row>
    <row r="2792">
      <c r="A2792" s="4" t="s">
        <v>4096</v>
      </c>
      <c r="B2792" s="13" t="s">
        <v>43</v>
      </c>
      <c r="D2792" s="3"/>
      <c r="E2792" s="3"/>
      <c r="F2792" s="3"/>
      <c r="G2792" s="3"/>
      <c r="H2792" s="3"/>
      <c r="I2792" s="3"/>
    </row>
    <row r="2793">
      <c r="A2793" s="4" t="s">
        <v>4097</v>
      </c>
      <c r="B2793" s="13" t="s">
        <v>43</v>
      </c>
      <c r="D2793" s="3"/>
      <c r="E2793" s="3"/>
      <c r="F2793" s="3"/>
      <c r="G2793" s="3"/>
      <c r="H2793" s="3"/>
      <c r="I2793" s="3"/>
    </row>
    <row r="2794">
      <c r="A2794" s="4" t="s">
        <v>4098</v>
      </c>
      <c r="B2794" s="13" t="s">
        <v>43</v>
      </c>
      <c r="D2794" s="3"/>
      <c r="E2794" s="3"/>
      <c r="F2794" s="3"/>
      <c r="G2794" s="3"/>
      <c r="H2794" s="3"/>
      <c r="I2794" s="3"/>
    </row>
    <row r="2795">
      <c r="A2795" s="4" t="s">
        <v>4099</v>
      </c>
      <c r="B2795" s="13" t="s">
        <v>43</v>
      </c>
      <c r="D2795" s="3"/>
      <c r="E2795" s="3"/>
      <c r="F2795" s="3"/>
      <c r="G2795" s="3"/>
      <c r="H2795" s="3"/>
      <c r="I2795" s="3"/>
    </row>
    <row r="2796">
      <c r="A2796" s="4" t="s">
        <v>4100</v>
      </c>
      <c r="B2796" s="13" t="s">
        <v>43</v>
      </c>
      <c r="D2796" s="3"/>
      <c r="E2796" s="3"/>
      <c r="F2796" s="3"/>
      <c r="G2796" s="3"/>
      <c r="H2796" s="3"/>
      <c r="I2796" s="3"/>
    </row>
    <row r="2797">
      <c r="A2797" s="4" t="s">
        <v>4101</v>
      </c>
      <c r="B2797" s="13" t="s">
        <v>43</v>
      </c>
      <c r="D2797" s="3"/>
      <c r="E2797" s="3"/>
      <c r="F2797" s="3"/>
      <c r="G2797" s="3"/>
      <c r="H2797" s="3"/>
      <c r="I2797" s="3"/>
    </row>
    <row r="2798">
      <c r="A2798" s="4" t="s">
        <v>4102</v>
      </c>
      <c r="B2798" s="13" t="s">
        <v>43</v>
      </c>
      <c r="D2798" s="3"/>
      <c r="E2798" s="3"/>
      <c r="F2798" s="3"/>
      <c r="G2798" s="3"/>
      <c r="H2798" s="3"/>
      <c r="I2798" s="3"/>
    </row>
    <row r="2799">
      <c r="A2799" s="4" t="s">
        <v>4103</v>
      </c>
      <c r="B2799" s="13" t="s">
        <v>43</v>
      </c>
      <c r="D2799" s="3"/>
      <c r="E2799" s="3"/>
      <c r="F2799" s="3"/>
      <c r="G2799" s="3"/>
      <c r="H2799" s="3"/>
      <c r="I2799" s="3"/>
    </row>
    <row r="2800">
      <c r="A2800" s="4" t="s">
        <v>4104</v>
      </c>
      <c r="B2800" s="13" t="s">
        <v>43</v>
      </c>
      <c r="D2800" s="3"/>
      <c r="E2800" s="3"/>
      <c r="F2800" s="3"/>
      <c r="G2800" s="3"/>
      <c r="H2800" s="3"/>
      <c r="I2800" s="3"/>
    </row>
    <row r="2801">
      <c r="A2801" s="4" t="s">
        <v>4105</v>
      </c>
      <c r="B2801" s="13" t="s">
        <v>43</v>
      </c>
      <c r="D2801" s="3"/>
      <c r="E2801" s="3"/>
      <c r="F2801" s="3"/>
      <c r="G2801" s="3"/>
      <c r="H2801" s="3"/>
      <c r="I2801" s="3"/>
    </row>
    <row r="2802">
      <c r="A2802" s="4" t="s">
        <v>4106</v>
      </c>
      <c r="B2802" s="13" t="s">
        <v>43</v>
      </c>
      <c r="D2802" s="3"/>
      <c r="E2802" s="3"/>
      <c r="F2802" s="3"/>
      <c r="G2802" s="3"/>
      <c r="H2802" s="3"/>
      <c r="I2802" s="3"/>
    </row>
    <row r="2803">
      <c r="A2803" s="4" t="s">
        <v>4107</v>
      </c>
      <c r="B2803" s="13" t="s">
        <v>43</v>
      </c>
      <c r="D2803" s="3"/>
      <c r="E2803" s="3"/>
      <c r="F2803" s="3"/>
      <c r="G2803" s="3"/>
      <c r="H2803" s="3"/>
      <c r="I2803" s="3"/>
    </row>
    <row r="2804">
      <c r="A2804" s="4" t="s">
        <v>4108</v>
      </c>
      <c r="B2804" s="13" t="s">
        <v>43</v>
      </c>
      <c r="D2804" s="3"/>
      <c r="E2804" s="3"/>
      <c r="F2804" s="3"/>
      <c r="G2804" s="3"/>
      <c r="H2804" s="3"/>
      <c r="I2804" s="3"/>
    </row>
    <row r="2805">
      <c r="A2805" s="4" t="s">
        <v>4109</v>
      </c>
      <c r="B2805" s="13" t="s">
        <v>43</v>
      </c>
      <c r="D2805" s="3"/>
      <c r="E2805" s="3"/>
      <c r="F2805" s="3"/>
      <c r="G2805" s="3"/>
      <c r="H2805" s="3"/>
      <c r="I2805" s="3"/>
    </row>
    <row r="2806">
      <c r="A2806" s="4" t="s">
        <v>4110</v>
      </c>
      <c r="B2806" s="13" t="s">
        <v>43</v>
      </c>
      <c r="D2806" s="3"/>
      <c r="E2806" s="3"/>
      <c r="F2806" s="3"/>
      <c r="G2806" s="3"/>
      <c r="H2806" s="3"/>
      <c r="I2806" s="3"/>
    </row>
    <row r="2807">
      <c r="A2807" s="4" t="s">
        <v>4111</v>
      </c>
      <c r="B2807" s="13" t="s">
        <v>43</v>
      </c>
      <c r="D2807" s="3"/>
      <c r="E2807" s="3"/>
      <c r="F2807" s="3"/>
      <c r="G2807" s="3"/>
      <c r="H2807" s="3"/>
      <c r="I2807" s="3"/>
    </row>
    <row r="2808">
      <c r="A2808" s="4" t="s">
        <v>4112</v>
      </c>
      <c r="B2808" s="13" t="s">
        <v>43</v>
      </c>
      <c r="D2808" s="3"/>
      <c r="E2808" s="3"/>
      <c r="F2808" s="3"/>
      <c r="G2808" s="3"/>
      <c r="H2808" s="3"/>
      <c r="I2808" s="3"/>
    </row>
    <row r="2809">
      <c r="A2809" s="4" t="s">
        <v>4113</v>
      </c>
      <c r="B2809" s="13" t="s">
        <v>43</v>
      </c>
      <c r="D2809" s="3"/>
      <c r="E2809" s="3"/>
      <c r="F2809" s="3"/>
      <c r="G2809" s="3"/>
      <c r="H2809" s="3"/>
      <c r="I2809" s="3"/>
    </row>
    <row r="2810">
      <c r="A2810" s="4" t="s">
        <v>4114</v>
      </c>
      <c r="B2810" s="13" t="s">
        <v>43</v>
      </c>
      <c r="D2810" s="3"/>
      <c r="E2810" s="3"/>
      <c r="F2810" s="3"/>
      <c r="G2810" s="3"/>
      <c r="H2810" s="3"/>
      <c r="I2810" s="3"/>
    </row>
    <row r="2811">
      <c r="A2811" s="4" t="s">
        <v>4115</v>
      </c>
      <c r="B2811" s="13" t="s">
        <v>43</v>
      </c>
      <c r="D2811" s="3"/>
      <c r="E2811" s="3"/>
      <c r="F2811" s="3"/>
      <c r="G2811" s="3"/>
      <c r="H2811" s="3"/>
      <c r="I2811" s="3"/>
    </row>
    <row r="2812">
      <c r="A2812" s="4" t="s">
        <v>4116</v>
      </c>
      <c r="B2812" s="13" t="s">
        <v>43</v>
      </c>
      <c r="D2812" s="3"/>
      <c r="E2812" s="3"/>
      <c r="F2812" s="3"/>
      <c r="G2812" s="3"/>
      <c r="H2812" s="3"/>
      <c r="I2812" s="3"/>
    </row>
    <row r="2813">
      <c r="A2813" s="4" t="s">
        <v>4117</v>
      </c>
      <c r="B2813" s="13" t="s">
        <v>43</v>
      </c>
      <c r="D2813" s="3"/>
      <c r="E2813" s="3"/>
      <c r="F2813" s="3"/>
      <c r="G2813" s="3"/>
      <c r="H2813" s="3"/>
      <c r="I2813" s="3"/>
    </row>
    <row r="2814">
      <c r="A2814" s="4" t="s">
        <v>4118</v>
      </c>
      <c r="B2814" s="13" t="s">
        <v>43</v>
      </c>
      <c r="D2814" s="3"/>
      <c r="E2814" s="3"/>
      <c r="F2814" s="3"/>
      <c r="G2814" s="3"/>
      <c r="H2814" s="3"/>
      <c r="I2814" s="3"/>
    </row>
    <row r="2815">
      <c r="A2815" s="4" t="s">
        <v>4119</v>
      </c>
      <c r="B2815" s="13" t="s">
        <v>43</v>
      </c>
      <c r="D2815" s="3"/>
      <c r="E2815" s="3"/>
      <c r="F2815" s="3"/>
      <c r="G2815" s="3"/>
      <c r="H2815" s="3"/>
      <c r="I2815" s="3"/>
    </row>
    <row r="2816">
      <c r="A2816" s="4" t="s">
        <v>4120</v>
      </c>
      <c r="B2816" s="13" t="s">
        <v>43</v>
      </c>
      <c r="D2816" s="3"/>
      <c r="E2816" s="3"/>
      <c r="F2816" s="3"/>
      <c r="G2816" s="3"/>
      <c r="H2816" s="3"/>
      <c r="I2816" s="3"/>
    </row>
    <row r="2817">
      <c r="A2817" s="4" t="s">
        <v>4121</v>
      </c>
      <c r="B2817" s="13" t="s">
        <v>43</v>
      </c>
      <c r="D2817" s="3"/>
      <c r="E2817" s="3"/>
      <c r="F2817" s="3"/>
      <c r="G2817" s="3"/>
      <c r="H2817" s="3"/>
      <c r="I2817" s="3"/>
    </row>
    <row r="2818">
      <c r="A2818" s="4" t="s">
        <v>4122</v>
      </c>
      <c r="B2818" s="13" t="s">
        <v>43</v>
      </c>
      <c r="D2818" s="3"/>
      <c r="E2818" s="3"/>
      <c r="F2818" s="3"/>
      <c r="G2818" s="3"/>
      <c r="H2818" s="3"/>
      <c r="I2818" s="3"/>
    </row>
    <row r="2819">
      <c r="A2819" s="4" t="s">
        <v>4123</v>
      </c>
      <c r="B2819" s="13" t="s">
        <v>43</v>
      </c>
      <c r="D2819" s="3"/>
      <c r="E2819" s="3"/>
      <c r="F2819" s="3"/>
      <c r="G2819" s="3"/>
      <c r="H2819" s="3"/>
      <c r="I2819" s="3"/>
    </row>
    <row r="2820">
      <c r="A2820" s="4" t="s">
        <v>4124</v>
      </c>
      <c r="B2820" s="13" t="s">
        <v>43</v>
      </c>
      <c r="D2820" s="3"/>
      <c r="E2820" s="3"/>
      <c r="F2820" s="3"/>
      <c r="G2820" s="3"/>
      <c r="H2820" s="3"/>
      <c r="I2820" s="3"/>
    </row>
    <row r="2821">
      <c r="A2821" s="4" t="s">
        <v>4125</v>
      </c>
      <c r="B2821" s="13" t="s">
        <v>43</v>
      </c>
      <c r="D2821" s="3"/>
      <c r="E2821" s="3"/>
      <c r="F2821" s="3"/>
      <c r="G2821" s="3"/>
      <c r="H2821" s="3"/>
      <c r="I2821" s="3"/>
    </row>
    <row r="2822">
      <c r="A2822" s="4" t="s">
        <v>4126</v>
      </c>
      <c r="B2822" s="13" t="s">
        <v>43</v>
      </c>
      <c r="D2822" s="3"/>
      <c r="E2822" s="3"/>
      <c r="F2822" s="3"/>
      <c r="G2822" s="3"/>
      <c r="H2822" s="3"/>
      <c r="I2822" s="3"/>
    </row>
    <row r="2823">
      <c r="A2823" s="4" t="s">
        <v>4127</v>
      </c>
      <c r="B2823" s="13" t="s">
        <v>43</v>
      </c>
      <c r="D2823" s="3"/>
      <c r="E2823" s="3"/>
      <c r="F2823" s="3"/>
      <c r="G2823" s="3"/>
      <c r="H2823" s="3"/>
      <c r="I2823" s="3"/>
    </row>
    <row r="2824">
      <c r="A2824" s="4" t="s">
        <v>4128</v>
      </c>
      <c r="B2824" s="13" t="s">
        <v>43</v>
      </c>
      <c r="D2824" s="3"/>
      <c r="E2824" s="3"/>
      <c r="F2824" s="3"/>
      <c r="G2824" s="3"/>
      <c r="H2824" s="3"/>
      <c r="I2824" s="3"/>
    </row>
    <row r="2825">
      <c r="A2825" s="4" t="s">
        <v>4129</v>
      </c>
      <c r="B2825" s="13" t="s">
        <v>43</v>
      </c>
      <c r="D2825" s="3"/>
      <c r="E2825" s="3"/>
      <c r="F2825" s="3"/>
      <c r="G2825" s="3"/>
      <c r="H2825" s="3"/>
      <c r="I2825" s="3"/>
    </row>
    <row r="2826">
      <c r="A2826" s="4" t="s">
        <v>4130</v>
      </c>
      <c r="B2826" s="13" t="s">
        <v>43</v>
      </c>
      <c r="D2826" s="3"/>
      <c r="E2826" s="3"/>
      <c r="F2826" s="3"/>
      <c r="G2826" s="3"/>
      <c r="H2826" s="3"/>
      <c r="I2826" s="3"/>
    </row>
    <row r="2827">
      <c r="A2827" s="4" t="s">
        <v>4131</v>
      </c>
      <c r="B2827" s="13" t="s">
        <v>43</v>
      </c>
      <c r="D2827" s="3"/>
      <c r="E2827" s="3"/>
      <c r="F2827" s="3"/>
      <c r="G2827" s="3"/>
      <c r="H2827" s="3"/>
      <c r="I2827" s="3"/>
    </row>
    <row r="2828">
      <c r="A2828" s="4" t="s">
        <v>4132</v>
      </c>
      <c r="B2828" s="13" t="s">
        <v>43</v>
      </c>
      <c r="D2828" s="3"/>
      <c r="E2828" s="3"/>
      <c r="F2828" s="3"/>
      <c r="G2828" s="3"/>
      <c r="H2828" s="3"/>
      <c r="I2828" s="3"/>
    </row>
    <row r="2829">
      <c r="A2829" s="4" t="s">
        <v>4133</v>
      </c>
      <c r="B2829" s="13" t="s">
        <v>43</v>
      </c>
      <c r="D2829" s="3"/>
      <c r="E2829" s="3"/>
      <c r="F2829" s="3"/>
      <c r="G2829" s="3"/>
      <c r="H2829" s="3"/>
      <c r="I2829" s="3"/>
    </row>
    <row r="2830">
      <c r="A2830" s="4" t="s">
        <v>4134</v>
      </c>
      <c r="B2830" s="13" t="s">
        <v>43</v>
      </c>
      <c r="D2830" s="3"/>
      <c r="E2830" s="3"/>
      <c r="F2830" s="3"/>
      <c r="G2830" s="3"/>
      <c r="H2830" s="3"/>
      <c r="I2830" s="3"/>
    </row>
    <row r="2831">
      <c r="A2831" s="4" t="s">
        <v>4135</v>
      </c>
      <c r="B2831" s="13" t="s">
        <v>43</v>
      </c>
      <c r="D2831" s="3"/>
      <c r="E2831" s="3"/>
      <c r="F2831" s="3"/>
      <c r="G2831" s="3"/>
      <c r="H2831" s="3"/>
      <c r="I2831" s="3"/>
    </row>
    <row r="2832">
      <c r="A2832" s="4" t="s">
        <v>4136</v>
      </c>
      <c r="B2832" s="13" t="s">
        <v>43</v>
      </c>
      <c r="D2832" s="3"/>
      <c r="E2832" s="3"/>
      <c r="F2832" s="3"/>
      <c r="G2832" s="3"/>
      <c r="H2832" s="3"/>
      <c r="I2832" s="3"/>
    </row>
    <row r="2833">
      <c r="A2833" s="4" t="s">
        <v>4137</v>
      </c>
      <c r="B2833" s="13" t="s">
        <v>43</v>
      </c>
      <c r="D2833" s="3"/>
      <c r="E2833" s="3"/>
      <c r="F2833" s="3"/>
      <c r="G2833" s="3"/>
      <c r="H2833" s="3"/>
      <c r="I2833" s="3"/>
    </row>
    <row r="2834">
      <c r="A2834" s="4" t="s">
        <v>4138</v>
      </c>
      <c r="B2834" s="13" t="s">
        <v>43</v>
      </c>
      <c r="D2834" s="3"/>
      <c r="E2834" s="3"/>
      <c r="F2834" s="3"/>
      <c r="G2834" s="3"/>
      <c r="H2834" s="3"/>
      <c r="I2834" s="3"/>
    </row>
    <row r="2835">
      <c r="A2835" s="4" t="s">
        <v>4139</v>
      </c>
      <c r="B2835" s="13" t="s">
        <v>43</v>
      </c>
      <c r="D2835" s="3"/>
      <c r="E2835" s="3"/>
      <c r="F2835" s="3"/>
      <c r="G2835" s="3"/>
      <c r="H2835" s="3"/>
      <c r="I2835" s="3"/>
    </row>
    <row r="2836">
      <c r="A2836" s="4" t="s">
        <v>4140</v>
      </c>
      <c r="B2836" s="13" t="s">
        <v>43</v>
      </c>
      <c r="D2836" s="3"/>
      <c r="E2836" s="3"/>
      <c r="F2836" s="3"/>
      <c r="G2836" s="3"/>
      <c r="H2836" s="3"/>
      <c r="I2836" s="3"/>
    </row>
    <row r="2837">
      <c r="A2837" s="4" t="s">
        <v>4141</v>
      </c>
      <c r="B2837" s="13" t="s">
        <v>43</v>
      </c>
      <c r="D2837" s="3"/>
      <c r="E2837" s="3"/>
      <c r="F2837" s="3"/>
      <c r="G2837" s="3"/>
      <c r="H2837" s="3"/>
      <c r="I2837" s="3"/>
    </row>
    <row r="2838">
      <c r="A2838" s="4" t="s">
        <v>4142</v>
      </c>
      <c r="B2838" s="13" t="s">
        <v>43</v>
      </c>
      <c r="D2838" s="3"/>
      <c r="E2838" s="3"/>
      <c r="F2838" s="3"/>
      <c r="G2838" s="3"/>
      <c r="H2838" s="3"/>
      <c r="I2838" s="3"/>
    </row>
    <row r="2839">
      <c r="A2839" s="4" t="s">
        <v>4143</v>
      </c>
      <c r="B2839" s="13" t="s">
        <v>43</v>
      </c>
      <c r="D2839" s="3"/>
      <c r="E2839" s="3"/>
      <c r="F2839" s="3"/>
      <c r="G2839" s="3"/>
      <c r="H2839" s="3"/>
      <c r="I2839" s="3"/>
    </row>
    <row r="2840">
      <c r="A2840" s="4" t="s">
        <v>4144</v>
      </c>
      <c r="B2840" s="13" t="s">
        <v>43</v>
      </c>
      <c r="D2840" s="3"/>
      <c r="E2840" s="3"/>
      <c r="F2840" s="3"/>
      <c r="G2840" s="3"/>
      <c r="H2840" s="3"/>
      <c r="I2840" s="3"/>
    </row>
    <row r="2841">
      <c r="A2841" s="4" t="s">
        <v>4145</v>
      </c>
      <c r="B2841" s="13" t="s">
        <v>43</v>
      </c>
      <c r="D2841" s="3"/>
      <c r="E2841" s="3"/>
      <c r="F2841" s="3"/>
      <c r="G2841" s="3"/>
      <c r="H2841" s="3"/>
      <c r="I2841" s="3"/>
    </row>
    <row r="2842">
      <c r="A2842" s="4" t="s">
        <v>4146</v>
      </c>
      <c r="B2842" s="13" t="s">
        <v>43</v>
      </c>
      <c r="D2842" s="3"/>
      <c r="E2842" s="3"/>
      <c r="F2842" s="3"/>
      <c r="G2842" s="3"/>
      <c r="H2842" s="3"/>
      <c r="I2842" s="3"/>
    </row>
    <row r="2843">
      <c r="A2843" s="4" t="s">
        <v>4147</v>
      </c>
      <c r="B2843" s="13" t="s">
        <v>43</v>
      </c>
      <c r="D2843" s="3"/>
      <c r="E2843" s="3"/>
      <c r="F2843" s="3"/>
      <c r="G2843" s="3"/>
      <c r="H2843" s="3"/>
      <c r="I2843" s="3"/>
    </row>
    <row r="2844">
      <c r="A2844" s="4" t="s">
        <v>4148</v>
      </c>
      <c r="B2844" s="13" t="s">
        <v>43</v>
      </c>
      <c r="D2844" s="3"/>
      <c r="E2844" s="3"/>
      <c r="F2844" s="3"/>
      <c r="G2844" s="3"/>
      <c r="H2844" s="3"/>
      <c r="I2844" s="3"/>
    </row>
    <row r="2845">
      <c r="A2845" s="4" t="s">
        <v>4149</v>
      </c>
      <c r="B2845" s="13" t="s">
        <v>43</v>
      </c>
      <c r="D2845" s="3"/>
      <c r="E2845" s="3"/>
      <c r="F2845" s="3"/>
      <c r="G2845" s="3"/>
      <c r="H2845" s="3"/>
      <c r="I2845" s="3"/>
    </row>
    <row r="2846">
      <c r="A2846" s="4" t="s">
        <v>4150</v>
      </c>
      <c r="B2846" s="13" t="s">
        <v>43</v>
      </c>
      <c r="D2846" s="3"/>
      <c r="E2846" s="3"/>
      <c r="F2846" s="3"/>
      <c r="G2846" s="3"/>
      <c r="H2846" s="3"/>
      <c r="I2846" s="3"/>
    </row>
    <row r="2847">
      <c r="A2847" s="4" t="s">
        <v>4151</v>
      </c>
      <c r="B2847" s="13" t="s">
        <v>43</v>
      </c>
      <c r="D2847" s="3"/>
      <c r="E2847" s="3"/>
      <c r="F2847" s="3"/>
      <c r="G2847" s="3"/>
      <c r="H2847" s="3"/>
      <c r="I2847" s="3"/>
    </row>
    <row r="2848">
      <c r="A2848" s="4" t="s">
        <v>4152</v>
      </c>
      <c r="B2848" s="13" t="s">
        <v>43</v>
      </c>
      <c r="D2848" s="3"/>
      <c r="E2848" s="3"/>
      <c r="F2848" s="3"/>
      <c r="G2848" s="3"/>
      <c r="H2848" s="3"/>
      <c r="I2848" s="3"/>
    </row>
    <row r="2849">
      <c r="A2849" s="4" t="s">
        <v>4153</v>
      </c>
      <c r="B2849" s="13" t="s">
        <v>43</v>
      </c>
      <c r="D2849" s="3"/>
      <c r="E2849" s="3"/>
      <c r="F2849" s="3"/>
      <c r="G2849" s="3"/>
      <c r="H2849" s="3"/>
      <c r="I2849" s="3"/>
    </row>
    <row r="2850">
      <c r="A2850" s="4" t="s">
        <v>4154</v>
      </c>
      <c r="B2850" s="13" t="s">
        <v>43</v>
      </c>
      <c r="D2850" s="3"/>
      <c r="E2850" s="3"/>
      <c r="F2850" s="3"/>
      <c r="G2850" s="3"/>
      <c r="H2850" s="3"/>
      <c r="I2850" s="3"/>
    </row>
    <row r="2851">
      <c r="A2851" s="4" t="s">
        <v>4155</v>
      </c>
      <c r="B2851" s="13" t="s">
        <v>43</v>
      </c>
      <c r="D2851" s="3"/>
      <c r="E2851" s="3"/>
      <c r="F2851" s="3"/>
      <c r="G2851" s="3"/>
      <c r="H2851" s="3"/>
      <c r="I2851" s="3"/>
    </row>
    <row r="2852">
      <c r="A2852" s="4" t="s">
        <v>4156</v>
      </c>
      <c r="B2852" s="13" t="s">
        <v>43</v>
      </c>
      <c r="D2852" s="3"/>
      <c r="E2852" s="3"/>
      <c r="F2852" s="3"/>
      <c r="G2852" s="3"/>
      <c r="H2852" s="3"/>
      <c r="I2852" s="3"/>
    </row>
    <row r="2853">
      <c r="A2853" s="4" t="s">
        <v>4157</v>
      </c>
      <c r="B2853" s="13" t="s">
        <v>43</v>
      </c>
      <c r="D2853" s="3"/>
      <c r="E2853" s="3"/>
      <c r="F2853" s="3"/>
      <c r="G2853" s="3"/>
      <c r="H2853" s="3"/>
      <c r="I2853" s="3"/>
    </row>
    <row r="2854">
      <c r="A2854" s="4" t="s">
        <v>4158</v>
      </c>
      <c r="B2854" s="13" t="s">
        <v>43</v>
      </c>
      <c r="D2854" s="3"/>
      <c r="E2854" s="3"/>
      <c r="F2854" s="3"/>
      <c r="G2854" s="3"/>
      <c r="H2854" s="3"/>
      <c r="I2854" s="3"/>
    </row>
    <row r="2855">
      <c r="A2855" s="4" t="s">
        <v>4159</v>
      </c>
      <c r="B2855" s="13" t="s">
        <v>43</v>
      </c>
      <c r="D2855" s="3"/>
      <c r="E2855" s="3"/>
      <c r="F2855" s="3"/>
      <c r="G2855" s="3"/>
      <c r="H2855" s="3"/>
      <c r="I2855" s="3"/>
    </row>
    <row r="2856">
      <c r="A2856" s="4" t="s">
        <v>4160</v>
      </c>
      <c r="B2856" s="13" t="s">
        <v>43</v>
      </c>
      <c r="D2856" s="3"/>
      <c r="E2856" s="3"/>
      <c r="F2856" s="3"/>
      <c r="G2856" s="3"/>
      <c r="H2856" s="3"/>
      <c r="I2856" s="3"/>
    </row>
    <row r="2857">
      <c r="A2857" s="4" t="s">
        <v>4161</v>
      </c>
      <c r="B2857" s="13" t="s">
        <v>43</v>
      </c>
      <c r="D2857" s="3"/>
      <c r="E2857" s="3"/>
      <c r="F2857" s="3"/>
      <c r="G2857" s="3"/>
      <c r="H2857" s="3"/>
      <c r="I2857" s="3"/>
    </row>
    <row r="2858">
      <c r="A2858" s="4" t="s">
        <v>4162</v>
      </c>
      <c r="B2858" s="13" t="s">
        <v>43</v>
      </c>
      <c r="D2858" s="3"/>
      <c r="E2858" s="3"/>
      <c r="F2858" s="3"/>
      <c r="G2858" s="3"/>
      <c r="H2858" s="3"/>
      <c r="I2858" s="3"/>
    </row>
    <row r="2859">
      <c r="A2859" s="4" t="s">
        <v>4163</v>
      </c>
      <c r="B2859" s="13" t="s">
        <v>43</v>
      </c>
      <c r="D2859" s="3"/>
      <c r="E2859" s="3"/>
      <c r="F2859" s="3"/>
      <c r="G2859" s="3"/>
      <c r="H2859" s="3"/>
      <c r="I2859" s="3"/>
    </row>
    <row r="2860">
      <c r="A2860" s="4" t="s">
        <v>4164</v>
      </c>
      <c r="B2860" s="13" t="s">
        <v>43</v>
      </c>
      <c r="D2860" s="3"/>
      <c r="E2860" s="3"/>
      <c r="F2860" s="3"/>
      <c r="G2860" s="3"/>
      <c r="H2860" s="3"/>
      <c r="I2860" s="3"/>
    </row>
    <row r="2861">
      <c r="A2861" s="4" t="s">
        <v>4165</v>
      </c>
      <c r="B2861" s="13" t="s">
        <v>43</v>
      </c>
      <c r="D2861" s="3"/>
      <c r="E2861" s="3"/>
      <c r="F2861" s="3"/>
      <c r="G2861" s="3"/>
      <c r="H2861" s="3"/>
      <c r="I2861" s="3"/>
    </row>
    <row r="2862">
      <c r="A2862" s="4" t="s">
        <v>4166</v>
      </c>
      <c r="B2862" s="13" t="s">
        <v>43</v>
      </c>
      <c r="D2862" s="3"/>
      <c r="E2862" s="3"/>
      <c r="F2862" s="3"/>
      <c r="G2862" s="3"/>
      <c r="H2862" s="3"/>
      <c r="I2862" s="3"/>
    </row>
    <row r="2863">
      <c r="A2863" s="4" t="s">
        <v>4167</v>
      </c>
      <c r="B2863" s="13" t="s">
        <v>43</v>
      </c>
      <c r="D2863" s="3"/>
      <c r="E2863" s="3"/>
      <c r="F2863" s="3"/>
      <c r="G2863" s="3"/>
      <c r="H2863" s="3"/>
      <c r="I2863" s="3"/>
    </row>
    <row r="2864">
      <c r="A2864" s="4" t="s">
        <v>4168</v>
      </c>
      <c r="B2864" s="13" t="s">
        <v>43</v>
      </c>
      <c r="D2864" s="3"/>
      <c r="E2864" s="3"/>
      <c r="F2864" s="3"/>
      <c r="G2864" s="3"/>
      <c r="H2864" s="3"/>
      <c r="I2864" s="3"/>
    </row>
    <row r="2865">
      <c r="A2865" s="4" t="s">
        <v>4169</v>
      </c>
      <c r="B2865" s="13" t="s">
        <v>43</v>
      </c>
      <c r="D2865" s="3"/>
      <c r="E2865" s="3"/>
      <c r="F2865" s="3"/>
      <c r="G2865" s="3"/>
      <c r="H2865" s="3"/>
      <c r="I2865" s="3"/>
    </row>
    <row r="2866">
      <c r="A2866" s="4" t="s">
        <v>4170</v>
      </c>
      <c r="B2866" s="13" t="s">
        <v>43</v>
      </c>
      <c r="D2866" s="3"/>
      <c r="E2866" s="3"/>
      <c r="F2866" s="3"/>
      <c r="G2866" s="3"/>
      <c r="H2866" s="3"/>
      <c r="I2866" s="3"/>
    </row>
    <row r="2867">
      <c r="A2867" s="4" t="s">
        <v>4171</v>
      </c>
      <c r="B2867" s="13" t="s">
        <v>43</v>
      </c>
      <c r="D2867" s="3"/>
      <c r="E2867" s="3"/>
      <c r="F2867" s="3"/>
      <c r="G2867" s="3"/>
      <c r="H2867" s="3"/>
      <c r="I2867" s="3"/>
    </row>
    <row r="2868">
      <c r="A2868" s="4" t="s">
        <v>4172</v>
      </c>
      <c r="B2868" s="13" t="s">
        <v>43</v>
      </c>
      <c r="D2868" s="3"/>
      <c r="E2868" s="3"/>
      <c r="F2868" s="3"/>
      <c r="G2868" s="3"/>
      <c r="H2868" s="3"/>
      <c r="I2868" s="3"/>
    </row>
    <row r="2869">
      <c r="A2869" s="4" t="s">
        <v>4173</v>
      </c>
      <c r="B2869" s="13" t="s">
        <v>43</v>
      </c>
      <c r="D2869" s="3"/>
      <c r="E2869" s="3"/>
      <c r="F2869" s="3"/>
      <c r="G2869" s="3"/>
      <c r="H2869" s="3"/>
      <c r="I2869" s="3"/>
    </row>
    <row r="2870">
      <c r="A2870" s="4" t="s">
        <v>4174</v>
      </c>
      <c r="B2870" s="13" t="s">
        <v>43</v>
      </c>
      <c r="D2870" s="3"/>
      <c r="E2870" s="3"/>
      <c r="F2870" s="3"/>
      <c r="G2870" s="3"/>
      <c r="H2870" s="3"/>
      <c r="I2870" s="3"/>
    </row>
    <row r="2871">
      <c r="A2871" s="4" t="s">
        <v>4175</v>
      </c>
      <c r="B2871" s="13" t="s">
        <v>43</v>
      </c>
      <c r="D2871" s="3"/>
      <c r="E2871" s="3"/>
      <c r="F2871" s="3"/>
      <c r="G2871" s="3"/>
      <c r="H2871" s="3"/>
      <c r="I2871" s="3"/>
    </row>
    <row r="2872">
      <c r="A2872" s="4" t="s">
        <v>4176</v>
      </c>
      <c r="B2872" s="13" t="s">
        <v>43</v>
      </c>
      <c r="D2872" s="3"/>
      <c r="E2872" s="3"/>
      <c r="F2872" s="3"/>
      <c r="G2872" s="3"/>
      <c r="H2872" s="3"/>
      <c r="I2872" s="3"/>
    </row>
    <row r="2873">
      <c r="A2873" s="4" t="s">
        <v>4177</v>
      </c>
      <c r="B2873" s="13" t="s">
        <v>43</v>
      </c>
      <c r="D2873" s="3"/>
      <c r="E2873" s="3"/>
      <c r="F2873" s="3"/>
      <c r="G2873" s="3"/>
      <c r="H2873" s="3"/>
      <c r="I2873" s="3"/>
    </row>
    <row r="2874">
      <c r="A2874" s="4" t="s">
        <v>4178</v>
      </c>
      <c r="B2874" s="13" t="s">
        <v>43</v>
      </c>
      <c r="D2874" s="3"/>
      <c r="E2874" s="3"/>
      <c r="F2874" s="3"/>
      <c r="G2874" s="3"/>
      <c r="H2874" s="3"/>
      <c r="I2874" s="3"/>
    </row>
    <row r="2875">
      <c r="A2875" s="4" t="s">
        <v>4179</v>
      </c>
      <c r="B2875" s="13" t="s">
        <v>43</v>
      </c>
      <c r="D2875" s="3"/>
      <c r="E2875" s="3"/>
      <c r="F2875" s="3"/>
      <c r="G2875" s="3"/>
      <c r="H2875" s="3"/>
      <c r="I2875" s="3"/>
    </row>
    <row r="2876">
      <c r="A2876" s="4" t="s">
        <v>4180</v>
      </c>
      <c r="B2876" s="13" t="s">
        <v>43</v>
      </c>
      <c r="D2876" s="3"/>
      <c r="E2876" s="3"/>
      <c r="F2876" s="3"/>
      <c r="G2876" s="3"/>
      <c r="H2876" s="3"/>
      <c r="I2876" s="3"/>
    </row>
    <row r="2877">
      <c r="A2877" s="4" t="s">
        <v>4181</v>
      </c>
      <c r="B2877" s="13" t="s">
        <v>43</v>
      </c>
      <c r="D2877" s="3"/>
      <c r="E2877" s="3"/>
      <c r="F2877" s="3"/>
      <c r="G2877" s="3"/>
      <c r="H2877" s="3"/>
      <c r="I2877" s="3"/>
    </row>
    <row r="2878">
      <c r="A2878" s="4" t="s">
        <v>4182</v>
      </c>
      <c r="B2878" s="13" t="s">
        <v>43</v>
      </c>
      <c r="D2878" s="3"/>
      <c r="E2878" s="3"/>
      <c r="F2878" s="3"/>
      <c r="G2878" s="3"/>
      <c r="H2878" s="3"/>
      <c r="I2878" s="3"/>
    </row>
    <row r="2879">
      <c r="A2879" s="4" t="s">
        <v>4183</v>
      </c>
      <c r="B2879" s="13" t="s">
        <v>43</v>
      </c>
      <c r="D2879" s="3"/>
      <c r="E2879" s="3"/>
      <c r="F2879" s="3"/>
      <c r="G2879" s="3"/>
      <c r="H2879" s="3"/>
      <c r="I2879" s="3"/>
    </row>
    <row r="2880">
      <c r="A2880" s="4" t="s">
        <v>4184</v>
      </c>
      <c r="B2880" s="13" t="s">
        <v>43</v>
      </c>
      <c r="D2880" s="3"/>
      <c r="E2880" s="3"/>
      <c r="F2880" s="3"/>
      <c r="G2880" s="3"/>
      <c r="H2880" s="3"/>
      <c r="I2880" s="3"/>
    </row>
    <row r="2881">
      <c r="A2881" s="4" t="s">
        <v>4185</v>
      </c>
      <c r="B2881" s="13" t="s">
        <v>43</v>
      </c>
      <c r="D2881" s="3"/>
      <c r="E2881" s="3"/>
      <c r="F2881" s="3"/>
      <c r="G2881" s="3"/>
      <c r="H2881" s="3"/>
      <c r="I2881" s="3"/>
    </row>
    <row r="2882">
      <c r="A2882" s="4" t="s">
        <v>4186</v>
      </c>
      <c r="B2882" s="13" t="s">
        <v>43</v>
      </c>
      <c r="D2882" s="3"/>
      <c r="E2882" s="3"/>
      <c r="F2882" s="3"/>
      <c r="G2882" s="3"/>
      <c r="H2882" s="3"/>
      <c r="I2882" s="3"/>
    </row>
    <row r="2883">
      <c r="A2883" s="4" t="s">
        <v>4187</v>
      </c>
      <c r="B2883" s="13" t="s">
        <v>43</v>
      </c>
      <c r="D2883" s="3"/>
      <c r="E2883" s="3"/>
      <c r="F2883" s="3"/>
      <c r="G2883" s="3"/>
      <c r="H2883" s="3"/>
      <c r="I2883" s="3"/>
    </row>
    <row r="2884">
      <c r="A2884" s="4" t="s">
        <v>4188</v>
      </c>
      <c r="B2884" s="13" t="s">
        <v>43</v>
      </c>
      <c r="D2884" s="3"/>
      <c r="E2884" s="3"/>
      <c r="F2884" s="3"/>
      <c r="G2884" s="3"/>
      <c r="H2884" s="3"/>
      <c r="I2884" s="3"/>
    </row>
    <row r="2885">
      <c r="A2885" s="4" t="s">
        <v>4189</v>
      </c>
      <c r="B2885" s="13" t="s">
        <v>43</v>
      </c>
      <c r="D2885" s="3"/>
      <c r="E2885" s="3"/>
      <c r="F2885" s="3"/>
      <c r="G2885" s="3"/>
      <c r="H2885" s="3"/>
      <c r="I2885" s="3"/>
    </row>
    <row r="2886">
      <c r="A2886" s="4" t="s">
        <v>4190</v>
      </c>
      <c r="B2886" s="13" t="s">
        <v>43</v>
      </c>
      <c r="D2886" s="3"/>
      <c r="E2886" s="3"/>
      <c r="F2886" s="3"/>
      <c r="G2886" s="3"/>
      <c r="H2886" s="3"/>
      <c r="I2886" s="3"/>
    </row>
    <row r="2887">
      <c r="A2887" s="4" t="s">
        <v>4191</v>
      </c>
      <c r="B2887" s="13" t="s">
        <v>43</v>
      </c>
      <c r="D2887" s="3"/>
      <c r="E2887" s="3"/>
      <c r="F2887" s="3"/>
      <c r="G2887" s="3"/>
      <c r="H2887" s="3"/>
      <c r="I2887" s="3"/>
    </row>
    <row r="2888">
      <c r="A2888" s="4" t="s">
        <v>4192</v>
      </c>
      <c r="B2888" s="13" t="s">
        <v>43</v>
      </c>
      <c r="D2888" s="3"/>
      <c r="E2888" s="3"/>
      <c r="F2888" s="3"/>
      <c r="G2888" s="3"/>
      <c r="H2888" s="3"/>
      <c r="I2888" s="3"/>
    </row>
    <row r="2889">
      <c r="A2889" s="4" t="s">
        <v>4193</v>
      </c>
      <c r="B2889" s="13" t="s">
        <v>43</v>
      </c>
      <c r="D2889" s="3"/>
      <c r="E2889" s="3"/>
      <c r="F2889" s="3"/>
      <c r="G2889" s="3"/>
      <c r="H2889" s="3"/>
      <c r="I2889" s="3"/>
    </row>
    <row r="2890">
      <c r="A2890" s="4" t="s">
        <v>4194</v>
      </c>
      <c r="B2890" s="13" t="s">
        <v>43</v>
      </c>
      <c r="D2890" s="3"/>
      <c r="E2890" s="3"/>
      <c r="F2890" s="3"/>
      <c r="G2890" s="3"/>
      <c r="H2890" s="3"/>
      <c r="I2890" s="3"/>
    </row>
    <row r="2891">
      <c r="A2891" s="4" t="s">
        <v>4195</v>
      </c>
      <c r="B2891" s="13" t="s">
        <v>43</v>
      </c>
      <c r="D2891" s="3"/>
      <c r="E2891" s="3"/>
      <c r="F2891" s="3"/>
      <c r="G2891" s="3"/>
      <c r="H2891" s="3"/>
      <c r="I2891" s="3"/>
    </row>
    <row r="2892">
      <c r="A2892" s="4" t="s">
        <v>4196</v>
      </c>
      <c r="B2892" s="13" t="s">
        <v>43</v>
      </c>
      <c r="D2892" s="3"/>
      <c r="E2892" s="3"/>
      <c r="F2892" s="3"/>
      <c r="G2892" s="3"/>
      <c r="H2892" s="3"/>
      <c r="I2892" s="3"/>
    </row>
    <row r="2893">
      <c r="A2893" s="4" t="s">
        <v>4197</v>
      </c>
      <c r="B2893" s="13" t="s">
        <v>43</v>
      </c>
      <c r="D2893" s="3"/>
      <c r="E2893" s="3"/>
      <c r="F2893" s="3"/>
      <c r="G2893" s="3"/>
      <c r="H2893" s="3"/>
      <c r="I2893" s="3"/>
    </row>
    <row r="2894">
      <c r="A2894" s="4" t="s">
        <v>4198</v>
      </c>
      <c r="B2894" s="13" t="s">
        <v>43</v>
      </c>
      <c r="D2894" s="3"/>
      <c r="E2894" s="3"/>
      <c r="F2894" s="3"/>
      <c r="G2894" s="3"/>
      <c r="H2894" s="3"/>
      <c r="I2894" s="3"/>
    </row>
    <row r="2895">
      <c r="A2895" s="4" t="s">
        <v>4199</v>
      </c>
      <c r="B2895" s="13" t="s">
        <v>43</v>
      </c>
      <c r="D2895" s="3"/>
      <c r="E2895" s="3"/>
      <c r="F2895" s="3"/>
      <c r="G2895" s="3"/>
      <c r="H2895" s="3"/>
      <c r="I2895" s="3"/>
    </row>
    <row r="2896">
      <c r="A2896" s="4" t="s">
        <v>4200</v>
      </c>
      <c r="B2896" s="13" t="s">
        <v>43</v>
      </c>
      <c r="D2896" s="3"/>
      <c r="E2896" s="3"/>
      <c r="F2896" s="3"/>
      <c r="G2896" s="3"/>
      <c r="H2896" s="3"/>
      <c r="I2896" s="3"/>
    </row>
    <row r="2897">
      <c r="A2897" s="4" t="s">
        <v>4201</v>
      </c>
      <c r="B2897" s="13" t="s">
        <v>43</v>
      </c>
      <c r="D2897" s="3"/>
      <c r="E2897" s="3"/>
      <c r="F2897" s="3"/>
      <c r="G2897" s="3"/>
      <c r="H2897" s="3"/>
      <c r="I2897" s="3"/>
    </row>
    <row r="2898">
      <c r="A2898" s="4" t="s">
        <v>4202</v>
      </c>
      <c r="B2898" s="13" t="s">
        <v>43</v>
      </c>
      <c r="D2898" s="3"/>
      <c r="E2898" s="3"/>
      <c r="F2898" s="3"/>
      <c r="G2898" s="3"/>
      <c r="H2898" s="3"/>
      <c r="I2898" s="3"/>
    </row>
    <row r="2899">
      <c r="A2899" s="4" t="s">
        <v>4203</v>
      </c>
      <c r="B2899" s="13" t="s">
        <v>43</v>
      </c>
      <c r="D2899" s="3"/>
      <c r="E2899" s="3"/>
      <c r="F2899" s="3"/>
      <c r="G2899" s="3"/>
      <c r="H2899" s="3"/>
      <c r="I2899" s="3"/>
    </row>
    <row r="2900">
      <c r="A2900" s="4" t="s">
        <v>4204</v>
      </c>
      <c r="B2900" s="13" t="s">
        <v>43</v>
      </c>
      <c r="D2900" s="3"/>
      <c r="E2900" s="3"/>
      <c r="F2900" s="3"/>
      <c r="G2900" s="3"/>
      <c r="H2900" s="3"/>
      <c r="I2900" s="3"/>
    </row>
    <row r="2901">
      <c r="A2901" s="4" t="s">
        <v>4205</v>
      </c>
      <c r="B2901" s="13" t="s">
        <v>43</v>
      </c>
      <c r="D2901" s="3"/>
      <c r="E2901" s="3"/>
      <c r="F2901" s="3"/>
      <c r="G2901" s="3"/>
      <c r="H2901" s="3"/>
      <c r="I2901" s="3"/>
    </row>
    <row r="2902">
      <c r="A2902" s="4" t="s">
        <v>4206</v>
      </c>
      <c r="B2902" s="13" t="s">
        <v>43</v>
      </c>
      <c r="D2902" s="3"/>
      <c r="E2902" s="3"/>
      <c r="F2902" s="3"/>
      <c r="G2902" s="3"/>
      <c r="H2902" s="3"/>
      <c r="I2902" s="3"/>
    </row>
    <row r="2903">
      <c r="A2903" s="4" t="s">
        <v>4207</v>
      </c>
      <c r="B2903" s="13" t="s">
        <v>43</v>
      </c>
      <c r="D2903" s="3"/>
      <c r="E2903" s="3"/>
      <c r="F2903" s="3"/>
      <c r="G2903" s="3"/>
      <c r="H2903" s="3"/>
      <c r="I2903" s="3"/>
    </row>
    <row r="2904">
      <c r="A2904" s="4" t="s">
        <v>4208</v>
      </c>
      <c r="B2904" s="13" t="s">
        <v>43</v>
      </c>
      <c r="D2904" s="3"/>
      <c r="E2904" s="3"/>
      <c r="F2904" s="3"/>
      <c r="G2904" s="3"/>
      <c r="H2904" s="3"/>
      <c r="I2904" s="3"/>
    </row>
    <row r="2905">
      <c r="A2905" s="4" t="s">
        <v>4209</v>
      </c>
      <c r="B2905" s="13" t="s">
        <v>43</v>
      </c>
      <c r="D2905" s="3"/>
      <c r="E2905" s="3"/>
      <c r="F2905" s="3"/>
      <c r="G2905" s="3"/>
      <c r="H2905" s="3"/>
      <c r="I2905" s="3"/>
    </row>
    <row r="2906">
      <c r="A2906" s="4" t="s">
        <v>4210</v>
      </c>
      <c r="B2906" s="13" t="s">
        <v>43</v>
      </c>
      <c r="D2906" s="3"/>
      <c r="E2906" s="3"/>
      <c r="F2906" s="3"/>
      <c r="G2906" s="3"/>
      <c r="H2906" s="3"/>
      <c r="I2906" s="3"/>
    </row>
    <row r="2907">
      <c r="A2907" s="4" t="s">
        <v>4211</v>
      </c>
      <c r="B2907" s="13" t="s">
        <v>43</v>
      </c>
      <c r="D2907" s="3"/>
      <c r="E2907" s="3"/>
      <c r="F2907" s="3"/>
      <c r="G2907" s="3"/>
      <c r="H2907" s="3"/>
      <c r="I2907" s="3"/>
    </row>
    <row r="2908">
      <c r="A2908" s="4" t="s">
        <v>4212</v>
      </c>
      <c r="B2908" s="13" t="s">
        <v>43</v>
      </c>
      <c r="D2908" s="3"/>
      <c r="E2908" s="3"/>
      <c r="F2908" s="3"/>
      <c r="G2908" s="3"/>
      <c r="H2908" s="3"/>
      <c r="I2908" s="3"/>
    </row>
    <row r="2909">
      <c r="A2909" s="4" t="s">
        <v>4213</v>
      </c>
      <c r="B2909" s="13" t="s">
        <v>43</v>
      </c>
      <c r="D2909" s="3"/>
      <c r="E2909" s="3"/>
      <c r="F2909" s="3"/>
      <c r="G2909" s="3"/>
      <c r="H2909" s="3"/>
      <c r="I2909" s="3"/>
    </row>
    <row r="2910">
      <c r="A2910" s="4" t="s">
        <v>4214</v>
      </c>
      <c r="B2910" s="13" t="s">
        <v>43</v>
      </c>
      <c r="D2910" s="3"/>
      <c r="E2910" s="3"/>
      <c r="F2910" s="3"/>
      <c r="G2910" s="3"/>
      <c r="H2910" s="3"/>
      <c r="I2910" s="3"/>
    </row>
    <row r="2911">
      <c r="A2911" s="4" t="s">
        <v>4215</v>
      </c>
      <c r="B2911" s="13" t="s">
        <v>43</v>
      </c>
      <c r="D2911" s="3"/>
      <c r="E2911" s="3"/>
      <c r="F2911" s="3"/>
      <c r="G2911" s="3"/>
      <c r="H2911" s="3"/>
      <c r="I2911" s="3"/>
    </row>
    <row r="2912">
      <c r="A2912" s="4" t="s">
        <v>4216</v>
      </c>
      <c r="B2912" s="13" t="s">
        <v>43</v>
      </c>
      <c r="D2912" s="3"/>
      <c r="E2912" s="3"/>
      <c r="F2912" s="3"/>
      <c r="G2912" s="3"/>
      <c r="H2912" s="3"/>
      <c r="I2912" s="3"/>
    </row>
    <row r="2913">
      <c r="A2913" s="4" t="s">
        <v>4217</v>
      </c>
      <c r="B2913" s="13" t="s">
        <v>43</v>
      </c>
      <c r="D2913" s="3"/>
      <c r="E2913" s="3"/>
      <c r="F2913" s="3"/>
      <c r="G2913" s="3"/>
      <c r="H2913" s="3"/>
      <c r="I2913" s="3"/>
    </row>
    <row r="2914">
      <c r="A2914" s="4" t="s">
        <v>4218</v>
      </c>
      <c r="B2914" s="13" t="s">
        <v>43</v>
      </c>
      <c r="D2914" s="3"/>
      <c r="E2914" s="3"/>
      <c r="F2914" s="3"/>
      <c r="G2914" s="3"/>
      <c r="H2914" s="3"/>
      <c r="I2914" s="3"/>
    </row>
    <row r="2915">
      <c r="A2915" s="4" t="s">
        <v>4219</v>
      </c>
      <c r="B2915" s="13" t="s">
        <v>43</v>
      </c>
      <c r="D2915" s="3"/>
      <c r="E2915" s="3"/>
      <c r="F2915" s="3"/>
      <c r="G2915" s="3"/>
      <c r="H2915" s="3"/>
      <c r="I2915" s="3"/>
    </row>
    <row r="2916">
      <c r="A2916" s="4" t="s">
        <v>4220</v>
      </c>
      <c r="B2916" s="13" t="s">
        <v>43</v>
      </c>
      <c r="D2916" s="3"/>
      <c r="E2916" s="3"/>
      <c r="F2916" s="3"/>
      <c r="G2916" s="3"/>
      <c r="H2916" s="3"/>
      <c r="I2916" s="3"/>
    </row>
    <row r="2917">
      <c r="A2917" s="4" t="s">
        <v>4221</v>
      </c>
      <c r="B2917" s="13" t="s">
        <v>43</v>
      </c>
      <c r="D2917" s="3"/>
      <c r="E2917" s="3"/>
      <c r="F2917" s="3"/>
      <c r="G2917" s="3"/>
      <c r="H2917" s="3"/>
      <c r="I2917" s="3"/>
    </row>
    <row r="2918">
      <c r="A2918" s="4" t="s">
        <v>4222</v>
      </c>
      <c r="B2918" s="13" t="s">
        <v>43</v>
      </c>
      <c r="D2918" s="3"/>
      <c r="E2918" s="3"/>
      <c r="F2918" s="3"/>
      <c r="G2918" s="3"/>
      <c r="H2918" s="3"/>
      <c r="I2918" s="3"/>
    </row>
    <row r="2919">
      <c r="A2919" s="4" t="s">
        <v>4223</v>
      </c>
      <c r="B2919" s="13" t="s">
        <v>43</v>
      </c>
      <c r="D2919" s="3"/>
      <c r="E2919" s="3"/>
      <c r="F2919" s="3"/>
      <c r="G2919" s="3"/>
      <c r="H2919" s="3"/>
      <c r="I2919" s="3"/>
    </row>
    <row r="2920">
      <c r="A2920" s="4" t="s">
        <v>4224</v>
      </c>
      <c r="B2920" s="13" t="s">
        <v>43</v>
      </c>
      <c r="D2920" s="3"/>
      <c r="E2920" s="3"/>
      <c r="F2920" s="3"/>
      <c r="G2920" s="3"/>
      <c r="H2920" s="3"/>
      <c r="I2920" s="3"/>
    </row>
    <row r="2921">
      <c r="A2921" s="4" t="s">
        <v>4225</v>
      </c>
      <c r="B2921" s="13" t="s">
        <v>43</v>
      </c>
      <c r="D2921" s="3"/>
      <c r="E2921" s="3"/>
      <c r="F2921" s="3"/>
      <c r="G2921" s="3"/>
      <c r="H2921" s="3"/>
      <c r="I2921" s="3"/>
    </row>
    <row r="2922">
      <c r="A2922" s="4" t="s">
        <v>4226</v>
      </c>
      <c r="B2922" s="13" t="s">
        <v>43</v>
      </c>
      <c r="D2922" s="3"/>
      <c r="E2922" s="3"/>
      <c r="F2922" s="3"/>
      <c r="G2922" s="3"/>
      <c r="H2922" s="3"/>
      <c r="I2922" s="3"/>
    </row>
    <row r="2923">
      <c r="A2923" s="4" t="s">
        <v>4227</v>
      </c>
      <c r="B2923" s="13" t="s">
        <v>43</v>
      </c>
      <c r="D2923" s="3"/>
      <c r="E2923" s="3"/>
      <c r="F2923" s="3"/>
      <c r="G2923" s="3"/>
      <c r="H2923" s="3"/>
      <c r="I2923" s="3"/>
    </row>
    <row r="2924">
      <c r="A2924" s="4" t="s">
        <v>4228</v>
      </c>
      <c r="B2924" s="13" t="s">
        <v>43</v>
      </c>
      <c r="D2924" s="3"/>
      <c r="E2924" s="3"/>
      <c r="F2924" s="3"/>
      <c r="G2924" s="3"/>
      <c r="H2924" s="3"/>
      <c r="I2924" s="3"/>
    </row>
    <row r="2925">
      <c r="A2925" s="4" t="s">
        <v>4229</v>
      </c>
      <c r="B2925" s="13" t="s">
        <v>43</v>
      </c>
      <c r="D2925" s="3"/>
      <c r="E2925" s="3"/>
      <c r="F2925" s="3"/>
      <c r="G2925" s="3"/>
      <c r="H2925" s="3"/>
      <c r="I2925" s="3"/>
    </row>
    <row r="2926">
      <c r="A2926" s="4" t="s">
        <v>4230</v>
      </c>
      <c r="B2926" s="13" t="s">
        <v>43</v>
      </c>
      <c r="D2926" s="3"/>
      <c r="E2926" s="3"/>
      <c r="F2926" s="3"/>
      <c r="G2926" s="3"/>
      <c r="H2926" s="3"/>
      <c r="I2926" s="3"/>
    </row>
    <row r="2927">
      <c r="A2927" s="4" t="s">
        <v>4231</v>
      </c>
      <c r="B2927" s="13" t="s">
        <v>43</v>
      </c>
      <c r="D2927" s="3"/>
      <c r="E2927" s="3"/>
      <c r="F2927" s="3"/>
      <c r="G2927" s="3"/>
      <c r="H2927" s="3"/>
      <c r="I2927" s="3"/>
    </row>
    <row r="2928">
      <c r="A2928" s="4" t="s">
        <v>4232</v>
      </c>
      <c r="B2928" s="13" t="s">
        <v>43</v>
      </c>
      <c r="D2928" s="3"/>
      <c r="E2928" s="3"/>
      <c r="F2928" s="3"/>
      <c r="G2928" s="3"/>
      <c r="H2928" s="3"/>
      <c r="I2928" s="3"/>
    </row>
    <row r="2929">
      <c r="A2929" s="4" t="s">
        <v>4233</v>
      </c>
      <c r="B2929" s="13" t="s">
        <v>43</v>
      </c>
      <c r="D2929" s="3"/>
      <c r="E2929" s="3"/>
      <c r="F2929" s="3"/>
      <c r="G2929" s="3"/>
      <c r="H2929" s="3"/>
      <c r="I2929" s="3"/>
    </row>
    <row r="2930">
      <c r="A2930" s="4" t="s">
        <v>4234</v>
      </c>
      <c r="B2930" s="13" t="s">
        <v>43</v>
      </c>
      <c r="D2930" s="3"/>
      <c r="E2930" s="3"/>
      <c r="F2930" s="3"/>
      <c r="G2930" s="3"/>
      <c r="H2930" s="3"/>
      <c r="I2930" s="3"/>
    </row>
    <row r="2931">
      <c r="A2931" s="4" t="s">
        <v>4235</v>
      </c>
      <c r="B2931" s="13" t="s">
        <v>43</v>
      </c>
      <c r="D2931" s="3"/>
      <c r="E2931" s="3"/>
      <c r="F2931" s="3"/>
      <c r="G2931" s="3"/>
      <c r="H2931" s="3"/>
      <c r="I2931" s="3"/>
    </row>
    <row r="2932">
      <c r="A2932" s="4" t="s">
        <v>4236</v>
      </c>
      <c r="B2932" s="13" t="s">
        <v>43</v>
      </c>
      <c r="D2932" s="3"/>
      <c r="E2932" s="3"/>
      <c r="F2932" s="3"/>
      <c r="G2932" s="3"/>
      <c r="H2932" s="3"/>
      <c r="I2932" s="3"/>
    </row>
    <row r="2933">
      <c r="A2933" s="4" t="s">
        <v>4237</v>
      </c>
      <c r="B2933" s="13" t="s">
        <v>43</v>
      </c>
      <c r="D2933" s="3"/>
      <c r="E2933" s="3"/>
      <c r="F2933" s="3"/>
      <c r="G2933" s="3"/>
      <c r="H2933" s="3"/>
      <c r="I2933" s="3"/>
    </row>
    <row r="2934">
      <c r="A2934" s="4" t="s">
        <v>4238</v>
      </c>
      <c r="B2934" s="13" t="s">
        <v>43</v>
      </c>
      <c r="D2934" s="3"/>
      <c r="E2934" s="3"/>
      <c r="F2934" s="3"/>
      <c r="G2934" s="3"/>
      <c r="H2934" s="3"/>
      <c r="I2934" s="3"/>
    </row>
    <row r="2935">
      <c r="A2935" s="4" t="s">
        <v>4239</v>
      </c>
      <c r="B2935" s="13" t="s">
        <v>43</v>
      </c>
      <c r="D2935" s="3"/>
      <c r="E2935" s="3"/>
      <c r="F2935" s="3"/>
      <c r="G2935" s="3"/>
      <c r="H2935" s="3"/>
      <c r="I2935" s="3"/>
    </row>
    <row r="2936">
      <c r="A2936" s="4" t="s">
        <v>4240</v>
      </c>
      <c r="B2936" s="13" t="s">
        <v>43</v>
      </c>
      <c r="D2936" s="3"/>
      <c r="E2936" s="3"/>
      <c r="F2936" s="3"/>
      <c r="G2936" s="3"/>
      <c r="H2936" s="3"/>
      <c r="I2936" s="3"/>
    </row>
    <row r="2937">
      <c r="A2937" s="4" t="s">
        <v>4241</v>
      </c>
      <c r="B2937" s="13" t="s">
        <v>43</v>
      </c>
      <c r="D2937" s="3"/>
      <c r="E2937" s="3"/>
      <c r="F2937" s="3"/>
      <c r="G2937" s="3"/>
      <c r="H2937" s="3"/>
      <c r="I2937" s="3"/>
    </row>
    <row r="2938">
      <c r="A2938" s="4" t="s">
        <v>4242</v>
      </c>
      <c r="B2938" s="13" t="s">
        <v>43</v>
      </c>
      <c r="D2938" s="3"/>
      <c r="E2938" s="3"/>
      <c r="F2938" s="3"/>
      <c r="G2938" s="3"/>
      <c r="H2938" s="3"/>
      <c r="I2938" s="3"/>
    </row>
    <row r="2939">
      <c r="A2939" s="4" t="s">
        <v>4243</v>
      </c>
      <c r="B2939" s="13" t="s">
        <v>43</v>
      </c>
      <c r="D2939" s="3"/>
      <c r="E2939" s="3"/>
      <c r="F2939" s="3"/>
      <c r="G2939" s="3"/>
      <c r="H2939" s="3"/>
      <c r="I2939" s="3"/>
    </row>
    <row r="2940">
      <c r="A2940" s="4" t="s">
        <v>4244</v>
      </c>
      <c r="B2940" s="13" t="s">
        <v>43</v>
      </c>
      <c r="D2940" s="3"/>
      <c r="E2940" s="3"/>
      <c r="F2940" s="3"/>
      <c r="G2940" s="3"/>
      <c r="H2940" s="3"/>
      <c r="I2940" s="3"/>
    </row>
    <row r="2941">
      <c r="A2941" s="4" t="s">
        <v>4245</v>
      </c>
      <c r="B2941" s="13" t="s">
        <v>43</v>
      </c>
      <c r="D2941" s="3"/>
      <c r="E2941" s="3"/>
      <c r="F2941" s="3"/>
      <c r="G2941" s="3"/>
      <c r="H2941" s="3"/>
      <c r="I2941" s="3"/>
    </row>
    <row r="2942">
      <c r="A2942" s="4" t="s">
        <v>4246</v>
      </c>
      <c r="B2942" s="13" t="s">
        <v>43</v>
      </c>
      <c r="D2942" s="3"/>
      <c r="E2942" s="3"/>
      <c r="F2942" s="3"/>
      <c r="G2942" s="3"/>
      <c r="H2942" s="3"/>
      <c r="I2942" s="3"/>
    </row>
    <row r="2943">
      <c r="A2943" s="4" t="s">
        <v>4247</v>
      </c>
      <c r="B2943" s="13" t="s">
        <v>43</v>
      </c>
      <c r="D2943" s="3"/>
      <c r="E2943" s="3"/>
      <c r="F2943" s="3"/>
      <c r="G2943" s="3"/>
      <c r="H2943" s="3"/>
      <c r="I2943" s="3"/>
    </row>
    <row r="2944">
      <c r="A2944" s="4" t="s">
        <v>4248</v>
      </c>
      <c r="B2944" s="13" t="s">
        <v>43</v>
      </c>
      <c r="D2944" s="3"/>
      <c r="E2944" s="3"/>
      <c r="F2944" s="3"/>
      <c r="G2944" s="3"/>
      <c r="H2944" s="3"/>
      <c r="I2944" s="3"/>
    </row>
    <row r="2945">
      <c r="A2945" s="4" t="s">
        <v>4249</v>
      </c>
      <c r="B2945" s="13" t="s">
        <v>43</v>
      </c>
      <c r="D2945" s="3"/>
      <c r="E2945" s="3"/>
      <c r="F2945" s="3"/>
      <c r="G2945" s="3"/>
      <c r="H2945" s="3"/>
      <c r="I2945" s="3"/>
    </row>
    <row r="2946">
      <c r="A2946" s="4" t="s">
        <v>4250</v>
      </c>
      <c r="B2946" s="13" t="s">
        <v>43</v>
      </c>
      <c r="D2946" s="3"/>
      <c r="E2946" s="3"/>
      <c r="F2946" s="3"/>
      <c r="G2946" s="3"/>
      <c r="H2946" s="3"/>
      <c r="I2946" s="3"/>
    </row>
    <row r="2947">
      <c r="A2947" s="4" t="s">
        <v>4251</v>
      </c>
      <c r="B2947" s="13" t="s">
        <v>43</v>
      </c>
      <c r="D2947" s="3"/>
      <c r="E2947" s="3"/>
      <c r="F2947" s="3"/>
      <c r="G2947" s="3"/>
      <c r="H2947" s="3"/>
      <c r="I2947" s="3"/>
    </row>
    <row r="2948">
      <c r="A2948" s="4" t="s">
        <v>4252</v>
      </c>
      <c r="B2948" s="13" t="s">
        <v>43</v>
      </c>
      <c r="D2948" s="3"/>
      <c r="E2948" s="3"/>
      <c r="F2948" s="3"/>
      <c r="G2948" s="3"/>
      <c r="H2948" s="3"/>
      <c r="I2948" s="3"/>
    </row>
    <row r="2949">
      <c r="A2949" s="4" t="s">
        <v>4253</v>
      </c>
      <c r="B2949" s="13" t="s">
        <v>43</v>
      </c>
      <c r="D2949" s="3"/>
      <c r="E2949" s="3"/>
      <c r="F2949" s="3"/>
      <c r="G2949" s="3"/>
      <c r="H2949" s="3"/>
      <c r="I2949" s="3"/>
    </row>
    <row r="2950">
      <c r="A2950" s="4" t="s">
        <v>4254</v>
      </c>
      <c r="B2950" s="13" t="s">
        <v>43</v>
      </c>
      <c r="D2950" s="3"/>
      <c r="E2950" s="3"/>
      <c r="F2950" s="3"/>
      <c r="G2950" s="3"/>
      <c r="H2950" s="3"/>
      <c r="I2950" s="3"/>
    </row>
    <row r="2951">
      <c r="A2951" s="4" t="s">
        <v>4255</v>
      </c>
      <c r="B2951" s="13" t="s">
        <v>43</v>
      </c>
      <c r="D2951" s="3"/>
      <c r="E2951" s="3"/>
      <c r="F2951" s="3"/>
      <c r="G2951" s="3"/>
      <c r="H2951" s="3"/>
      <c r="I2951" s="3"/>
    </row>
    <row r="2952">
      <c r="A2952" s="4" t="s">
        <v>4256</v>
      </c>
      <c r="B2952" s="13" t="s">
        <v>43</v>
      </c>
      <c r="D2952" s="3"/>
      <c r="E2952" s="3"/>
      <c r="F2952" s="3"/>
      <c r="G2952" s="3"/>
      <c r="H2952" s="3"/>
      <c r="I2952" s="3"/>
    </row>
    <row r="2953">
      <c r="A2953" s="4" t="s">
        <v>4257</v>
      </c>
      <c r="B2953" s="13" t="s">
        <v>43</v>
      </c>
      <c r="D2953" s="3"/>
      <c r="E2953" s="3"/>
      <c r="F2953" s="3"/>
      <c r="G2953" s="3"/>
      <c r="H2953" s="3"/>
      <c r="I2953" s="3"/>
    </row>
    <row r="2954">
      <c r="A2954" s="4" t="s">
        <v>4258</v>
      </c>
      <c r="B2954" s="13" t="s">
        <v>43</v>
      </c>
      <c r="D2954" s="3"/>
      <c r="E2954" s="3"/>
      <c r="F2954" s="3"/>
      <c r="G2954" s="3"/>
      <c r="H2954" s="3"/>
      <c r="I2954" s="3"/>
    </row>
    <row r="2955">
      <c r="A2955" s="4" t="s">
        <v>4259</v>
      </c>
      <c r="B2955" s="13" t="s">
        <v>43</v>
      </c>
      <c r="D2955" s="3"/>
      <c r="E2955" s="3"/>
      <c r="F2955" s="3"/>
      <c r="G2955" s="3"/>
      <c r="H2955" s="3"/>
      <c r="I2955" s="3"/>
    </row>
    <row r="2956">
      <c r="A2956" s="4" t="s">
        <v>4260</v>
      </c>
      <c r="B2956" s="13" t="s">
        <v>43</v>
      </c>
      <c r="D2956" s="3"/>
      <c r="E2956" s="3"/>
      <c r="F2956" s="3"/>
      <c r="G2956" s="3"/>
      <c r="H2956" s="3"/>
      <c r="I2956" s="3"/>
    </row>
    <row r="2957">
      <c r="A2957" s="4" t="s">
        <v>4261</v>
      </c>
      <c r="B2957" s="13" t="s">
        <v>43</v>
      </c>
      <c r="D2957" s="3"/>
      <c r="E2957" s="3"/>
      <c r="F2957" s="3"/>
      <c r="G2957" s="3"/>
      <c r="H2957" s="3"/>
      <c r="I2957" s="3"/>
    </row>
    <row r="2958">
      <c r="A2958" s="4" t="s">
        <v>4262</v>
      </c>
      <c r="B2958" s="13" t="s">
        <v>43</v>
      </c>
      <c r="D2958" s="3"/>
      <c r="E2958" s="3"/>
      <c r="F2958" s="3"/>
      <c r="G2958" s="3"/>
      <c r="H2958" s="3"/>
      <c r="I2958" s="3"/>
    </row>
    <row r="2959">
      <c r="A2959" s="4" t="s">
        <v>4263</v>
      </c>
      <c r="B2959" s="13" t="s">
        <v>43</v>
      </c>
      <c r="D2959" s="3"/>
      <c r="E2959" s="3"/>
      <c r="F2959" s="3"/>
      <c r="G2959" s="3"/>
      <c r="H2959" s="3"/>
      <c r="I2959" s="3"/>
    </row>
    <row r="2960">
      <c r="A2960" s="4" t="s">
        <v>4264</v>
      </c>
      <c r="B2960" s="13" t="s">
        <v>43</v>
      </c>
      <c r="D2960" s="3"/>
      <c r="E2960" s="3"/>
      <c r="F2960" s="3"/>
      <c r="G2960" s="3"/>
      <c r="H2960" s="3"/>
      <c r="I2960" s="3"/>
    </row>
    <row r="2961">
      <c r="A2961" s="4" t="s">
        <v>4265</v>
      </c>
      <c r="B2961" s="13" t="s">
        <v>43</v>
      </c>
      <c r="D2961" s="3"/>
      <c r="E2961" s="3"/>
      <c r="F2961" s="3"/>
      <c r="G2961" s="3"/>
      <c r="H2961" s="3"/>
      <c r="I2961" s="3"/>
    </row>
    <row r="2962">
      <c r="A2962" s="4" t="s">
        <v>4266</v>
      </c>
      <c r="B2962" s="13" t="s">
        <v>43</v>
      </c>
      <c r="D2962" s="3"/>
      <c r="E2962" s="3"/>
      <c r="F2962" s="3"/>
      <c r="G2962" s="3"/>
      <c r="H2962" s="3"/>
      <c r="I2962" s="3"/>
    </row>
    <row r="2963">
      <c r="A2963" s="4" t="s">
        <v>4267</v>
      </c>
      <c r="B2963" s="13" t="s">
        <v>43</v>
      </c>
      <c r="D2963" s="3"/>
      <c r="E2963" s="3"/>
      <c r="F2963" s="3"/>
      <c r="G2963" s="3"/>
      <c r="H2963" s="3"/>
      <c r="I2963" s="3"/>
    </row>
    <row r="2964">
      <c r="A2964" s="4" t="s">
        <v>4268</v>
      </c>
      <c r="B2964" s="13" t="s">
        <v>43</v>
      </c>
      <c r="D2964" s="3"/>
      <c r="E2964" s="3"/>
      <c r="F2964" s="3"/>
      <c r="G2964" s="3"/>
      <c r="H2964" s="3"/>
      <c r="I2964" s="3"/>
    </row>
    <row r="2965">
      <c r="A2965" s="4" t="s">
        <v>4269</v>
      </c>
      <c r="B2965" s="13" t="s">
        <v>43</v>
      </c>
      <c r="D2965" s="3"/>
      <c r="E2965" s="3"/>
      <c r="F2965" s="3"/>
      <c r="G2965" s="3"/>
      <c r="H2965" s="3"/>
      <c r="I2965" s="3"/>
    </row>
    <row r="2966">
      <c r="A2966" s="4" t="s">
        <v>4270</v>
      </c>
      <c r="B2966" s="13" t="s">
        <v>43</v>
      </c>
      <c r="D2966" s="3"/>
      <c r="E2966" s="3"/>
      <c r="F2966" s="3"/>
      <c r="G2966" s="3"/>
      <c r="H2966" s="3"/>
      <c r="I2966" s="3"/>
    </row>
    <row r="2967">
      <c r="A2967" s="4" t="s">
        <v>4271</v>
      </c>
      <c r="B2967" s="13" t="s">
        <v>43</v>
      </c>
      <c r="D2967" s="3"/>
      <c r="E2967" s="3"/>
      <c r="F2967" s="3"/>
      <c r="G2967" s="3"/>
      <c r="H2967" s="3"/>
      <c r="I2967" s="3"/>
    </row>
    <row r="2968">
      <c r="A2968" s="4" t="s">
        <v>4272</v>
      </c>
      <c r="B2968" s="13" t="s">
        <v>43</v>
      </c>
      <c r="D2968" s="3"/>
      <c r="E2968" s="3"/>
      <c r="F2968" s="3"/>
      <c r="G2968" s="3"/>
      <c r="H2968" s="3"/>
      <c r="I2968" s="3"/>
    </row>
    <row r="2969">
      <c r="A2969" s="4" t="s">
        <v>4273</v>
      </c>
      <c r="B2969" s="13" t="s">
        <v>43</v>
      </c>
      <c r="D2969" s="3"/>
      <c r="E2969" s="3"/>
      <c r="F2969" s="3"/>
      <c r="G2969" s="3"/>
      <c r="H2969" s="3"/>
      <c r="I2969" s="3"/>
    </row>
    <row r="2970">
      <c r="A2970" s="4" t="s">
        <v>4274</v>
      </c>
      <c r="B2970" s="13" t="s">
        <v>43</v>
      </c>
      <c r="D2970" s="3"/>
      <c r="E2970" s="3"/>
      <c r="F2970" s="3"/>
      <c r="G2970" s="3"/>
      <c r="H2970" s="3"/>
      <c r="I2970" s="3"/>
    </row>
    <row r="2971">
      <c r="A2971" s="4" t="s">
        <v>4275</v>
      </c>
      <c r="B2971" s="13" t="s">
        <v>43</v>
      </c>
      <c r="D2971" s="3"/>
      <c r="E2971" s="3"/>
      <c r="F2971" s="3"/>
      <c r="G2971" s="3"/>
      <c r="H2971" s="3"/>
      <c r="I2971" s="3"/>
    </row>
    <row r="2972">
      <c r="A2972" s="4" t="s">
        <v>4276</v>
      </c>
      <c r="B2972" s="13" t="s">
        <v>43</v>
      </c>
      <c r="D2972" s="3"/>
      <c r="E2972" s="3"/>
      <c r="F2972" s="3"/>
      <c r="G2972" s="3"/>
      <c r="H2972" s="3"/>
      <c r="I2972" s="3"/>
    </row>
    <row r="2973">
      <c r="A2973" s="4" t="s">
        <v>4277</v>
      </c>
      <c r="B2973" s="13" t="s">
        <v>43</v>
      </c>
      <c r="D2973" s="3"/>
      <c r="E2973" s="3"/>
      <c r="F2973" s="3"/>
      <c r="G2973" s="3"/>
      <c r="H2973" s="3"/>
      <c r="I2973" s="3"/>
    </row>
    <row r="2974">
      <c r="A2974" s="4" t="s">
        <v>4278</v>
      </c>
      <c r="B2974" s="13" t="s">
        <v>43</v>
      </c>
      <c r="D2974" s="3"/>
      <c r="E2974" s="3"/>
      <c r="F2974" s="3"/>
      <c r="G2974" s="3"/>
      <c r="H2974" s="3"/>
      <c r="I2974" s="3"/>
    </row>
    <row r="2975">
      <c r="A2975" s="4" t="s">
        <v>4279</v>
      </c>
      <c r="B2975" s="13" t="s">
        <v>43</v>
      </c>
      <c r="D2975" s="3"/>
      <c r="E2975" s="3"/>
      <c r="F2975" s="3"/>
      <c r="G2975" s="3"/>
      <c r="H2975" s="3"/>
      <c r="I2975" s="3"/>
    </row>
    <row r="2976">
      <c r="A2976" s="4" t="s">
        <v>4280</v>
      </c>
      <c r="B2976" s="13" t="s">
        <v>43</v>
      </c>
      <c r="D2976" s="3"/>
      <c r="E2976" s="3"/>
      <c r="F2976" s="3"/>
      <c r="G2976" s="3"/>
      <c r="H2976" s="3"/>
      <c r="I2976" s="3"/>
    </row>
    <row r="2977">
      <c r="A2977" s="4" t="s">
        <v>4281</v>
      </c>
      <c r="B2977" s="13" t="s">
        <v>43</v>
      </c>
      <c r="D2977" s="3"/>
      <c r="E2977" s="3"/>
      <c r="F2977" s="3"/>
      <c r="G2977" s="3"/>
      <c r="H2977" s="3"/>
      <c r="I2977" s="3"/>
    </row>
    <row r="2978">
      <c r="A2978" s="4" t="s">
        <v>4282</v>
      </c>
      <c r="B2978" s="13" t="s">
        <v>43</v>
      </c>
      <c r="D2978" s="3"/>
      <c r="E2978" s="3"/>
      <c r="F2978" s="3"/>
      <c r="G2978" s="3"/>
      <c r="H2978" s="3"/>
      <c r="I2978" s="3"/>
    </row>
    <row r="2979">
      <c r="A2979" s="4" t="s">
        <v>4283</v>
      </c>
      <c r="B2979" s="13" t="s">
        <v>43</v>
      </c>
      <c r="D2979" s="3"/>
      <c r="E2979" s="3"/>
      <c r="F2979" s="3"/>
      <c r="G2979" s="3"/>
      <c r="H2979" s="3"/>
      <c r="I2979" s="3"/>
    </row>
    <row r="2980">
      <c r="A2980" s="4" t="s">
        <v>4284</v>
      </c>
      <c r="B2980" s="13" t="s">
        <v>43</v>
      </c>
      <c r="D2980" s="3"/>
      <c r="E2980" s="3"/>
      <c r="F2980" s="3"/>
      <c r="G2980" s="3"/>
      <c r="H2980" s="3"/>
      <c r="I2980" s="3"/>
    </row>
    <row r="2981">
      <c r="A2981" s="4" t="s">
        <v>4285</v>
      </c>
      <c r="B2981" s="13" t="s">
        <v>43</v>
      </c>
      <c r="D2981" s="3"/>
      <c r="E2981" s="3"/>
      <c r="F2981" s="3"/>
      <c r="G2981" s="3"/>
      <c r="H2981" s="3"/>
      <c r="I2981" s="3"/>
    </row>
    <row r="2982">
      <c r="A2982" s="4" t="s">
        <v>4286</v>
      </c>
      <c r="B2982" s="13" t="s">
        <v>43</v>
      </c>
      <c r="D2982" s="3"/>
      <c r="E2982" s="3"/>
      <c r="F2982" s="3"/>
      <c r="G2982" s="3"/>
      <c r="H2982" s="3"/>
      <c r="I2982" s="3"/>
    </row>
    <row r="2983">
      <c r="A2983" s="4" t="s">
        <v>4287</v>
      </c>
      <c r="B2983" s="13" t="s">
        <v>43</v>
      </c>
      <c r="D2983" s="3"/>
      <c r="E2983" s="3"/>
      <c r="F2983" s="3"/>
      <c r="G2983" s="3"/>
      <c r="H2983" s="3"/>
      <c r="I2983" s="3"/>
    </row>
    <row r="2984">
      <c r="A2984" s="4" t="s">
        <v>4288</v>
      </c>
      <c r="B2984" s="13" t="s">
        <v>43</v>
      </c>
      <c r="D2984" s="3"/>
      <c r="E2984" s="3"/>
      <c r="F2984" s="3"/>
      <c r="G2984" s="3"/>
      <c r="H2984" s="3"/>
      <c r="I2984" s="3"/>
    </row>
    <row r="2985">
      <c r="A2985" s="4" t="s">
        <v>4289</v>
      </c>
      <c r="B2985" s="13" t="s">
        <v>43</v>
      </c>
      <c r="D2985" s="3"/>
      <c r="E2985" s="3"/>
      <c r="F2985" s="3"/>
      <c r="G2985" s="3"/>
      <c r="H2985" s="3"/>
      <c r="I2985" s="3"/>
    </row>
    <row r="2986">
      <c r="A2986" s="4" t="s">
        <v>4290</v>
      </c>
      <c r="B2986" s="13" t="s">
        <v>43</v>
      </c>
      <c r="D2986" s="3"/>
      <c r="E2986" s="3"/>
      <c r="F2986" s="3"/>
      <c r="G2986" s="3"/>
      <c r="H2986" s="3"/>
      <c r="I2986" s="3"/>
    </row>
    <row r="2987">
      <c r="A2987" s="4" t="s">
        <v>4291</v>
      </c>
      <c r="B2987" s="13" t="s">
        <v>43</v>
      </c>
      <c r="D2987" s="3"/>
      <c r="E2987" s="3"/>
      <c r="F2987" s="3"/>
      <c r="G2987" s="3"/>
      <c r="H2987" s="3"/>
      <c r="I2987" s="3"/>
    </row>
    <row r="2988">
      <c r="A2988" s="4" t="s">
        <v>4292</v>
      </c>
      <c r="B2988" s="13" t="s">
        <v>43</v>
      </c>
      <c r="D2988" s="3"/>
      <c r="E2988" s="3"/>
      <c r="F2988" s="3"/>
      <c r="G2988" s="3"/>
      <c r="H2988" s="3"/>
      <c r="I2988" s="3"/>
    </row>
    <row r="2989">
      <c r="A2989" s="4" t="s">
        <v>4293</v>
      </c>
      <c r="B2989" s="13" t="s">
        <v>43</v>
      </c>
      <c r="D2989" s="3"/>
      <c r="E2989" s="3"/>
      <c r="F2989" s="3"/>
      <c r="G2989" s="3"/>
      <c r="H2989" s="3"/>
      <c r="I2989" s="3"/>
    </row>
    <row r="2990">
      <c r="A2990" s="4" t="s">
        <v>4294</v>
      </c>
      <c r="B2990" s="13" t="s">
        <v>43</v>
      </c>
      <c r="D2990" s="3"/>
      <c r="E2990" s="3"/>
      <c r="F2990" s="3"/>
      <c r="G2990" s="3"/>
      <c r="H2990" s="3"/>
      <c r="I2990" s="3"/>
    </row>
    <row r="2991">
      <c r="A2991" s="4" t="s">
        <v>4295</v>
      </c>
      <c r="B2991" s="13" t="s">
        <v>43</v>
      </c>
      <c r="D2991" s="3"/>
      <c r="E2991" s="3"/>
      <c r="F2991" s="3"/>
      <c r="G2991" s="3"/>
      <c r="H2991" s="3"/>
      <c r="I2991" s="3"/>
    </row>
    <row r="2992">
      <c r="A2992" s="4" t="s">
        <v>4296</v>
      </c>
      <c r="B2992" s="13" t="s">
        <v>43</v>
      </c>
      <c r="D2992" s="3"/>
      <c r="E2992" s="3"/>
      <c r="F2992" s="3"/>
      <c r="G2992" s="3"/>
      <c r="H2992" s="3"/>
      <c r="I2992" s="3"/>
    </row>
    <row r="2993">
      <c r="A2993" s="4" t="s">
        <v>4297</v>
      </c>
      <c r="B2993" s="13" t="s">
        <v>43</v>
      </c>
      <c r="D2993" s="3"/>
      <c r="E2993" s="3"/>
      <c r="F2993" s="3"/>
      <c r="G2993" s="3"/>
      <c r="H2993" s="3"/>
      <c r="I2993" s="3"/>
    </row>
    <row r="2994">
      <c r="A2994" s="4" t="s">
        <v>4298</v>
      </c>
      <c r="B2994" s="13" t="s">
        <v>43</v>
      </c>
      <c r="D2994" s="3"/>
      <c r="E2994" s="3"/>
      <c r="F2994" s="3"/>
      <c r="G2994" s="3"/>
      <c r="H2994" s="3"/>
      <c r="I2994" s="3"/>
    </row>
    <row r="2995">
      <c r="A2995" s="4" t="s">
        <v>4299</v>
      </c>
      <c r="B2995" s="13" t="s">
        <v>43</v>
      </c>
      <c r="D2995" s="3"/>
      <c r="E2995" s="3"/>
      <c r="F2995" s="3"/>
      <c r="G2995" s="3"/>
      <c r="H2995" s="3"/>
      <c r="I2995" s="3"/>
    </row>
    <row r="2996">
      <c r="A2996" s="4" t="s">
        <v>4300</v>
      </c>
      <c r="B2996" s="13" t="s">
        <v>43</v>
      </c>
      <c r="D2996" s="3"/>
      <c r="E2996" s="3"/>
      <c r="F2996" s="3"/>
      <c r="G2996" s="3"/>
      <c r="H2996" s="3"/>
      <c r="I2996" s="3"/>
    </row>
    <row r="2997">
      <c r="A2997" s="4" t="s">
        <v>4301</v>
      </c>
      <c r="B2997" s="13" t="s">
        <v>43</v>
      </c>
      <c r="D2997" s="3"/>
      <c r="E2997" s="3"/>
      <c r="F2997" s="3"/>
      <c r="G2997" s="3"/>
      <c r="H2997" s="3"/>
      <c r="I2997" s="3"/>
    </row>
    <row r="2998">
      <c r="A2998" s="4" t="s">
        <v>4302</v>
      </c>
      <c r="B2998" s="13" t="s">
        <v>43</v>
      </c>
      <c r="D2998" s="3"/>
      <c r="E2998" s="3"/>
      <c r="F2998" s="3"/>
      <c r="G2998" s="3"/>
      <c r="H2998" s="3"/>
      <c r="I2998" s="3"/>
    </row>
    <row r="2999">
      <c r="A2999" s="4" t="s">
        <v>4303</v>
      </c>
      <c r="B2999" s="13" t="s">
        <v>43</v>
      </c>
      <c r="D2999" s="3"/>
      <c r="E2999" s="3"/>
      <c r="F2999" s="3"/>
      <c r="G2999" s="3"/>
      <c r="H2999" s="3"/>
      <c r="I2999" s="3"/>
    </row>
    <row r="3000">
      <c r="A3000" s="4" t="s">
        <v>4304</v>
      </c>
      <c r="B3000" s="13" t="s">
        <v>43</v>
      </c>
      <c r="D3000" s="3"/>
      <c r="E3000" s="3"/>
      <c r="F3000" s="3"/>
      <c r="G3000" s="3"/>
      <c r="H3000" s="3"/>
      <c r="I3000" s="3"/>
    </row>
    <row r="3001">
      <c r="A3001" s="4" t="s">
        <v>4305</v>
      </c>
      <c r="B3001" s="13" t="s">
        <v>43</v>
      </c>
      <c r="D3001" s="3"/>
      <c r="E3001" s="3"/>
      <c r="F3001" s="3"/>
      <c r="G3001" s="3"/>
      <c r="H3001" s="3"/>
      <c r="I3001" s="3"/>
    </row>
    <row r="3002">
      <c r="A3002" s="4" t="s">
        <v>4306</v>
      </c>
      <c r="B3002" s="13" t="s">
        <v>43</v>
      </c>
      <c r="D3002" s="3"/>
      <c r="E3002" s="3"/>
      <c r="F3002" s="3"/>
      <c r="G3002" s="3"/>
      <c r="H3002" s="3"/>
      <c r="I3002" s="3"/>
    </row>
    <row r="3003">
      <c r="A3003" s="4" t="s">
        <v>4307</v>
      </c>
      <c r="B3003" s="13" t="s">
        <v>43</v>
      </c>
      <c r="D3003" s="3"/>
      <c r="E3003" s="3"/>
      <c r="F3003" s="3"/>
      <c r="G3003" s="3"/>
      <c r="H3003" s="3"/>
      <c r="I3003" s="3"/>
    </row>
    <row r="3004">
      <c r="A3004" s="4" t="s">
        <v>4308</v>
      </c>
      <c r="B3004" s="13" t="s">
        <v>43</v>
      </c>
      <c r="D3004" s="3"/>
      <c r="E3004" s="3"/>
      <c r="F3004" s="3"/>
      <c r="G3004" s="3"/>
      <c r="H3004" s="3"/>
      <c r="I3004" s="3"/>
    </row>
    <row r="3005">
      <c r="A3005" s="4" t="s">
        <v>4309</v>
      </c>
      <c r="B3005" s="13" t="s">
        <v>43</v>
      </c>
      <c r="D3005" s="3"/>
      <c r="E3005" s="3"/>
      <c r="F3005" s="3"/>
      <c r="G3005" s="3"/>
      <c r="H3005" s="3"/>
      <c r="I3005" s="3"/>
    </row>
    <row r="3006">
      <c r="A3006" s="4" t="s">
        <v>4310</v>
      </c>
      <c r="B3006" s="13" t="s">
        <v>43</v>
      </c>
      <c r="D3006" s="3"/>
      <c r="E3006" s="3"/>
      <c r="F3006" s="3"/>
      <c r="G3006" s="3"/>
      <c r="H3006" s="3"/>
      <c r="I3006" s="3"/>
    </row>
    <row r="3007">
      <c r="A3007" s="4" t="s">
        <v>4311</v>
      </c>
      <c r="B3007" s="13" t="s">
        <v>43</v>
      </c>
      <c r="D3007" s="3"/>
      <c r="E3007" s="3"/>
      <c r="F3007" s="3"/>
      <c r="G3007" s="3"/>
      <c r="H3007" s="3"/>
      <c r="I3007" s="3"/>
    </row>
    <row r="3008">
      <c r="A3008" s="4" t="s">
        <v>4312</v>
      </c>
      <c r="B3008" s="13" t="s">
        <v>43</v>
      </c>
      <c r="D3008" s="3"/>
      <c r="E3008" s="3"/>
      <c r="F3008" s="3"/>
      <c r="G3008" s="3"/>
      <c r="H3008" s="3"/>
      <c r="I3008" s="3"/>
    </row>
    <row r="3009">
      <c r="A3009" s="4" t="s">
        <v>4313</v>
      </c>
      <c r="B3009" s="13" t="s">
        <v>43</v>
      </c>
      <c r="D3009" s="3"/>
      <c r="E3009" s="3"/>
      <c r="F3009" s="3"/>
      <c r="G3009" s="3"/>
      <c r="H3009" s="3"/>
      <c r="I3009" s="3"/>
    </row>
    <row r="3010">
      <c r="A3010" s="4" t="s">
        <v>4314</v>
      </c>
      <c r="B3010" s="13" t="s">
        <v>43</v>
      </c>
      <c r="D3010" s="3"/>
      <c r="E3010" s="3"/>
      <c r="F3010" s="3"/>
      <c r="G3010" s="3"/>
      <c r="H3010" s="3"/>
      <c r="I3010" s="3"/>
    </row>
    <row r="3011">
      <c r="A3011" s="4" t="s">
        <v>4315</v>
      </c>
      <c r="B3011" s="13" t="s">
        <v>43</v>
      </c>
      <c r="D3011" s="3"/>
      <c r="E3011" s="3"/>
      <c r="F3011" s="3"/>
      <c r="G3011" s="3"/>
      <c r="H3011" s="3"/>
      <c r="I3011" s="3"/>
    </row>
    <row r="3012">
      <c r="A3012" s="4" t="s">
        <v>4316</v>
      </c>
      <c r="B3012" s="13" t="s">
        <v>43</v>
      </c>
      <c r="D3012" s="3"/>
      <c r="E3012" s="3"/>
      <c r="F3012" s="3"/>
      <c r="G3012" s="3"/>
      <c r="H3012" s="3"/>
      <c r="I3012" s="3"/>
    </row>
    <row r="3013">
      <c r="A3013" s="4" t="s">
        <v>4317</v>
      </c>
      <c r="B3013" s="13" t="s">
        <v>43</v>
      </c>
      <c r="D3013" s="3"/>
      <c r="E3013" s="3"/>
      <c r="F3013" s="3"/>
      <c r="G3013" s="3"/>
      <c r="H3013" s="3"/>
      <c r="I3013" s="3"/>
    </row>
    <row r="3014">
      <c r="A3014" s="4" t="s">
        <v>4318</v>
      </c>
      <c r="B3014" s="13" t="s">
        <v>43</v>
      </c>
      <c r="D3014" s="3"/>
      <c r="E3014" s="3"/>
      <c r="F3014" s="3"/>
      <c r="G3014" s="3"/>
      <c r="H3014" s="3"/>
      <c r="I3014" s="3"/>
    </row>
    <row r="3015">
      <c r="A3015" s="4" t="s">
        <v>4319</v>
      </c>
      <c r="B3015" s="13" t="s">
        <v>43</v>
      </c>
      <c r="D3015" s="3"/>
      <c r="E3015" s="3"/>
      <c r="F3015" s="3"/>
      <c r="G3015" s="3"/>
      <c r="H3015" s="3"/>
      <c r="I3015" s="3"/>
    </row>
    <row r="3016">
      <c r="A3016" s="4" t="s">
        <v>4320</v>
      </c>
      <c r="B3016" s="13" t="s">
        <v>43</v>
      </c>
      <c r="D3016" s="3"/>
      <c r="E3016" s="3"/>
      <c r="F3016" s="3"/>
      <c r="G3016" s="3"/>
      <c r="H3016" s="3"/>
      <c r="I3016" s="3"/>
    </row>
    <row r="3017">
      <c r="A3017" s="4" t="s">
        <v>4321</v>
      </c>
      <c r="B3017" s="13" t="s">
        <v>43</v>
      </c>
      <c r="D3017" s="3"/>
      <c r="E3017" s="3"/>
      <c r="F3017" s="3"/>
      <c r="G3017" s="3"/>
      <c r="H3017" s="3"/>
      <c r="I3017" s="3"/>
    </row>
    <row r="3018">
      <c r="A3018" s="4" t="s">
        <v>4322</v>
      </c>
      <c r="B3018" s="13" t="s">
        <v>43</v>
      </c>
      <c r="D3018" s="3"/>
      <c r="E3018" s="3"/>
      <c r="F3018" s="3"/>
      <c r="G3018" s="3"/>
      <c r="H3018" s="3"/>
      <c r="I3018" s="3"/>
    </row>
    <row r="3019">
      <c r="A3019" s="4" t="s">
        <v>4323</v>
      </c>
      <c r="B3019" s="13" t="s">
        <v>43</v>
      </c>
      <c r="D3019" s="3"/>
      <c r="E3019" s="3"/>
      <c r="F3019" s="3"/>
      <c r="G3019" s="3"/>
      <c r="H3019" s="3"/>
      <c r="I3019" s="3"/>
    </row>
    <row r="3020">
      <c r="A3020" s="4" t="s">
        <v>4324</v>
      </c>
      <c r="B3020" s="13" t="s">
        <v>43</v>
      </c>
      <c r="D3020" s="3"/>
      <c r="E3020" s="3"/>
      <c r="F3020" s="3"/>
      <c r="G3020" s="3"/>
      <c r="H3020" s="3"/>
      <c r="I3020" s="3"/>
    </row>
    <row r="3021">
      <c r="A3021" s="4" t="s">
        <v>4325</v>
      </c>
      <c r="B3021" s="13" t="s">
        <v>43</v>
      </c>
      <c r="D3021" s="3"/>
      <c r="E3021" s="3"/>
      <c r="F3021" s="3"/>
      <c r="G3021" s="3"/>
      <c r="H3021" s="3"/>
      <c r="I3021" s="3"/>
    </row>
    <row r="3022">
      <c r="A3022" s="4" t="s">
        <v>4326</v>
      </c>
      <c r="B3022" s="13" t="s">
        <v>43</v>
      </c>
      <c r="D3022" s="3"/>
      <c r="E3022" s="3"/>
      <c r="F3022" s="3"/>
      <c r="G3022" s="3"/>
      <c r="H3022" s="3"/>
      <c r="I3022" s="3"/>
    </row>
    <row r="3023">
      <c r="A3023" s="4" t="s">
        <v>4327</v>
      </c>
      <c r="B3023" s="13" t="s">
        <v>43</v>
      </c>
      <c r="D3023" s="3"/>
      <c r="E3023" s="3"/>
      <c r="F3023" s="3"/>
      <c r="G3023" s="3"/>
      <c r="H3023" s="3"/>
      <c r="I3023" s="3"/>
    </row>
    <row r="3024">
      <c r="A3024" s="4" t="s">
        <v>4328</v>
      </c>
      <c r="B3024" s="13" t="s">
        <v>43</v>
      </c>
      <c r="D3024" s="3"/>
      <c r="E3024" s="3"/>
      <c r="F3024" s="3"/>
      <c r="G3024" s="3"/>
      <c r="H3024" s="3"/>
      <c r="I3024" s="3"/>
    </row>
    <row r="3025">
      <c r="A3025" s="4" t="s">
        <v>4329</v>
      </c>
      <c r="B3025" s="13" t="s">
        <v>43</v>
      </c>
      <c r="D3025" s="3"/>
      <c r="E3025" s="3"/>
      <c r="F3025" s="3"/>
      <c r="G3025" s="3"/>
      <c r="H3025" s="3"/>
      <c r="I3025" s="3"/>
    </row>
    <row r="3026">
      <c r="A3026" s="4" t="s">
        <v>4330</v>
      </c>
      <c r="B3026" s="13" t="s">
        <v>43</v>
      </c>
      <c r="D3026" s="3"/>
      <c r="E3026" s="3"/>
      <c r="F3026" s="3"/>
      <c r="G3026" s="3"/>
      <c r="H3026" s="3"/>
      <c r="I3026" s="3"/>
    </row>
    <row r="3027">
      <c r="A3027" s="4" t="s">
        <v>4331</v>
      </c>
      <c r="B3027" s="13" t="s">
        <v>43</v>
      </c>
      <c r="D3027" s="3"/>
      <c r="E3027" s="3"/>
      <c r="F3027" s="3"/>
      <c r="G3027" s="3"/>
      <c r="H3027" s="3"/>
      <c r="I3027" s="3"/>
    </row>
    <row r="3028">
      <c r="A3028" s="4" t="s">
        <v>4332</v>
      </c>
      <c r="B3028" s="13" t="s">
        <v>43</v>
      </c>
      <c r="D3028" s="3"/>
      <c r="E3028" s="3"/>
      <c r="F3028" s="3"/>
      <c r="G3028" s="3"/>
      <c r="H3028" s="3"/>
      <c r="I3028" s="3"/>
    </row>
    <row r="3029">
      <c r="A3029" s="4" t="s">
        <v>4333</v>
      </c>
      <c r="B3029" s="13" t="s">
        <v>43</v>
      </c>
      <c r="D3029" s="3"/>
      <c r="E3029" s="3"/>
      <c r="F3029" s="3"/>
      <c r="G3029" s="3"/>
      <c r="H3029" s="3"/>
      <c r="I3029" s="3"/>
    </row>
    <row r="3030">
      <c r="A3030" s="4" t="s">
        <v>4334</v>
      </c>
      <c r="B3030" s="13" t="s">
        <v>43</v>
      </c>
      <c r="D3030" s="3"/>
      <c r="E3030" s="3"/>
      <c r="F3030" s="3"/>
      <c r="G3030" s="3"/>
      <c r="H3030" s="3"/>
      <c r="I3030" s="3"/>
    </row>
    <row r="3031">
      <c r="A3031" s="4" t="s">
        <v>4335</v>
      </c>
      <c r="B3031" s="13" t="s">
        <v>43</v>
      </c>
      <c r="D3031" s="3"/>
      <c r="E3031" s="3"/>
      <c r="F3031" s="3"/>
      <c r="G3031" s="3"/>
      <c r="H3031" s="3"/>
      <c r="I3031" s="3"/>
    </row>
    <row r="3032">
      <c r="A3032" s="4" t="s">
        <v>4336</v>
      </c>
      <c r="B3032" s="13" t="s">
        <v>43</v>
      </c>
      <c r="D3032" s="3"/>
      <c r="E3032" s="3"/>
      <c r="F3032" s="3"/>
      <c r="G3032" s="3"/>
      <c r="H3032" s="3"/>
      <c r="I3032" s="3"/>
    </row>
    <row r="3033">
      <c r="A3033" s="4" t="s">
        <v>4337</v>
      </c>
      <c r="B3033" s="13" t="s">
        <v>43</v>
      </c>
      <c r="D3033" s="3"/>
      <c r="E3033" s="3"/>
      <c r="F3033" s="3"/>
      <c r="G3033" s="3"/>
      <c r="H3033" s="3"/>
      <c r="I3033" s="3"/>
    </row>
    <row r="3034">
      <c r="A3034" s="4" t="s">
        <v>4338</v>
      </c>
      <c r="B3034" s="13" t="s">
        <v>43</v>
      </c>
      <c r="D3034" s="3"/>
      <c r="E3034" s="3"/>
      <c r="F3034" s="3"/>
      <c r="G3034" s="3"/>
      <c r="H3034" s="3"/>
      <c r="I3034" s="3"/>
    </row>
    <row r="3035">
      <c r="A3035" s="4" t="s">
        <v>4339</v>
      </c>
      <c r="B3035" s="13" t="s">
        <v>43</v>
      </c>
      <c r="D3035" s="3"/>
      <c r="E3035" s="3"/>
      <c r="F3035" s="3"/>
      <c r="G3035" s="3"/>
      <c r="H3035" s="3"/>
      <c r="I3035" s="3"/>
    </row>
    <row r="3036">
      <c r="A3036" s="4" t="s">
        <v>4340</v>
      </c>
      <c r="B3036" s="13" t="s">
        <v>43</v>
      </c>
      <c r="D3036" s="3"/>
      <c r="E3036" s="3"/>
      <c r="F3036" s="3"/>
      <c r="G3036" s="3"/>
      <c r="H3036" s="3"/>
      <c r="I3036" s="3"/>
    </row>
    <row r="3037">
      <c r="A3037" s="4" t="s">
        <v>4341</v>
      </c>
      <c r="B3037" s="13" t="s">
        <v>43</v>
      </c>
      <c r="D3037" s="3"/>
      <c r="E3037" s="3"/>
      <c r="F3037" s="3"/>
      <c r="G3037" s="3"/>
      <c r="H3037" s="3"/>
      <c r="I3037" s="3"/>
    </row>
    <row r="3038">
      <c r="A3038" s="4" t="s">
        <v>4342</v>
      </c>
      <c r="B3038" s="13" t="s">
        <v>43</v>
      </c>
      <c r="D3038" s="3"/>
      <c r="E3038" s="3"/>
      <c r="F3038" s="3"/>
      <c r="G3038" s="3"/>
      <c r="H3038" s="3"/>
      <c r="I3038" s="3"/>
    </row>
    <row r="3039">
      <c r="A3039" s="4" t="s">
        <v>4343</v>
      </c>
      <c r="B3039" s="13" t="s">
        <v>43</v>
      </c>
      <c r="D3039" s="3"/>
      <c r="E3039" s="3"/>
      <c r="F3039" s="3"/>
      <c r="G3039" s="3"/>
      <c r="H3039" s="3"/>
      <c r="I3039" s="3"/>
    </row>
    <row r="3040">
      <c r="A3040" s="4" t="s">
        <v>4344</v>
      </c>
      <c r="B3040" s="13" t="s">
        <v>43</v>
      </c>
      <c r="D3040" s="3"/>
      <c r="E3040" s="3"/>
      <c r="F3040" s="3"/>
      <c r="G3040" s="3"/>
      <c r="H3040" s="3"/>
      <c r="I3040" s="3"/>
    </row>
    <row r="3041">
      <c r="A3041" s="4" t="s">
        <v>4345</v>
      </c>
      <c r="B3041" s="13" t="s">
        <v>43</v>
      </c>
      <c r="D3041" s="3"/>
      <c r="E3041" s="3"/>
      <c r="F3041" s="3"/>
      <c r="G3041" s="3"/>
      <c r="H3041" s="3"/>
      <c r="I3041" s="3"/>
    </row>
    <row r="3042">
      <c r="A3042" s="4" t="s">
        <v>4346</v>
      </c>
      <c r="B3042" s="13" t="s">
        <v>43</v>
      </c>
      <c r="D3042" s="3"/>
      <c r="E3042" s="3"/>
      <c r="F3042" s="3"/>
      <c r="G3042" s="3"/>
      <c r="H3042" s="3"/>
      <c r="I3042" s="3"/>
    </row>
    <row r="3043">
      <c r="A3043" s="4" t="s">
        <v>4347</v>
      </c>
      <c r="B3043" s="13" t="s">
        <v>43</v>
      </c>
      <c r="D3043" s="3"/>
      <c r="E3043" s="3"/>
      <c r="F3043" s="3"/>
      <c r="G3043" s="3"/>
      <c r="H3043" s="3"/>
      <c r="I3043" s="3"/>
    </row>
    <row r="3044">
      <c r="A3044" s="4" t="s">
        <v>4348</v>
      </c>
      <c r="B3044" s="13" t="s">
        <v>43</v>
      </c>
      <c r="D3044" s="3"/>
      <c r="E3044" s="3"/>
      <c r="F3044" s="3"/>
      <c r="G3044" s="3"/>
      <c r="H3044" s="3"/>
      <c r="I3044" s="3"/>
    </row>
    <row r="3045">
      <c r="A3045" s="4" t="s">
        <v>4349</v>
      </c>
      <c r="B3045" s="13" t="s">
        <v>43</v>
      </c>
      <c r="D3045" s="3"/>
      <c r="E3045" s="3"/>
      <c r="F3045" s="3"/>
      <c r="G3045" s="3"/>
      <c r="H3045" s="3"/>
      <c r="I3045" s="3"/>
    </row>
    <row r="3046">
      <c r="A3046" s="4" t="s">
        <v>4350</v>
      </c>
      <c r="B3046" s="13" t="s">
        <v>43</v>
      </c>
      <c r="D3046" s="3"/>
      <c r="E3046" s="3"/>
      <c r="F3046" s="3"/>
      <c r="G3046" s="3"/>
      <c r="H3046" s="3"/>
      <c r="I3046" s="3"/>
    </row>
    <row r="3047">
      <c r="A3047" s="4" t="s">
        <v>4351</v>
      </c>
      <c r="B3047" s="13" t="s">
        <v>43</v>
      </c>
      <c r="D3047" s="3"/>
      <c r="E3047" s="3"/>
      <c r="F3047" s="3"/>
      <c r="G3047" s="3"/>
      <c r="H3047" s="3"/>
      <c r="I3047" s="3"/>
    </row>
    <row r="3048">
      <c r="A3048" s="4" t="s">
        <v>4352</v>
      </c>
      <c r="B3048" s="13" t="s">
        <v>43</v>
      </c>
      <c r="D3048" s="3"/>
      <c r="E3048" s="3"/>
      <c r="F3048" s="3"/>
      <c r="G3048" s="3"/>
      <c r="H3048" s="3"/>
      <c r="I3048" s="3"/>
    </row>
    <row r="3049">
      <c r="A3049" s="4" t="s">
        <v>4353</v>
      </c>
      <c r="B3049" s="13" t="s">
        <v>43</v>
      </c>
      <c r="D3049" s="3"/>
      <c r="E3049" s="3"/>
      <c r="F3049" s="3"/>
      <c r="G3049" s="3"/>
      <c r="H3049" s="3"/>
      <c r="I3049" s="3"/>
    </row>
    <row r="3050">
      <c r="A3050" s="4" t="s">
        <v>4354</v>
      </c>
      <c r="B3050" s="13" t="s">
        <v>43</v>
      </c>
      <c r="D3050" s="3"/>
      <c r="E3050" s="3"/>
      <c r="F3050" s="3"/>
      <c r="G3050" s="3"/>
      <c r="H3050" s="3"/>
      <c r="I3050" s="3"/>
    </row>
    <row r="3051">
      <c r="A3051" s="4" t="s">
        <v>4355</v>
      </c>
      <c r="B3051" s="13" t="s">
        <v>43</v>
      </c>
      <c r="D3051" s="3"/>
      <c r="E3051" s="3"/>
      <c r="F3051" s="3"/>
      <c r="G3051" s="3"/>
      <c r="H3051" s="3"/>
      <c r="I3051" s="3"/>
    </row>
    <row r="3052">
      <c r="A3052" s="4" t="s">
        <v>4356</v>
      </c>
      <c r="B3052" s="13" t="s">
        <v>43</v>
      </c>
      <c r="D3052" s="3"/>
      <c r="E3052" s="3"/>
      <c r="F3052" s="3"/>
      <c r="G3052" s="3"/>
      <c r="H3052" s="3"/>
      <c r="I3052" s="3"/>
    </row>
    <row r="3053">
      <c r="A3053" s="4" t="s">
        <v>4357</v>
      </c>
      <c r="B3053" s="13" t="s">
        <v>43</v>
      </c>
      <c r="D3053" s="3"/>
      <c r="E3053" s="3"/>
      <c r="F3053" s="3"/>
      <c r="G3053" s="3"/>
      <c r="H3053" s="3"/>
      <c r="I3053" s="3"/>
    </row>
    <row r="3054">
      <c r="A3054" s="4" t="s">
        <v>4358</v>
      </c>
      <c r="B3054" s="13" t="s">
        <v>43</v>
      </c>
      <c r="D3054" s="3"/>
      <c r="E3054" s="3"/>
      <c r="F3054" s="3"/>
      <c r="G3054" s="3"/>
      <c r="H3054" s="3"/>
      <c r="I3054" s="3"/>
    </row>
    <row r="3055">
      <c r="A3055" s="4" t="s">
        <v>4359</v>
      </c>
      <c r="B3055" s="13" t="s">
        <v>43</v>
      </c>
      <c r="D3055" s="3"/>
      <c r="E3055" s="3"/>
      <c r="F3055" s="3"/>
      <c r="G3055" s="3"/>
      <c r="H3055" s="3"/>
      <c r="I3055" s="3"/>
    </row>
    <row r="3056">
      <c r="A3056" s="4" t="s">
        <v>4360</v>
      </c>
      <c r="B3056" s="13" t="s">
        <v>43</v>
      </c>
      <c r="D3056" s="3"/>
      <c r="E3056" s="3"/>
      <c r="F3056" s="3"/>
      <c r="G3056" s="3"/>
      <c r="H3056" s="3"/>
      <c r="I3056" s="3"/>
    </row>
    <row r="3057">
      <c r="A3057" s="4" t="s">
        <v>4361</v>
      </c>
      <c r="B3057" s="13" t="s">
        <v>43</v>
      </c>
      <c r="D3057" s="3"/>
      <c r="E3057" s="3"/>
      <c r="F3057" s="3"/>
      <c r="G3057" s="3"/>
      <c r="H3057" s="3"/>
      <c r="I3057" s="3"/>
    </row>
    <row r="3058">
      <c r="A3058" s="4" t="s">
        <v>4362</v>
      </c>
      <c r="B3058" s="13" t="s">
        <v>43</v>
      </c>
      <c r="D3058" s="3"/>
      <c r="E3058" s="3"/>
      <c r="F3058" s="3"/>
      <c r="G3058" s="3"/>
      <c r="H3058" s="3"/>
      <c r="I3058" s="3"/>
    </row>
    <row r="3059">
      <c r="A3059" s="4" t="s">
        <v>4363</v>
      </c>
      <c r="B3059" s="13" t="s">
        <v>43</v>
      </c>
      <c r="D3059" s="3"/>
      <c r="E3059" s="3"/>
      <c r="F3059" s="3"/>
      <c r="G3059" s="3"/>
      <c r="H3059" s="3"/>
      <c r="I3059" s="3"/>
    </row>
    <row r="3060">
      <c r="A3060" s="4" t="s">
        <v>4364</v>
      </c>
      <c r="B3060" s="13" t="s">
        <v>43</v>
      </c>
      <c r="D3060" s="3"/>
      <c r="E3060" s="3"/>
      <c r="F3060" s="3"/>
      <c r="G3060" s="3"/>
      <c r="H3060" s="3"/>
      <c r="I3060" s="3"/>
    </row>
    <row r="3061">
      <c r="A3061" s="4" t="s">
        <v>4365</v>
      </c>
      <c r="B3061" s="13" t="s">
        <v>43</v>
      </c>
      <c r="D3061" s="3"/>
      <c r="E3061" s="3"/>
      <c r="F3061" s="3"/>
      <c r="G3061" s="3"/>
      <c r="H3061" s="3"/>
      <c r="I3061" s="3"/>
    </row>
    <row r="3062">
      <c r="A3062" s="4" t="s">
        <v>4366</v>
      </c>
      <c r="B3062" s="13" t="s">
        <v>43</v>
      </c>
      <c r="D3062" s="3"/>
      <c r="E3062" s="3"/>
      <c r="F3062" s="3"/>
      <c r="G3062" s="3"/>
      <c r="H3062" s="3"/>
      <c r="I3062" s="3"/>
    </row>
    <row r="3063">
      <c r="A3063" s="4" t="s">
        <v>4367</v>
      </c>
      <c r="B3063" s="13" t="s">
        <v>43</v>
      </c>
      <c r="D3063" s="3"/>
      <c r="E3063" s="3"/>
      <c r="F3063" s="3"/>
      <c r="G3063" s="3"/>
      <c r="H3063" s="3"/>
      <c r="I3063" s="3"/>
    </row>
    <row r="3064">
      <c r="A3064" s="4" t="s">
        <v>4368</v>
      </c>
      <c r="B3064" s="13" t="s">
        <v>43</v>
      </c>
      <c r="D3064" s="3"/>
      <c r="E3064" s="3"/>
      <c r="F3064" s="3"/>
      <c r="G3064" s="3"/>
      <c r="H3064" s="3"/>
      <c r="I3064" s="3"/>
    </row>
    <row r="3065">
      <c r="A3065" s="4" t="s">
        <v>4369</v>
      </c>
      <c r="B3065" s="13" t="s">
        <v>43</v>
      </c>
      <c r="D3065" s="3"/>
      <c r="E3065" s="3"/>
      <c r="F3065" s="3"/>
      <c r="G3065" s="3"/>
      <c r="H3065" s="3"/>
      <c r="I3065" s="3"/>
    </row>
    <row r="3066">
      <c r="A3066" s="4" t="s">
        <v>4370</v>
      </c>
      <c r="B3066" s="13" t="s">
        <v>43</v>
      </c>
      <c r="D3066" s="3"/>
      <c r="E3066" s="3"/>
      <c r="F3066" s="3"/>
      <c r="G3066" s="3"/>
      <c r="H3066" s="3"/>
      <c r="I3066" s="3"/>
    </row>
    <row r="3067">
      <c r="A3067" s="4" t="s">
        <v>4371</v>
      </c>
      <c r="B3067" s="13" t="s">
        <v>43</v>
      </c>
      <c r="D3067" s="3"/>
      <c r="E3067" s="3"/>
      <c r="F3067" s="3"/>
      <c r="G3067" s="3"/>
      <c r="H3067" s="3"/>
      <c r="I3067" s="3"/>
    </row>
    <row r="3068">
      <c r="A3068" s="4" t="s">
        <v>4372</v>
      </c>
      <c r="B3068" s="13" t="s">
        <v>43</v>
      </c>
      <c r="D3068" s="3"/>
      <c r="E3068" s="3"/>
      <c r="F3068" s="3"/>
      <c r="G3068" s="3"/>
      <c r="H3068" s="3"/>
      <c r="I3068" s="3"/>
    </row>
    <row r="3069">
      <c r="A3069" s="4" t="s">
        <v>4373</v>
      </c>
      <c r="B3069" s="13" t="s">
        <v>43</v>
      </c>
      <c r="D3069" s="3"/>
      <c r="E3069" s="3"/>
      <c r="F3069" s="3"/>
      <c r="G3069" s="3"/>
      <c r="H3069" s="3"/>
      <c r="I3069" s="3"/>
    </row>
    <row r="3070">
      <c r="A3070" s="4" t="s">
        <v>4374</v>
      </c>
      <c r="B3070" s="13" t="s">
        <v>43</v>
      </c>
      <c r="D3070" s="3"/>
      <c r="E3070" s="3"/>
      <c r="F3070" s="3"/>
      <c r="G3070" s="3"/>
      <c r="H3070" s="3"/>
      <c r="I3070" s="3"/>
    </row>
    <row r="3071">
      <c r="A3071" s="4" t="s">
        <v>4375</v>
      </c>
      <c r="B3071" s="13" t="s">
        <v>43</v>
      </c>
      <c r="D3071" s="3"/>
      <c r="E3071" s="3"/>
      <c r="F3071" s="3"/>
      <c r="G3071" s="3"/>
      <c r="H3071" s="3"/>
      <c r="I3071" s="3"/>
    </row>
    <row r="3072">
      <c r="A3072" s="4" t="s">
        <v>4376</v>
      </c>
      <c r="B3072" s="13" t="s">
        <v>43</v>
      </c>
      <c r="D3072" s="3"/>
      <c r="E3072" s="3"/>
      <c r="F3072" s="3"/>
      <c r="G3072" s="3"/>
      <c r="H3072" s="3"/>
      <c r="I3072" s="3"/>
    </row>
    <row r="3073">
      <c r="A3073" s="4" t="s">
        <v>4377</v>
      </c>
      <c r="B3073" s="13" t="s">
        <v>43</v>
      </c>
      <c r="D3073" s="3"/>
      <c r="E3073" s="3"/>
      <c r="F3073" s="3"/>
      <c r="G3073" s="3"/>
      <c r="H3073" s="3"/>
      <c r="I3073" s="3"/>
    </row>
    <row r="3074">
      <c r="A3074" s="4" t="s">
        <v>4378</v>
      </c>
      <c r="B3074" s="13" t="s">
        <v>43</v>
      </c>
      <c r="D3074" s="3"/>
      <c r="E3074" s="3"/>
      <c r="F3074" s="3"/>
      <c r="G3074" s="3"/>
      <c r="H3074" s="3"/>
      <c r="I3074" s="3"/>
    </row>
    <row r="3075">
      <c r="A3075" s="4" t="s">
        <v>4379</v>
      </c>
      <c r="B3075" s="13" t="s">
        <v>43</v>
      </c>
      <c r="D3075" s="3"/>
      <c r="E3075" s="3"/>
      <c r="F3075" s="3"/>
      <c r="G3075" s="3"/>
      <c r="H3075" s="3"/>
      <c r="I3075" s="3"/>
    </row>
    <row r="3076">
      <c r="A3076" s="4" t="s">
        <v>4380</v>
      </c>
      <c r="B3076" s="13" t="s">
        <v>43</v>
      </c>
      <c r="D3076" s="3"/>
      <c r="E3076" s="3"/>
      <c r="F3076" s="3"/>
      <c r="G3076" s="3"/>
      <c r="H3076" s="3"/>
      <c r="I3076" s="3"/>
    </row>
    <row r="3077">
      <c r="A3077" s="4" t="s">
        <v>4381</v>
      </c>
      <c r="B3077" s="13" t="s">
        <v>43</v>
      </c>
      <c r="D3077" s="3"/>
      <c r="E3077" s="3"/>
      <c r="F3077" s="3"/>
      <c r="G3077" s="3"/>
      <c r="H3077" s="3"/>
      <c r="I3077" s="3"/>
    </row>
    <row r="3078">
      <c r="A3078" s="4" t="s">
        <v>4382</v>
      </c>
      <c r="B3078" s="13" t="s">
        <v>43</v>
      </c>
      <c r="D3078" s="3"/>
      <c r="E3078" s="3"/>
      <c r="F3078" s="3"/>
      <c r="G3078" s="3"/>
      <c r="H3078" s="3"/>
      <c r="I3078" s="3"/>
    </row>
    <row r="3079">
      <c r="A3079" s="4" t="s">
        <v>4383</v>
      </c>
      <c r="B3079" s="13" t="s">
        <v>43</v>
      </c>
      <c r="D3079" s="3"/>
      <c r="E3079" s="3"/>
      <c r="F3079" s="3"/>
      <c r="G3079" s="3"/>
      <c r="H3079" s="3"/>
      <c r="I3079" s="3"/>
    </row>
    <row r="3080">
      <c r="A3080" s="4" t="s">
        <v>4384</v>
      </c>
      <c r="B3080" s="13" t="s">
        <v>43</v>
      </c>
      <c r="D3080" s="3"/>
      <c r="E3080" s="3"/>
      <c r="F3080" s="3"/>
      <c r="G3080" s="3"/>
      <c r="H3080" s="3"/>
      <c r="I3080" s="3"/>
    </row>
    <row r="3081">
      <c r="A3081" s="4" t="s">
        <v>4385</v>
      </c>
      <c r="B3081" s="13" t="s">
        <v>43</v>
      </c>
      <c r="D3081" s="3"/>
      <c r="E3081" s="3"/>
      <c r="F3081" s="3"/>
      <c r="G3081" s="3"/>
      <c r="H3081" s="3"/>
      <c r="I3081" s="3"/>
    </row>
    <row r="3082">
      <c r="A3082" s="4" t="s">
        <v>4386</v>
      </c>
      <c r="B3082" s="13" t="s">
        <v>43</v>
      </c>
      <c r="D3082" s="3"/>
      <c r="E3082" s="3"/>
      <c r="F3082" s="3"/>
      <c r="G3082" s="3"/>
      <c r="H3082" s="3"/>
      <c r="I3082" s="3"/>
    </row>
    <row r="3083">
      <c r="A3083" s="4" t="s">
        <v>4387</v>
      </c>
      <c r="B3083" s="13" t="s">
        <v>43</v>
      </c>
      <c r="D3083" s="3"/>
      <c r="E3083" s="3"/>
      <c r="F3083" s="3"/>
      <c r="G3083" s="3"/>
      <c r="H3083" s="3"/>
      <c r="I3083" s="3"/>
    </row>
    <row r="3084">
      <c r="A3084" s="4" t="s">
        <v>4388</v>
      </c>
      <c r="B3084" s="13" t="s">
        <v>43</v>
      </c>
      <c r="D3084" s="3"/>
      <c r="E3084" s="3"/>
      <c r="F3084" s="3"/>
      <c r="G3084" s="3"/>
      <c r="H3084" s="3"/>
      <c r="I3084" s="3"/>
    </row>
    <row r="3085">
      <c r="A3085" s="4" t="s">
        <v>4389</v>
      </c>
      <c r="B3085" s="13" t="s">
        <v>43</v>
      </c>
      <c r="D3085" s="3"/>
      <c r="E3085" s="3"/>
      <c r="F3085" s="3"/>
      <c r="G3085" s="3"/>
      <c r="H3085" s="3"/>
      <c r="I3085" s="3"/>
    </row>
    <row r="3086">
      <c r="A3086" s="4" t="s">
        <v>4390</v>
      </c>
      <c r="B3086" s="13" t="s">
        <v>43</v>
      </c>
      <c r="D3086" s="3"/>
      <c r="E3086" s="3"/>
      <c r="F3086" s="3"/>
      <c r="G3086" s="3"/>
      <c r="H3086" s="3"/>
      <c r="I3086" s="3"/>
    </row>
    <row r="3087">
      <c r="A3087" s="4" t="s">
        <v>4391</v>
      </c>
      <c r="B3087" s="13" t="s">
        <v>43</v>
      </c>
      <c r="D3087" s="3"/>
      <c r="E3087" s="3"/>
      <c r="F3087" s="3"/>
      <c r="G3087" s="3"/>
      <c r="H3087" s="3"/>
      <c r="I3087" s="3"/>
    </row>
    <row r="3088">
      <c r="A3088" s="4" t="s">
        <v>4392</v>
      </c>
      <c r="B3088" s="13" t="s">
        <v>43</v>
      </c>
      <c r="D3088" s="3"/>
      <c r="E3088" s="3"/>
      <c r="F3088" s="3"/>
      <c r="G3088" s="3"/>
      <c r="H3088" s="3"/>
      <c r="I3088" s="3"/>
    </row>
    <row r="3089">
      <c r="A3089" s="4" t="s">
        <v>4393</v>
      </c>
      <c r="B3089" s="13" t="s">
        <v>43</v>
      </c>
      <c r="D3089" s="3"/>
      <c r="E3089" s="3"/>
      <c r="F3089" s="3"/>
      <c r="G3089" s="3"/>
      <c r="H3089" s="3"/>
      <c r="I3089" s="3"/>
    </row>
    <row r="3090">
      <c r="A3090" s="4" t="s">
        <v>4394</v>
      </c>
      <c r="B3090" s="13" t="s">
        <v>43</v>
      </c>
      <c r="D3090" s="3"/>
      <c r="E3090" s="3"/>
      <c r="F3090" s="3"/>
      <c r="G3090" s="3"/>
      <c r="H3090" s="3"/>
      <c r="I3090" s="3"/>
    </row>
    <row r="3091">
      <c r="A3091" s="4" t="s">
        <v>4395</v>
      </c>
      <c r="B3091" s="13" t="s">
        <v>43</v>
      </c>
      <c r="D3091" s="3"/>
      <c r="E3091" s="3"/>
      <c r="F3091" s="3"/>
      <c r="G3091" s="3"/>
      <c r="H3091" s="3"/>
      <c r="I3091" s="3"/>
    </row>
    <row r="3092">
      <c r="A3092" s="4" t="s">
        <v>4396</v>
      </c>
      <c r="B3092" s="13" t="s">
        <v>43</v>
      </c>
      <c r="D3092" s="3"/>
      <c r="E3092" s="3"/>
      <c r="F3092" s="3"/>
      <c r="G3092" s="3"/>
      <c r="H3092" s="3"/>
      <c r="I3092" s="3"/>
    </row>
    <row r="3093">
      <c r="A3093" s="4" t="s">
        <v>4397</v>
      </c>
      <c r="B3093" s="13" t="s">
        <v>43</v>
      </c>
      <c r="D3093" s="3"/>
      <c r="E3093" s="3"/>
      <c r="F3093" s="3"/>
      <c r="G3093" s="3"/>
      <c r="H3093" s="3"/>
      <c r="I3093" s="3"/>
    </row>
    <row r="3094">
      <c r="A3094" s="4" t="s">
        <v>4398</v>
      </c>
      <c r="B3094" s="13" t="s">
        <v>43</v>
      </c>
      <c r="D3094" s="3"/>
      <c r="E3094" s="3"/>
      <c r="F3094" s="3"/>
      <c r="G3094" s="3"/>
      <c r="H3094" s="3"/>
      <c r="I3094" s="3"/>
    </row>
    <row r="3095">
      <c r="A3095" s="4" t="s">
        <v>4399</v>
      </c>
      <c r="B3095" s="13" t="s">
        <v>43</v>
      </c>
      <c r="D3095" s="3"/>
      <c r="E3095" s="3"/>
      <c r="F3095" s="3"/>
      <c r="G3095" s="3"/>
      <c r="H3095" s="3"/>
      <c r="I3095" s="3"/>
    </row>
    <row r="3096">
      <c r="A3096" s="4" t="s">
        <v>4400</v>
      </c>
      <c r="B3096" s="13" t="s">
        <v>43</v>
      </c>
      <c r="D3096" s="3"/>
      <c r="E3096" s="3"/>
      <c r="F3096" s="3"/>
      <c r="G3096" s="3"/>
      <c r="H3096" s="3"/>
      <c r="I3096" s="3"/>
    </row>
    <row r="3097">
      <c r="A3097" s="4" t="s">
        <v>4401</v>
      </c>
      <c r="B3097" s="13" t="s">
        <v>43</v>
      </c>
      <c r="D3097" s="3"/>
      <c r="E3097" s="3"/>
      <c r="F3097" s="3"/>
      <c r="G3097" s="3"/>
      <c r="H3097" s="3"/>
      <c r="I3097" s="3"/>
    </row>
    <row r="3098">
      <c r="A3098" s="4" t="s">
        <v>4402</v>
      </c>
      <c r="B3098" s="13" t="s">
        <v>43</v>
      </c>
      <c r="D3098" s="3"/>
      <c r="E3098" s="3"/>
      <c r="F3098" s="3"/>
      <c r="G3098" s="3"/>
      <c r="H3098" s="3"/>
      <c r="I3098" s="3"/>
    </row>
    <row r="3099">
      <c r="A3099" s="4" t="s">
        <v>4403</v>
      </c>
      <c r="B3099" s="13" t="s">
        <v>43</v>
      </c>
      <c r="D3099" s="3"/>
      <c r="E3099" s="3"/>
      <c r="F3099" s="3"/>
      <c r="G3099" s="3"/>
      <c r="H3099" s="3"/>
      <c r="I3099" s="3"/>
    </row>
    <row r="3100">
      <c r="A3100" s="4" t="s">
        <v>4404</v>
      </c>
      <c r="B3100" s="13" t="s">
        <v>43</v>
      </c>
      <c r="D3100" s="3"/>
      <c r="E3100" s="3"/>
      <c r="F3100" s="3"/>
      <c r="G3100" s="3"/>
      <c r="H3100" s="3"/>
      <c r="I3100" s="3"/>
    </row>
    <row r="3101">
      <c r="A3101" s="4" t="s">
        <v>4405</v>
      </c>
      <c r="B3101" s="13" t="s">
        <v>43</v>
      </c>
      <c r="D3101" s="3"/>
      <c r="E3101" s="3"/>
      <c r="F3101" s="3"/>
      <c r="G3101" s="3"/>
      <c r="H3101" s="3"/>
      <c r="I3101" s="3"/>
    </row>
    <row r="3102">
      <c r="A3102" s="4" t="s">
        <v>4406</v>
      </c>
      <c r="B3102" s="13" t="s">
        <v>43</v>
      </c>
      <c r="D3102" s="3"/>
      <c r="E3102" s="3"/>
      <c r="F3102" s="3"/>
      <c r="G3102" s="3"/>
      <c r="H3102" s="3"/>
      <c r="I3102" s="3"/>
    </row>
    <row r="3103">
      <c r="A3103" s="4" t="s">
        <v>4407</v>
      </c>
      <c r="B3103" s="13" t="s">
        <v>43</v>
      </c>
      <c r="D3103" s="3"/>
      <c r="E3103" s="3"/>
      <c r="F3103" s="3"/>
      <c r="G3103" s="3"/>
      <c r="H3103" s="3"/>
      <c r="I3103" s="3"/>
    </row>
    <row r="3104">
      <c r="A3104" s="4" t="s">
        <v>4408</v>
      </c>
      <c r="B3104" s="13" t="s">
        <v>43</v>
      </c>
      <c r="D3104" s="3"/>
      <c r="E3104" s="3"/>
      <c r="F3104" s="3"/>
      <c r="G3104" s="3"/>
      <c r="H3104" s="3"/>
      <c r="I3104" s="3"/>
    </row>
    <row r="3105">
      <c r="A3105" s="4" t="s">
        <v>4409</v>
      </c>
      <c r="B3105" s="13" t="s">
        <v>43</v>
      </c>
      <c r="D3105" s="3"/>
      <c r="E3105" s="3"/>
      <c r="F3105" s="3"/>
      <c r="G3105" s="3"/>
      <c r="H3105" s="3"/>
      <c r="I3105" s="3"/>
    </row>
    <row r="3106">
      <c r="A3106" s="4" t="s">
        <v>4410</v>
      </c>
      <c r="B3106" s="13" t="s">
        <v>43</v>
      </c>
      <c r="D3106" s="3"/>
      <c r="E3106" s="3"/>
      <c r="F3106" s="3"/>
      <c r="G3106" s="3"/>
      <c r="H3106" s="3"/>
      <c r="I3106" s="3"/>
    </row>
    <row r="3107">
      <c r="A3107" s="4" t="s">
        <v>4411</v>
      </c>
      <c r="B3107" s="13" t="s">
        <v>43</v>
      </c>
      <c r="D3107" s="3"/>
      <c r="E3107" s="3"/>
      <c r="F3107" s="3"/>
      <c r="G3107" s="3"/>
      <c r="H3107" s="3"/>
      <c r="I3107" s="3"/>
    </row>
    <row r="3108">
      <c r="A3108" s="4" t="s">
        <v>4412</v>
      </c>
      <c r="B3108" s="13" t="s">
        <v>43</v>
      </c>
      <c r="D3108" s="3"/>
      <c r="E3108" s="3"/>
      <c r="F3108" s="3"/>
      <c r="G3108" s="3"/>
      <c r="H3108" s="3"/>
      <c r="I3108" s="3"/>
    </row>
    <row r="3109">
      <c r="A3109" s="4" t="s">
        <v>4413</v>
      </c>
      <c r="B3109" s="13" t="s">
        <v>43</v>
      </c>
      <c r="D3109" s="3"/>
      <c r="E3109" s="3"/>
      <c r="F3109" s="3"/>
      <c r="G3109" s="3"/>
      <c r="H3109" s="3"/>
      <c r="I3109" s="3"/>
    </row>
    <row r="3110">
      <c r="A3110" s="4" t="s">
        <v>4414</v>
      </c>
      <c r="B3110" s="13" t="s">
        <v>43</v>
      </c>
      <c r="D3110" s="3"/>
      <c r="E3110" s="3"/>
      <c r="F3110" s="3"/>
      <c r="G3110" s="3"/>
      <c r="H3110" s="3"/>
      <c r="I3110" s="3"/>
    </row>
    <row r="3111">
      <c r="A3111" s="4" t="s">
        <v>4415</v>
      </c>
      <c r="B3111" s="13" t="s">
        <v>43</v>
      </c>
      <c r="D3111" s="3"/>
      <c r="E3111" s="3"/>
      <c r="F3111" s="3"/>
      <c r="G3111" s="3"/>
      <c r="H3111" s="3"/>
      <c r="I3111" s="3"/>
    </row>
    <row r="3112">
      <c r="A3112" s="4" t="s">
        <v>4416</v>
      </c>
      <c r="B3112" s="13" t="s">
        <v>43</v>
      </c>
      <c r="D3112" s="3"/>
      <c r="E3112" s="3"/>
      <c r="F3112" s="3"/>
      <c r="G3112" s="3"/>
      <c r="H3112" s="3"/>
      <c r="I3112" s="3"/>
    </row>
    <row r="3113">
      <c r="A3113" s="4" t="s">
        <v>4417</v>
      </c>
      <c r="B3113" s="13" t="s">
        <v>43</v>
      </c>
      <c r="D3113" s="3"/>
      <c r="E3113" s="3"/>
      <c r="F3113" s="3"/>
      <c r="G3113" s="3"/>
      <c r="H3113" s="3"/>
      <c r="I3113" s="3"/>
      <c r="J3113" s="4" t="s">
        <v>1757</v>
      </c>
    </row>
    <row r="3114">
      <c r="A3114" s="4" t="s">
        <v>4418</v>
      </c>
      <c r="B3114" s="13" t="s">
        <v>48</v>
      </c>
      <c r="C3114" s="4">
        <v>1.0</v>
      </c>
      <c r="D3114" s="3"/>
      <c r="E3114" s="4">
        <v>2.0</v>
      </c>
      <c r="F3114" s="3"/>
      <c r="G3114" s="3"/>
      <c r="H3114" s="3"/>
      <c r="I3114" s="3"/>
      <c r="J3114" s="4" t="s">
        <v>1757</v>
      </c>
    </row>
    <row r="3115">
      <c r="A3115" s="4" t="s">
        <v>4419</v>
      </c>
      <c r="B3115" s="13" t="s">
        <v>48</v>
      </c>
      <c r="C3115" s="4">
        <v>1.0</v>
      </c>
      <c r="D3115" s="3"/>
      <c r="E3115" s="4">
        <v>2.0</v>
      </c>
      <c r="F3115" s="3"/>
      <c r="G3115" s="3"/>
      <c r="H3115" s="3"/>
      <c r="I3115" s="3"/>
      <c r="J3115" s="4" t="s">
        <v>1757</v>
      </c>
    </row>
    <row r="3116">
      <c r="A3116" s="4" t="s">
        <v>4420</v>
      </c>
      <c r="B3116" s="13" t="s">
        <v>48</v>
      </c>
      <c r="C3116" s="4">
        <v>1.0</v>
      </c>
      <c r="D3116" s="3"/>
      <c r="E3116" s="4">
        <v>2.0</v>
      </c>
      <c r="F3116" s="3"/>
      <c r="G3116" s="3"/>
      <c r="H3116" s="3"/>
      <c r="I3116" s="3"/>
      <c r="J3116" s="4" t="s">
        <v>1757</v>
      </c>
    </row>
    <row r="3117">
      <c r="A3117" s="4" t="s">
        <v>4421</v>
      </c>
      <c r="B3117" s="13" t="s">
        <v>48</v>
      </c>
      <c r="C3117" s="4">
        <v>1.0</v>
      </c>
      <c r="D3117" s="3"/>
      <c r="E3117" s="4">
        <v>2.0</v>
      </c>
      <c r="F3117" s="3"/>
      <c r="G3117" s="3"/>
      <c r="H3117" s="3"/>
      <c r="I3117" s="3"/>
      <c r="J3117" s="4" t="s">
        <v>1757</v>
      </c>
    </row>
    <row r="3118">
      <c r="A3118" s="4" t="s">
        <v>4422</v>
      </c>
      <c r="B3118" s="13" t="s">
        <v>48</v>
      </c>
      <c r="C3118" s="4">
        <v>1.0</v>
      </c>
      <c r="D3118" s="3"/>
      <c r="E3118" s="4">
        <v>2.0</v>
      </c>
      <c r="F3118" s="3"/>
      <c r="G3118" s="3"/>
      <c r="H3118" s="3"/>
      <c r="I3118" s="3"/>
      <c r="J3118" s="4" t="s">
        <v>1757</v>
      </c>
    </row>
    <row r="3119">
      <c r="A3119" s="4" t="s">
        <v>4423</v>
      </c>
      <c r="B3119" s="13" t="s">
        <v>48</v>
      </c>
      <c r="C3119" s="4">
        <v>1.0</v>
      </c>
      <c r="D3119" s="3"/>
      <c r="E3119" s="4">
        <v>2.0</v>
      </c>
      <c r="F3119" s="3"/>
      <c r="G3119" s="3"/>
      <c r="H3119" s="3"/>
      <c r="I3119" s="3"/>
      <c r="J3119" s="4" t="s">
        <v>1757</v>
      </c>
    </row>
    <row r="3120">
      <c r="A3120" s="4" t="s">
        <v>4424</v>
      </c>
      <c r="B3120" s="13" t="s">
        <v>48</v>
      </c>
      <c r="C3120" s="4">
        <v>1.0</v>
      </c>
      <c r="D3120" s="3"/>
      <c r="E3120" s="4">
        <v>2.0</v>
      </c>
      <c r="F3120" s="3"/>
      <c r="G3120" s="3"/>
      <c r="H3120" s="3"/>
      <c r="I3120" s="3"/>
      <c r="J3120" s="4" t="s">
        <v>1757</v>
      </c>
    </row>
    <row r="3121">
      <c r="A3121" s="4" t="s">
        <v>4425</v>
      </c>
      <c r="B3121" s="13" t="s">
        <v>48</v>
      </c>
      <c r="C3121" s="4">
        <v>1.0</v>
      </c>
      <c r="D3121" s="3"/>
      <c r="E3121" s="4">
        <v>2.0</v>
      </c>
      <c r="F3121" s="3"/>
      <c r="G3121" s="3"/>
      <c r="H3121" s="3"/>
      <c r="I3121" s="3"/>
      <c r="J3121" s="4" t="s">
        <v>1757</v>
      </c>
    </row>
    <row r="3122">
      <c r="A3122" s="4" t="s">
        <v>4426</v>
      </c>
      <c r="B3122" s="13" t="s">
        <v>48</v>
      </c>
      <c r="C3122" s="4">
        <v>1.0</v>
      </c>
      <c r="D3122" s="3"/>
      <c r="E3122" s="4">
        <v>2.0</v>
      </c>
      <c r="F3122" s="3"/>
      <c r="G3122" s="3"/>
      <c r="H3122" s="3"/>
      <c r="I3122" s="3"/>
    </row>
    <row r="3123">
      <c r="A3123" s="4" t="s">
        <v>4427</v>
      </c>
      <c r="B3123" s="13" t="s">
        <v>48</v>
      </c>
      <c r="C3123" s="4">
        <v>1.0</v>
      </c>
      <c r="D3123" s="3"/>
      <c r="E3123" s="4">
        <v>2.0</v>
      </c>
      <c r="F3123" s="3"/>
      <c r="G3123" s="3"/>
      <c r="H3123" s="3"/>
      <c r="I3123" s="3"/>
    </row>
    <row r="3124">
      <c r="A3124" s="4" t="s">
        <v>4428</v>
      </c>
      <c r="B3124" s="13" t="s">
        <v>48</v>
      </c>
      <c r="C3124" s="4">
        <v>1.0</v>
      </c>
      <c r="D3124" s="3"/>
      <c r="E3124" s="4">
        <v>2.0</v>
      </c>
      <c r="F3124" s="3"/>
      <c r="G3124" s="3"/>
      <c r="H3124" s="3"/>
      <c r="I3124" s="3"/>
    </row>
    <row r="3125">
      <c r="A3125" s="4" t="s">
        <v>4429</v>
      </c>
      <c r="B3125" s="13" t="s">
        <v>43</v>
      </c>
      <c r="D3125" s="3"/>
      <c r="E3125" s="3"/>
      <c r="F3125" s="3"/>
      <c r="G3125" s="3"/>
      <c r="H3125" s="3"/>
      <c r="I3125" s="3"/>
    </row>
    <row r="3126">
      <c r="A3126" s="4" t="s">
        <v>4430</v>
      </c>
      <c r="B3126" s="13" t="s">
        <v>43</v>
      </c>
      <c r="D3126" s="3"/>
      <c r="E3126" s="3"/>
      <c r="F3126" s="3"/>
      <c r="G3126" s="3"/>
      <c r="H3126" s="3"/>
      <c r="I3126" s="3"/>
    </row>
    <row r="3127">
      <c r="A3127" s="4" t="s">
        <v>4431</v>
      </c>
      <c r="B3127" s="13" t="s">
        <v>43</v>
      </c>
      <c r="D3127" s="3"/>
      <c r="E3127" s="3"/>
      <c r="F3127" s="3"/>
      <c r="G3127" s="3"/>
      <c r="H3127" s="3"/>
      <c r="I3127" s="3"/>
    </row>
    <row r="3128">
      <c r="A3128" s="4" t="s">
        <v>4432</v>
      </c>
      <c r="B3128" s="13" t="s">
        <v>43</v>
      </c>
      <c r="D3128" s="3"/>
      <c r="E3128" s="3"/>
      <c r="F3128" s="3"/>
      <c r="G3128" s="3"/>
      <c r="H3128" s="3"/>
      <c r="I3128" s="3"/>
    </row>
    <row r="3129">
      <c r="A3129" s="4" t="s">
        <v>4433</v>
      </c>
      <c r="B3129" s="13" t="s">
        <v>43</v>
      </c>
      <c r="D3129" s="3"/>
      <c r="E3129" s="3"/>
      <c r="F3129" s="3"/>
      <c r="G3129" s="3"/>
      <c r="H3129" s="3"/>
      <c r="I3129" s="3"/>
    </row>
    <row r="3130">
      <c r="A3130" s="4" t="s">
        <v>4434</v>
      </c>
      <c r="B3130" s="13" t="s">
        <v>43</v>
      </c>
      <c r="D3130" s="3"/>
      <c r="E3130" s="3"/>
      <c r="F3130" s="3"/>
      <c r="G3130" s="3"/>
      <c r="H3130" s="3"/>
      <c r="I3130" s="3"/>
    </row>
    <row r="3131">
      <c r="A3131" s="4" t="s">
        <v>4435</v>
      </c>
      <c r="B3131" s="13" t="s">
        <v>43</v>
      </c>
      <c r="D3131" s="3"/>
      <c r="E3131" s="3"/>
      <c r="F3131" s="3"/>
      <c r="G3131" s="3"/>
      <c r="H3131" s="3"/>
      <c r="I3131" s="3"/>
    </row>
    <row r="3132">
      <c r="A3132" s="4" t="s">
        <v>4436</v>
      </c>
      <c r="B3132" s="13" t="s">
        <v>43</v>
      </c>
      <c r="D3132" s="3"/>
      <c r="E3132" s="3"/>
      <c r="F3132" s="3"/>
      <c r="G3132" s="3"/>
      <c r="H3132" s="3"/>
      <c r="I3132" s="3"/>
    </row>
    <row r="3133">
      <c r="A3133" s="4" t="s">
        <v>4437</v>
      </c>
      <c r="B3133" s="13" t="s">
        <v>43</v>
      </c>
      <c r="D3133" s="3"/>
      <c r="E3133" s="3"/>
      <c r="F3133" s="3"/>
      <c r="G3133" s="3"/>
      <c r="H3133" s="3"/>
      <c r="I3133" s="3"/>
    </row>
    <row r="3134">
      <c r="A3134" s="4" t="s">
        <v>4438</v>
      </c>
      <c r="B3134" s="13" t="s">
        <v>43</v>
      </c>
      <c r="D3134" s="3"/>
      <c r="E3134" s="3"/>
      <c r="F3134" s="3"/>
      <c r="G3134" s="3"/>
      <c r="H3134" s="3"/>
      <c r="I3134" s="3"/>
    </row>
    <row r="3135">
      <c r="A3135" s="4" t="s">
        <v>4439</v>
      </c>
      <c r="B3135" s="13" t="s">
        <v>43</v>
      </c>
      <c r="D3135" s="3"/>
      <c r="E3135" s="3"/>
      <c r="F3135" s="3"/>
      <c r="G3135" s="3"/>
      <c r="H3135" s="3"/>
      <c r="I3135" s="3"/>
    </row>
    <row r="3136">
      <c r="A3136" s="4" t="s">
        <v>4440</v>
      </c>
      <c r="B3136" s="13" t="s">
        <v>43</v>
      </c>
      <c r="D3136" s="3"/>
      <c r="E3136" s="3"/>
      <c r="F3136" s="3"/>
      <c r="G3136" s="3"/>
      <c r="H3136" s="3"/>
      <c r="I3136" s="3"/>
    </row>
    <row r="3137">
      <c r="A3137" s="4" t="s">
        <v>4441</v>
      </c>
      <c r="B3137" s="13" t="s">
        <v>43</v>
      </c>
      <c r="D3137" s="3"/>
      <c r="E3137" s="3"/>
      <c r="F3137" s="3"/>
      <c r="G3137" s="3"/>
      <c r="H3137" s="3"/>
      <c r="I3137" s="3"/>
    </row>
    <row r="3138">
      <c r="A3138" s="4" t="s">
        <v>4442</v>
      </c>
      <c r="B3138" s="13" t="s">
        <v>43</v>
      </c>
      <c r="D3138" s="3"/>
      <c r="E3138" s="3"/>
      <c r="F3138" s="3"/>
      <c r="G3138" s="3"/>
      <c r="H3138" s="3"/>
      <c r="I3138" s="3"/>
    </row>
    <row r="3139">
      <c r="A3139" s="4" t="s">
        <v>4443</v>
      </c>
      <c r="B3139" s="13" t="s">
        <v>43</v>
      </c>
      <c r="D3139" s="3"/>
      <c r="E3139" s="3"/>
      <c r="F3139" s="3"/>
      <c r="G3139" s="3"/>
      <c r="H3139" s="3"/>
      <c r="I3139" s="3"/>
    </row>
    <row r="3140">
      <c r="A3140" s="4" t="s">
        <v>4444</v>
      </c>
      <c r="B3140" s="13" t="s">
        <v>43</v>
      </c>
      <c r="D3140" s="3"/>
      <c r="E3140" s="3"/>
      <c r="F3140" s="3"/>
      <c r="G3140" s="3"/>
      <c r="H3140" s="3"/>
      <c r="I3140" s="3"/>
    </row>
    <row r="3141">
      <c r="A3141" s="4" t="s">
        <v>4445</v>
      </c>
      <c r="B3141" s="13" t="s">
        <v>43</v>
      </c>
      <c r="D3141" s="3"/>
      <c r="E3141" s="3"/>
      <c r="F3141" s="3"/>
      <c r="G3141" s="3"/>
      <c r="H3141" s="3"/>
      <c r="I3141" s="3"/>
    </row>
    <row r="3142">
      <c r="A3142" s="4" t="s">
        <v>4446</v>
      </c>
      <c r="B3142" s="13" t="s">
        <v>43</v>
      </c>
      <c r="D3142" s="3"/>
      <c r="E3142" s="3"/>
      <c r="F3142" s="3"/>
      <c r="G3142" s="3"/>
      <c r="H3142" s="3"/>
      <c r="I3142" s="3"/>
    </row>
    <row r="3143">
      <c r="A3143" s="4" t="s">
        <v>4447</v>
      </c>
      <c r="B3143" s="13" t="s">
        <v>43</v>
      </c>
      <c r="D3143" s="3"/>
      <c r="E3143" s="3"/>
      <c r="F3143" s="3"/>
      <c r="G3143" s="3"/>
      <c r="H3143" s="3"/>
      <c r="I3143" s="3"/>
    </row>
    <row r="3144">
      <c r="A3144" s="4" t="s">
        <v>4448</v>
      </c>
      <c r="B3144" s="13" t="s">
        <v>43</v>
      </c>
      <c r="D3144" s="3"/>
      <c r="E3144" s="3"/>
      <c r="F3144" s="3"/>
      <c r="G3144" s="3"/>
      <c r="H3144" s="3"/>
      <c r="I3144" s="3"/>
    </row>
    <row r="3145">
      <c r="A3145" s="4" t="s">
        <v>4449</v>
      </c>
      <c r="B3145" s="13" t="s">
        <v>43</v>
      </c>
      <c r="D3145" s="3"/>
      <c r="E3145" s="3"/>
      <c r="F3145" s="3"/>
      <c r="G3145" s="3"/>
      <c r="H3145" s="3"/>
      <c r="I3145" s="3"/>
    </row>
    <row r="3146">
      <c r="A3146" s="4" t="s">
        <v>4450</v>
      </c>
      <c r="B3146" s="13" t="s">
        <v>43</v>
      </c>
      <c r="D3146" s="3"/>
      <c r="E3146" s="3"/>
      <c r="F3146" s="3"/>
      <c r="G3146" s="3"/>
      <c r="H3146" s="3"/>
      <c r="I3146" s="3"/>
    </row>
    <row r="3147">
      <c r="A3147" s="4" t="s">
        <v>4451</v>
      </c>
      <c r="B3147" s="13" t="s">
        <v>43</v>
      </c>
      <c r="D3147" s="3"/>
      <c r="E3147" s="3"/>
      <c r="F3147" s="3"/>
      <c r="G3147" s="3"/>
      <c r="H3147" s="3"/>
      <c r="I3147" s="3"/>
    </row>
    <row r="3148">
      <c r="A3148" s="4" t="s">
        <v>4452</v>
      </c>
      <c r="B3148" s="13" t="s">
        <v>43</v>
      </c>
      <c r="D3148" s="3"/>
      <c r="E3148" s="3"/>
      <c r="F3148" s="3"/>
      <c r="G3148" s="3"/>
      <c r="H3148" s="3"/>
      <c r="I3148" s="3"/>
    </row>
    <row r="3149">
      <c r="A3149" s="4" t="s">
        <v>4453</v>
      </c>
      <c r="B3149" s="13" t="s">
        <v>43</v>
      </c>
      <c r="D3149" s="3"/>
      <c r="E3149" s="3"/>
      <c r="F3149" s="3"/>
      <c r="G3149" s="3"/>
      <c r="H3149" s="3"/>
      <c r="I3149" s="3"/>
    </row>
    <row r="3150">
      <c r="A3150" s="4" t="s">
        <v>4454</v>
      </c>
      <c r="B3150" s="13" t="s">
        <v>43</v>
      </c>
      <c r="D3150" s="3"/>
      <c r="E3150" s="3"/>
      <c r="F3150" s="3"/>
      <c r="G3150" s="3"/>
      <c r="H3150" s="3"/>
      <c r="I3150" s="3"/>
    </row>
    <row r="3151">
      <c r="A3151" s="4" t="s">
        <v>4455</v>
      </c>
      <c r="B3151" s="13" t="s">
        <v>43</v>
      </c>
      <c r="D3151" s="3"/>
      <c r="E3151" s="3"/>
      <c r="F3151" s="3"/>
      <c r="G3151" s="3"/>
      <c r="H3151" s="3"/>
      <c r="I3151" s="3"/>
    </row>
    <row r="3152">
      <c r="A3152" s="4" t="s">
        <v>4456</v>
      </c>
      <c r="B3152" s="13" t="s">
        <v>43</v>
      </c>
      <c r="D3152" s="3"/>
      <c r="E3152" s="3"/>
      <c r="F3152" s="3"/>
      <c r="G3152" s="3"/>
      <c r="H3152" s="3"/>
      <c r="I3152" s="3"/>
    </row>
    <row r="3153">
      <c r="A3153" s="4" t="s">
        <v>4457</v>
      </c>
      <c r="B3153" s="13" t="s">
        <v>43</v>
      </c>
      <c r="D3153" s="3"/>
      <c r="E3153" s="3"/>
      <c r="F3153" s="3"/>
      <c r="G3153" s="3"/>
      <c r="H3153" s="3"/>
      <c r="I3153" s="3"/>
    </row>
    <row r="3154">
      <c r="A3154" s="4" t="s">
        <v>4458</v>
      </c>
      <c r="B3154" s="13" t="s">
        <v>43</v>
      </c>
      <c r="D3154" s="3"/>
      <c r="E3154" s="3"/>
      <c r="F3154" s="3"/>
      <c r="G3154" s="3"/>
      <c r="H3154" s="3"/>
      <c r="I3154" s="3"/>
    </row>
    <row r="3155">
      <c r="A3155" s="4" t="s">
        <v>4459</v>
      </c>
      <c r="B3155" s="13" t="s">
        <v>43</v>
      </c>
      <c r="D3155" s="3"/>
      <c r="E3155" s="3"/>
      <c r="F3155" s="3"/>
      <c r="G3155" s="3"/>
      <c r="H3155" s="3"/>
      <c r="I3155" s="3"/>
    </row>
    <row r="3156">
      <c r="A3156" s="4" t="s">
        <v>4460</v>
      </c>
      <c r="B3156" s="13" t="s">
        <v>43</v>
      </c>
      <c r="D3156" s="3"/>
      <c r="E3156" s="3"/>
      <c r="F3156" s="3"/>
      <c r="G3156" s="3"/>
      <c r="H3156" s="3"/>
      <c r="I3156" s="3"/>
    </row>
    <row r="3157">
      <c r="A3157" s="4" t="s">
        <v>4461</v>
      </c>
      <c r="B3157" s="13" t="s">
        <v>43</v>
      </c>
      <c r="D3157" s="3"/>
      <c r="E3157" s="3"/>
      <c r="F3157" s="3"/>
      <c r="G3157" s="3"/>
      <c r="H3157" s="3"/>
      <c r="I3157" s="3"/>
    </row>
    <row r="3158">
      <c r="A3158" s="4" t="s">
        <v>4462</v>
      </c>
      <c r="B3158" s="13" t="s">
        <v>43</v>
      </c>
      <c r="D3158" s="3"/>
      <c r="E3158" s="3"/>
      <c r="F3158" s="3"/>
      <c r="G3158" s="3"/>
      <c r="H3158" s="3"/>
      <c r="I3158" s="3"/>
    </row>
    <row r="3159">
      <c r="A3159" s="4" t="s">
        <v>4463</v>
      </c>
      <c r="B3159" s="13" t="s">
        <v>43</v>
      </c>
      <c r="D3159" s="3"/>
      <c r="E3159" s="3"/>
      <c r="F3159" s="3"/>
      <c r="G3159" s="3"/>
      <c r="H3159" s="3"/>
      <c r="I3159" s="3"/>
    </row>
    <row r="3160">
      <c r="A3160" s="4" t="s">
        <v>4464</v>
      </c>
      <c r="B3160" s="13" t="s">
        <v>43</v>
      </c>
      <c r="D3160" s="3"/>
      <c r="E3160" s="3"/>
      <c r="F3160" s="3"/>
      <c r="G3160" s="3"/>
      <c r="H3160" s="3"/>
      <c r="I3160" s="3"/>
    </row>
    <row r="3161">
      <c r="A3161" s="4" t="s">
        <v>4465</v>
      </c>
      <c r="B3161" s="13" t="s">
        <v>43</v>
      </c>
      <c r="D3161" s="3"/>
      <c r="E3161" s="3"/>
      <c r="F3161" s="3"/>
      <c r="G3161" s="3"/>
      <c r="H3161" s="3"/>
      <c r="I3161" s="3"/>
    </row>
    <row r="3162">
      <c r="A3162" s="4" t="s">
        <v>4466</v>
      </c>
      <c r="B3162" s="13" t="s">
        <v>43</v>
      </c>
      <c r="D3162" s="3"/>
      <c r="E3162" s="3"/>
      <c r="F3162" s="3"/>
      <c r="G3162" s="3"/>
      <c r="H3162" s="3"/>
      <c r="I3162" s="3"/>
    </row>
    <row r="3163">
      <c r="A3163" s="4" t="s">
        <v>4467</v>
      </c>
      <c r="B3163" s="13" t="s">
        <v>43</v>
      </c>
      <c r="D3163" s="3"/>
      <c r="E3163" s="3"/>
      <c r="F3163" s="3"/>
      <c r="G3163" s="3"/>
      <c r="H3163" s="3"/>
      <c r="I3163" s="3"/>
    </row>
    <row r="3164">
      <c r="A3164" s="4" t="s">
        <v>4468</v>
      </c>
      <c r="B3164" s="13" t="s">
        <v>48</v>
      </c>
      <c r="C3164" s="4">
        <v>1.0</v>
      </c>
      <c r="D3164" s="3"/>
      <c r="E3164" s="4">
        <v>2.0</v>
      </c>
      <c r="F3164" s="3"/>
      <c r="G3164" s="3"/>
      <c r="H3164" s="3"/>
      <c r="I3164" s="3"/>
    </row>
    <row r="3165">
      <c r="A3165" s="4" t="s">
        <v>4469</v>
      </c>
      <c r="B3165" s="13" t="s">
        <v>48</v>
      </c>
      <c r="C3165" s="4">
        <v>1.0</v>
      </c>
      <c r="D3165" s="3"/>
      <c r="E3165" s="4">
        <v>2.0</v>
      </c>
      <c r="F3165" s="3"/>
      <c r="G3165" s="3"/>
      <c r="H3165" s="3"/>
      <c r="I3165" s="3"/>
    </row>
    <row r="3166">
      <c r="A3166" s="4" t="s">
        <v>4470</v>
      </c>
      <c r="B3166" s="13" t="s">
        <v>48</v>
      </c>
      <c r="C3166" s="4">
        <v>1.0</v>
      </c>
      <c r="D3166" s="3"/>
      <c r="E3166" s="4">
        <v>2.0</v>
      </c>
      <c r="F3166" s="3"/>
      <c r="G3166" s="3"/>
      <c r="H3166" s="3"/>
      <c r="I3166" s="3"/>
    </row>
    <row r="3167">
      <c r="A3167" s="4" t="s">
        <v>4471</v>
      </c>
      <c r="B3167" s="13" t="s">
        <v>48</v>
      </c>
      <c r="C3167" s="4">
        <v>1.0</v>
      </c>
      <c r="D3167" s="3"/>
      <c r="E3167" s="4">
        <v>2.0</v>
      </c>
      <c r="F3167" s="3"/>
      <c r="G3167" s="3"/>
      <c r="H3167" s="3"/>
      <c r="I3167" s="3"/>
    </row>
    <row r="3168">
      <c r="A3168" s="4" t="s">
        <v>4472</v>
      </c>
      <c r="B3168" s="13" t="s">
        <v>48</v>
      </c>
      <c r="C3168" s="4">
        <v>1.0</v>
      </c>
      <c r="D3168" s="3"/>
      <c r="E3168" s="4">
        <v>2.0</v>
      </c>
      <c r="F3168" s="3"/>
      <c r="G3168" s="3"/>
      <c r="H3168" s="3"/>
      <c r="I3168" s="3"/>
    </row>
    <row r="3169">
      <c r="A3169" s="4" t="s">
        <v>4473</v>
      </c>
      <c r="B3169" s="13" t="s">
        <v>48</v>
      </c>
      <c r="C3169" s="4">
        <v>1.0</v>
      </c>
      <c r="D3169" s="3"/>
      <c r="E3169" s="4">
        <v>2.0</v>
      </c>
      <c r="F3169" s="3"/>
      <c r="G3169" s="3"/>
      <c r="H3169" s="3"/>
      <c r="I3169" s="3"/>
    </row>
    <row r="3170">
      <c r="A3170" s="4" t="s">
        <v>4474</v>
      </c>
      <c r="B3170" s="13" t="s">
        <v>48</v>
      </c>
      <c r="C3170" s="4">
        <v>1.0</v>
      </c>
      <c r="D3170" s="3"/>
      <c r="E3170" s="4">
        <v>2.0</v>
      </c>
      <c r="F3170" s="3"/>
      <c r="G3170" s="3"/>
      <c r="H3170" s="3"/>
      <c r="I3170" s="3"/>
    </row>
    <row r="3171">
      <c r="A3171" s="4" t="s">
        <v>4475</v>
      </c>
      <c r="B3171" s="13" t="s">
        <v>48</v>
      </c>
      <c r="C3171" s="4">
        <v>1.0</v>
      </c>
      <c r="D3171" s="3"/>
      <c r="E3171" s="4">
        <v>2.0</v>
      </c>
      <c r="F3171" s="3"/>
      <c r="G3171" s="3"/>
      <c r="H3171" s="3"/>
      <c r="I3171" s="3"/>
    </row>
    <row r="3172">
      <c r="A3172" s="4" t="s">
        <v>4476</v>
      </c>
      <c r="B3172" s="13" t="s">
        <v>48</v>
      </c>
      <c r="C3172" s="4">
        <v>1.0</v>
      </c>
      <c r="D3172" s="3"/>
      <c r="E3172" s="4">
        <v>2.0</v>
      </c>
      <c r="F3172" s="3"/>
      <c r="G3172" s="3"/>
      <c r="H3172" s="3"/>
      <c r="I3172" s="3"/>
    </row>
    <row r="3173">
      <c r="A3173" s="4" t="s">
        <v>4477</v>
      </c>
      <c r="B3173" s="13" t="s">
        <v>48</v>
      </c>
      <c r="C3173" s="4">
        <v>1.0</v>
      </c>
      <c r="D3173" s="3"/>
      <c r="E3173" s="4">
        <v>2.0</v>
      </c>
      <c r="F3173" s="3"/>
      <c r="G3173" s="3"/>
      <c r="H3173" s="3"/>
      <c r="I3173" s="3"/>
    </row>
    <row r="3174">
      <c r="A3174" s="4" t="s">
        <v>4478</v>
      </c>
      <c r="B3174" s="13" t="s">
        <v>48</v>
      </c>
      <c r="C3174" s="4">
        <v>1.0</v>
      </c>
      <c r="D3174" s="3"/>
      <c r="E3174" s="4">
        <v>2.0</v>
      </c>
      <c r="F3174" s="3"/>
      <c r="G3174" s="3"/>
      <c r="H3174" s="3"/>
      <c r="I3174" s="3"/>
    </row>
    <row r="3175">
      <c r="A3175" s="4" t="s">
        <v>4479</v>
      </c>
      <c r="B3175" s="13" t="s">
        <v>48</v>
      </c>
      <c r="C3175" s="4">
        <v>1.0</v>
      </c>
      <c r="D3175" s="3"/>
      <c r="E3175" s="4">
        <v>2.0</v>
      </c>
      <c r="F3175" s="3"/>
      <c r="G3175" s="3"/>
      <c r="H3175" s="3"/>
      <c r="I3175" s="3"/>
    </row>
    <row r="3176">
      <c r="A3176" s="4" t="s">
        <v>4480</v>
      </c>
      <c r="B3176" s="13" t="s">
        <v>48</v>
      </c>
      <c r="C3176" s="4">
        <v>1.0</v>
      </c>
      <c r="D3176" s="3"/>
      <c r="E3176" s="4">
        <v>2.0</v>
      </c>
      <c r="F3176" s="3"/>
      <c r="G3176" s="3"/>
      <c r="H3176" s="3"/>
      <c r="I3176" s="3"/>
    </row>
    <row r="3177">
      <c r="A3177" s="4" t="s">
        <v>4481</v>
      </c>
      <c r="B3177" s="13" t="s">
        <v>48</v>
      </c>
      <c r="C3177" s="4">
        <v>1.0</v>
      </c>
      <c r="D3177" s="3"/>
      <c r="E3177" s="4">
        <v>2.0</v>
      </c>
      <c r="F3177" s="3"/>
      <c r="G3177" s="3"/>
      <c r="H3177" s="3"/>
      <c r="I3177" s="3"/>
    </row>
    <row r="3178">
      <c r="A3178" s="4" t="s">
        <v>4482</v>
      </c>
      <c r="B3178" s="13" t="s">
        <v>48</v>
      </c>
      <c r="C3178" s="4">
        <v>1.0</v>
      </c>
      <c r="D3178" s="3"/>
      <c r="E3178" s="4">
        <v>2.0</v>
      </c>
      <c r="F3178" s="3"/>
      <c r="G3178" s="3"/>
      <c r="H3178" s="3"/>
      <c r="I3178" s="3"/>
    </row>
    <row r="3179">
      <c r="A3179" s="4" t="s">
        <v>4483</v>
      </c>
      <c r="B3179" s="13" t="s">
        <v>48</v>
      </c>
      <c r="C3179" s="4">
        <v>1.0</v>
      </c>
      <c r="D3179" s="3"/>
      <c r="E3179" s="4">
        <v>2.0</v>
      </c>
      <c r="F3179" s="3"/>
      <c r="G3179" s="3"/>
      <c r="H3179" s="3"/>
      <c r="I3179" s="3"/>
    </row>
    <row r="3180">
      <c r="A3180" s="4" t="s">
        <v>4484</v>
      </c>
      <c r="B3180" s="13" t="s">
        <v>43</v>
      </c>
      <c r="D3180" s="3"/>
      <c r="E3180" s="3"/>
      <c r="F3180" s="3"/>
      <c r="G3180" s="3"/>
      <c r="H3180" s="3"/>
      <c r="I3180" s="3"/>
    </row>
    <row r="3181">
      <c r="A3181" s="4" t="s">
        <v>4485</v>
      </c>
      <c r="B3181" s="13" t="s">
        <v>43</v>
      </c>
      <c r="D3181" s="3"/>
      <c r="E3181" s="3"/>
      <c r="F3181" s="3"/>
      <c r="G3181" s="3"/>
      <c r="H3181" s="3"/>
      <c r="I3181" s="3"/>
    </row>
    <row r="3182">
      <c r="A3182" s="4" t="s">
        <v>4486</v>
      </c>
      <c r="B3182" s="13" t="s">
        <v>43</v>
      </c>
      <c r="D3182" s="3"/>
      <c r="E3182" s="3"/>
      <c r="F3182" s="3"/>
      <c r="G3182" s="3"/>
      <c r="H3182" s="3"/>
      <c r="I3182" s="3"/>
    </row>
    <row r="3183">
      <c r="A3183" s="4" t="s">
        <v>4487</v>
      </c>
      <c r="B3183" s="13" t="s">
        <v>43</v>
      </c>
      <c r="D3183" s="3"/>
      <c r="E3183" s="3"/>
      <c r="F3183" s="3"/>
      <c r="G3183" s="3"/>
      <c r="H3183" s="3"/>
      <c r="I3183" s="3"/>
    </row>
    <row r="3184">
      <c r="A3184" s="4" t="s">
        <v>4488</v>
      </c>
      <c r="B3184" s="13" t="s">
        <v>43</v>
      </c>
      <c r="D3184" s="3"/>
      <c r="E3184" s="3"/>
      <c r="F3184" s="3"/>
      <c r="G3184" s="3"/>
      <c r="H3184" s="3"/>
      <c r="I3184" s="3"/>
    </row>
    <row r="3185">
      <c r="A3185" s="4" t="s">
        <v>4489</v>
      </c>
      <c r="B3185" s="13" t="s">
        <v>43</v>
      </c>
      <c r="D3185" s="3"/>
      <c r="E3185" s="3"/>
      <c r="F3185" s="3"/>
      <c r="G3185" s="3"/>
      <c r="H3185" s="3"/>
      <c r="I3185" s="3"/>
    </row>
    <row r="3186">
      <c r="A3186" s="4" t="s">
        <v>4490</v>
      </c>
      <c r="B3186" s="13" t="s">
        <v>43</v>
      </c>
      <c r="D3186" s="3"/>
      <c r="E3186" s="3"/>
      <c r="F3186" s="3"/>
      <c r="G3186" s="3"/>
      <c r="H3186" s="3"/>
      <c r="I3186" s="3"/>
    </row>
    <row r="3187">
      <c r="A3187" s="4" t="s">
        <v>4491</v>
      </c>
      <c r="B3187" s="13" t="s">
        <v>43</v>
      </c>
      <c r="D3187" s="3"/>
      <c r="E3187" s="3"/>
      <c r="F3187" s="3"/>
      <c r="G3187" s="3"/>
      <c r="H3187" s="3"/>
      <c r="I3187" s="3"/>
    </row>
    <row r="3188">
      <c r="A3188" s="4" t="s">
        <v>4492</v>
      </c>
      <c r="B3188" s="13" t="s">
        <v>43</v>
      </c>
      <c r="D3188" s="3"/>
      <c r="E3188" s="3"/>
      <c r="F3188" s="3"/>
      <c r="G3188" s="3"/>
      <c r="H3188" s="3"/>
      <c r="I3188" s="3"/>
    </row>
    <row r="3189">
      <c r="A3189" s="4" t="s">
        <v>4493</v>
      </c>
      <c r="B3189" s="13" t="s">
        <v>43</v>
      </c>
      <c r="D3189" s="3"/>
      <c r="E3189" s="3"/>
      <c r="F3189" s="3"/>
      <c r="G3189" s="3"/>
      <c r="H3189" s="3"/>
      <c r="I3189" s="3"/>
    </row>
    <row r="3190">
      <c r="A3190" s="4" t="s">
        <v>4494</v>
      </c>
      <c r="B3190" s="13" t="s">
        <v>43</v>
      </c>
      <c r="D3190" s="3"/>
      <c r="E3190" s="3"/>
      <c r="F3190" s="3"/>
      <c r="G3190" s="3"/>
      <c r="H3190" s="3"/>
      <c r="I3190" s="3"/>
    </row>
    <row r="3191">
      <c r="A3191" s="4" t="s">
        <v>4495</v>
      </c>
      <c r="B3191" s="13" t="s">
        <v>43</v>
      </c>
      <c r="D3191" s="3"/>
      <c r="E3191" s="3"/>
      <c r="F3191" s="3"/>
      <c r="G3191" s="3"/>
      <c r="H3191" s="3"/>
      <c r="I3191" s="3"/>
    </row>
    <row r="3192">
      <c r="A3192" s="4" t="s">
        <v>4496</v>
      </c>
      <c r="B3192" s="13" t="s">
        <v>48</v>
      </c>
      <c r="C3192" s="4">
        <v>1.0</v>
      </c>
      <c r="D3192" s="3"/>
      <c r="E3192" s="4">
        <v>2.0</v>
      </c>
      <c r="F3192" s="3"/>
      <c r="G3192" s="3"/>
      <c r="H3192" s="3"/>
      <c r="I3192" s="3"/>
    </row>
    <row r="3193">
      <c r="A3193" s="4" t="s">
        <v>4497</v>
      </c>
      <c r="B3193" s="13" t="s">
        <v>48</v>
      </c>
      <c r="C3193" s="4">
        <v>1.0</v>
      </c>
      <c r="D3193" s="3"/>
      <c r="E3193" s="4">
        <v>2.0</v>
      </c>
      <c r="F3193" s="3"/>
      <c r="G3193" s="3"/>
      <c r="H3193" s="3"/>
      <c r="I3193" s="3"/>
    </row>
    <row r="3194">
      <c r="A3194" s="4" t="s">
        <v>4498</v>
      </c>
      <c r="B3194" s="13" t="s">
        <v>48</v>
      </c>
      <c r="C3194" s="4">
        <v>1.0</v>
      </c>
      <c r="D3194" s="3"/>
      <c r="E3194" s="4">
        <v>2.0</v>
      </c>
      <c r="F3194" s="3"/>
      <c r="G3194" s="3"/>
      <c r="H3194" s="3"/>
      <c r="I3194" s="3"/>
    </row>
    <row r="3195">
      <c r="A3195" s="4" t="s">
        <v>4499</v>
      </c>
      <c r="B3195" s="13" t="s">
        <v>48</v>
      </c>
      <c r="C3195" s="4">
        <v>1.0</v>
      </c>
      <c r="D3195" s="3"/>
      <c r="E3195" s="4">
        <v>2.0</v>
      </c>
      <c r="F3195" s="3"/>
      <c r="G3195" s="3"/>
      <c r="H3195" s="3"/>
      <c r="I3195" s="3"/>
    </row>
    <row r="3196">
      <c r="A3196" s="4" t="s">
        <v>4500</v>
      </c>
      <c r="B3196" s="13" t="s">
        <v>48</v>
      </c>
      <c r="C3196" s="4">
        <v>1.0</v>
      </c>
      <c r="D3196" s="3"/>
      <c r="E3196" s="4">
        <v>2.0</v>
      </c>
      <c r="F3196" s="3"/>
      <c r="G3196" s="3"/>
      <c r="H3196" s="3"/>
      <c r="I3196" s="3"/>
    </row>
    <row r="3197">
      <c r="A3197" s="4" t="s">
        <v>4501</v>
      </c>
      <c r="B3197" s="13" t="s">
        <v>48</v>
      </c>
      <c r="C3197" s="4">
        <v>1.0</v>
      </c>
      <c r="D3197" s="3"/>
      <c r="E3197" s="4">
        <v>2.0</v>
      </c>
      <c r="F3197" s="3"/>
      <c r="G3197" s="3"/>
      <c r="H3197" s="3"/>
      <c r="I3197" s="3"/>
    </row>
    <row r="3198">
      <c r="A3198" s="4" t="s">
        <v>4502</v>
      </c>
      <c r="B3198" s="13" t="s">
        <v>48</v>
      </c>
      <c r="C3198" s="4">
        <v>1.0</v>
      </c>
      <c r="D3198" s="3"/>
      <c r="E3198" s="4">
        <v>2.0</v>
      </c>
      <c r="F3198" s="3"/>
      <c r="G3198" s="3"/>
      <c r="H3198" s="3"/>
      <c r="I3198" s="3"/>
    </row>
    <row r="3199">
      <c r="A3199" s="4" t="s">
        <v>4503</v>
      </c>
      <c r="B3199" s="13" t="s">
        <v>48</v>
      </c>
      <c r="C3199" s="4">
        <v>1.0</v>
      </c>
      <c r="D3199" s="3"/>
      <c r="E3199" s="4">
        <v>2.0</v>
      </c>
      <c r="F3199" s="3"/>
      <c r="G3199" s="3"/>
      <c r="H3199" s="3"/>
      <c r="I3199" s="3"/>
    </row>
    <row r="3200">
      <c r="A3200" s="4" t="s">
        <v>4504</v>
      </c>
      <c r="B3200" s="13" t="s">
        <v>48</v>
      </c>
      <c r="C3200" s="4">
        <v>1.0</v>
      </c>
      <c r="D3200" s="3"/>
      <c r="E3200" s="4">
        <v>2.0</v>
      </c>
      <c r="F3200" s="3"/>
      <c r="G3200" s="3"/>
      <c r="H3200" s="3"/>
      <c r="I3200" s="3"/>
    </row>
    <row r="3201">
      <c r="A3201" s="4" t="s">
        <v>4505</v>
      </c>
      <c r="B3201" s="13" t="s">
        <v>48</v>
      </c>
      <c r="C3201" s="4">
        <v>1.0</v>
      </c>
      <c r="D3201" s="3"/>
      <c r="E3201" s="4">
        <v>2.0</v>
      </c>
      <c r="F3201" s="3"/>
      <c r="G3201" s="3"/>
      <c r="H3201" s="3"/>
      <c r="I3201" s="3"/>
    </row>
    <row r="3202">
      <c r="A3202" s="4" t="s">
        <v>4506</v>
      </c>
      <c r="B3202" s="13" t="s">
        <v>48</v>
      </c>
      <c r="C3202" s="4">
        <v>1.0</v>
      </c>
      <c r="D3202" s="3"/>
      <c r="E3202" s="4">
        <v>2.0</v>
      </c>
      <c r="F3202" s="3"/>
      <c r="G3202" s="3"/>
      <c r="H3202" s="3"/>
      <c r="I3202" s="3"/>
    </row>
    <row r="3203">
      <c r="A3203" s="4" t="s">
        <v>4507</v>
      </c>
      <c r="B3203" s="13" t="s">
        <v>48</v>
      </c>
      <c r="C3203" s="4">
        <v>1.0</v>
      </c>
      <c r="D3203" s="3"/>
      <c r="E3203" s="4">
        <v>2.0</v>
      </c>
      <c r="F3203" s="3"/>
      <c r="G3203" s="3"/>
      <c r="H3203" s="3"/>
      <c r="I3203" s="3"/>
    </row>
    <row r="3204">
      <c r="A3204" s="4" t="s">
        <v>4508</v>
      </c>
      <c r="B3204" s="13" t="s">
        <v>48</v>
      </c>
      <c r="C3204" s="4">
        <v>1.0</v>
      </c>
      <c r="D3204" s="3"/>
      <c r="E3204" s="4">
        <v>2.0</v>
      </c>
      <c r="F3204" s="3"/>
      <c r="G3204" s="3"/>
      <c r="H3204" s="3"/>
      <c r="I3204" s="3"/>
    </row>
    <row r="3205">
      <c r="A3205" s="4" t="s">
        <v>4509</v>
      </c>
      <c r="B3205" s="13" t="s">
        <v>48</v>
      </c>
      <c r="C3205" s="4">
        <v>1.0</v>
      </c>
      <c r="D3205" s="3"/>
      <c r="E3205" s="4">
        <v>2.0</v>
      </c>
      <c r="F3205" s="3"/>
      <c r="G3205" s="3"/>
      <c r="H3205" s="3"/>
      <c r="I3205" s="3"/>
    </row>
    <row r="3206">
      <c r="A3206" s="4" t="s">
        <v>4510</v>
      </c>
      <c r="B3206" s="13" t="s">
        <v>48</v>
      </c>
      <c r="C3206" s="4">
        <v>1.0</v>
      </c>
      <c r="D3206" s="3"/>
      <c r="E3206" s="4">
        <v>2.0</v>
      </c>
      <c r="F3206" s="3"/>
      <c r="G3206" s="3"/>
      <c r="H3206" s="3"/>
      <c r="I3206" s="3"/>
    </row>
    <row r="3207">
      <c r="A3207" s="4" t="s">
        <v>4511</v>
      </c>
      <c r="B3207" s="13" t="s">
        <v>48</v>
      </c>
      <c r="C3207" s="4">
        <v>1.0</v>
      </c>
      <c r="D3207" s="3"/>
      <c r="E3207" s="4">
        <v>2.0</v>
      </c>
      <c r="F3207" s="3"/>
      <c r="G3207" s="3"/>
      <c r="H3207" s="3"/>
      <c r="I3207" s="3"/>
    </row>
    <row r="3208">
      <c r="A3208" s="4" t="s">
        <v>4512</v>
      </c>
      <c r="B3208" s="13" t="s">
        <v>48</v>
      </c>
      <c r="C3208" s="4">
        <v>1.0</v>
      </c>
      <c r="D3208" s="3"/>
      <c r="E3208" s="4">
        <v>2.0</v>
      </c>
      <c r="F3208" s="3"/>
      <c r="G3208" s="3"/>
      <c r="H3208" s="3"/>
      <c r="I3208" s="3"/>
    </row>
    <row r="3209">
      <c r="A3209" s="4" t="s">
        <v>4513</v>
      </c>
      <c r="B3209" s="13" t="s">
        <v>48</v>
      </c>
      <c r="C3209" s="4">
        <v>1.0</v>
      </c>
      <c r="D3209" s="3"/>
      <c r="E3209" s="4">
        <v>2.0</v>
      </c>
      <c r="F3209" s="3"/>
      <c r="G3209" s="3"/>
      <c r="H3209" s="3"/>
      <c r="I3209" s="3"/>
    </row>
    <row r="3210">
      <c r="A3210" s="4" t="s">
        <v>4514</v>
      </c>
      <c r="B3210" s="13" t="s">
        <v>48</v>
      </c>
      <c r="C3210" s="4">
        <v>1.0</v>
      </c>
      <c r="D3210" s="3"/>
      <c r="E3210" s="4">
        <v>2.0</v>
      </c>
      <c r="F3210" s="3"/>
      <c r="G3210" s="3"/>
      <c r="H3210" s="3"/>
      <c r="I3210" s="3"/>
    </row>
    <row r="3211">
      <c r="A3211" s="4" t="s">
        <v>4515</v>
      </c>
      <c r="B3211" s="13" t="s">
        <v>48</v>
      </c>
      <c r="C3211" s="4">
        <v>1.0</v>
      </c>
      <c r="D3211" s="3"/>
      <c r="E3211" s="4">
        <v>2.0</v>
      </c>
      <c r="F3211" s="3"/>
      <c r="G3211" s="3"/>
      <c r="H3211" s="3"/>
      <c r="I3211" s="3"/>
    </row>
    <row r="3212">
      <c r="A3212" s="4" t="s">
        <v>4516</v>
      </c>
      <c r="B3212" s="13" t="s">
        <v>48</v>
      </c>
      <c r="C3212" s="4">
        <v>1.0</v>
      </c>
      <c r="D3212" s="3"/>
      <c r="E3212" s="4">
        <v>2.0</v>
      </c>
      <c r="F3212" s="3"/>
      <c r="G3212" s="3"/>
      <c r="H3212" s="3"/>
      <c r="I3212" s="3"/>
    </row>
    <row r="3213">
      <c r="A3213" s="4" t="s">
        <v>4517</v>
      </c>
      <c r="B3213" s="13" t="s">
        <v>48</v>
      </c>
      <c r="C3213" s="4">
        <v>1.0</v>
      </c>
      <c r="D3213" s="3"/>
      <c r="E3213" s="4">
        <v>2.0</v>
      </c>
      <c r="F3213" s="3"/>
      <c r="G3213" s="3"/>
      <c r="H3213" s="3"/>
      <c r="I3213" s="3"/>
    </row>
    <row r="3214">
      <c r="A3214" s="4" t="s">
        <v>4518</v>
      </c>
      <c r="B3214" s="13" t="s">
        <v>48</v>
      </c>
      <c r="C3214" s="4">
        <v>1.0</v>
      </c>
      <c r="D3214" s="3"/>
      <c r="E3214" s="4">
        <v>2.0</v>
      </c>
      <c r="F3214" s="3"/>
      <c r="G3214" s="3"/>
      <c r="H3214" s="3"/>
      <c r="I3214" s="3"/>
    </row>
    <row r="3215">
      <c r="A3215" s="4" t="s">
        <v>4519</v>
      </c>
      <c r="B3215" s="13" t="s">
        <v>48</v>
      </c>
      <c r="C3215" s="4">
        <v>1.0</v>
      </c>
      <c r="D3215" s="3"/>
      <c r="E3215" s="4">
        <v>2.0</v>
      </c>
      <c r="F3215" s="3"/>
      <c r="G3215" s="3"/>
      <c r="H3215" s="3"/>
      <c r="I3215" s="3"/>
    </row>
    <row r="3216">
      <c r="A3216" s="4" t="s">
        <v>4520</v>
      </c>
      <c r="B3216" s="13" t="s">
        <v>48</v>
      </c>
      <c r="C3216" s="4">
        <v>1.0</v>
      </c>
      <c r="D3216" s="3"/>
      <c r="E3216" s="4">
        <v>2.0</v>
      </c>
      <c r="F3216" s="3"/>
      <c r="G3216" s="3"/>
      <c r="H3216" s="3"/>
      <c r="I3216" s="3"/>
    </row>
    <row r="3217">
      <c r="A3217" s="4" t="s">
        <v>4521</v>
      </c>
      <c r="B3217" s="13" t="s">
        <v>48</v>
      </c>
      <c r="C3217" s="4">
        <v>1.0</v>
      </c>
      <c r="D3217" s="3"/>
      <c r="E3217" s="4">
        <v>2.0</v>
      </c>
      <c r="F3217" s="3"/>
      <c r="G3217" s="3"/>
      <c r="H3217" s="3"/>
      <c r="I3217" s="3"/>
    </row>
    <row r="3218">
      <c r="A3218" s="4" t="s">
        <v>4522</v>
      </c>
      <c r="B3218" s="13" t="s">
        <v>48</v>
      </c>
      <c r="C3218" s="4">
        <v>1.0</v>
      </c>
      <c r="D3218" s="3"/>
      <c r="E3218" s="4">
        <v>2.0</v>
      </c>
      <c r="F3218" s="3"/>
      <c r="G3218" s="3"/>
      <c r="H3218" s="3"/>
      <c r="I3218" s="3"/>
    </row>
    <row r="3219">
      <c r="A3219" s="4" t="s">
        <v>4523</v>
      </c>
      <c r="B3219" s="13" t="s">
        <v>48</v>
      </c>
      <c r="C3219" s="4">
        <v>1.0</v>
      </c>
      <c r="D3219" s="3"/>
      <c r="E3219" s="4">
        <v>2.0</v>
      </c>
      <c r="F3219" s="3"/>
      <c r="G3219" s="3"/>
      <c r="H3219" s="3"/>
      <c r="I3219" s="3"/>
    </row>
    <row r="3220">
      <c r="A3220" s="4" t="s">
        <v>4524</v>
      </c>
      <c r="B3220" s="13" t="s">
        <v>48</v>
      </c>
      <c r="C3220" s="4">
        <v>1.0</v>
      </c>
      <c r="D3220" s="3"/>
      <c r="E3220" s="4">
        <v>2.0</v>
      </c>
      <c r="F3220" s="3"/>
      <c r="G3220" s="3"/>
      <c r="H3220" s="3"/>
      <c r="I3220" s="3"/>
    </row>
    <row r="3221">
      <c r="A3221" s="4" t="s">
        <v>4525</v>
      </c>
      <c r="B3221" s="13" t="s">
        <v>48</v>
      </c>
      <c r="C3221" s="4">
        <v>1.0</v>
      </c>
      <c r="D3221" s="3"/>
      <c r="E3221" s="4">
        <v>2.0</v>
      </c>
      <c r="F3221" s="3"/>
      <c r="G3221" s="3"/>
      <c r="H3221" s="3"/>
      <c r="I3221" s="3"/>
    </row>
    <row r="3222">
      <c r="A3222" s="4" t="s">
        <v>4526</v>
      </c>
      <c r="B3222" s="13" t="s">
        <v>48</v>
      </c>
      <c r="C3222" s="4">
        <v>1.0</v>
      </c>
      <c r="D3222" s="3"/>
      <c r="E3222" s="4">
        <v>2.0</v>
      </c>
      <c r="F3222" s="3"/>
      <c r="G3222" s="3"/>
      <c r="H3222" s="3"/>
      <c r="I3222" s="3"/>
    </row>
    <row r="3223">
      <c r="A3223" s="4" t="s">
        <v>4527</v>
      </c>
      <c r="B3223" s="13" t="s">
        <v>48</v>
      </c>
      <c r="C3223" s="4">
        <v>1.0</v>
      </c>
      <c r="D3223" s="3"/>
      <c r="E3223" s="4">
        <v>2.0</v>
      </c>
      <c r="F3223" s="3"/>
      <c r="G3223" s="3"/>
      <c r="H3223" s="3"/>
      <c r="I3223" s="3"/>
    </row>
    <row r="3224">
      <c r="A3224" s="4" t="s">
        <v>4528</v>
      </c>
      <c r="B3224" s="13" t="s">
        <v>43</v>
      </c>
      <c r="D3224" s="3"/>
      <c r="E3224" s="3"/>
      <c r="F3224" s="3"/>
      <c r="G3224" s="3"/>
      <c r="H3224" s="3"/>
      <c r="I3224" s="3"/>
    </row>
    <row r="3225">
      <c r="A3225" s="4" t="s">
        <v>4529</v>
      </c>
      <c r="B3225" s="13" t="s">
        <v>43</v>
      </c>
      <c r="D3225" s="3"/>
      <c r="E3225" s="3"/>
      <c r="F3225" s="3"/>
      <c r="G3225" s="3"/>
      <c r="H3225" s="3"/>
      <c r="I3225" s="3"/>
    </row>
    <row r="3226">
      <c r="A3226" s="4" t="s">
        <v>4530</v>
      </c>
      <c r="B3226" s="13" t="s">
        <v>43</v>
      </c>
      <c r="D3226" s="3"/>
      <c r="E3226" s="3"/>
      <c r="F3226" s="3"/>
      <c r="G3226" s="3"/>
      <c r="H3226" s="3"/>
      <c r="I3226" s="3"/>
    </row>
    <row r="3227">
      <c r="A3227" s="4" t="s">
        <v>4531</v>
      </c>
      <c r="B3227" s="13" t="s">
        <v>43</v>
      </c>
      <c r="D3227" s="3"/>
      <c r="E3227" s="3"/>
      <c r="F3227" s="3"/>
      <c r="G3227" s="3"/>
      <c r="H3227" s="3"/>
      <c r="I3227" s="3"/>
    </row>
    <row r="3228">
      <c r="A3228" s="4" t="s">
        <v>4532</v>
      </c>
      <c r="B3228" s="13" t="s">
        <v>43</v>
      </c>
      <c r="D3228" s="3"/>
      <c r="E3228" s="3"/>
      <c r="F3228" s="3"/>
      <c r="G3228" s="3"/>
      <c r="H3228" s="3"/>
      <c r="I3228" s="3"/>
    </row>
    <row r="3229">
      <c r="A3229" s="4"/>
      <c r="B3229" s="25"/>
    </row>
    <row r="3230">
      <c r="A3230" s="4"/>
      <c r="B3230" s="25"/>
    </row>
    <row r="3231">
      <c r="A3231" s="4"/>
      <c r="B3231" s="25"/>
    </row>
    <row r="3232">
      <c r="A3232" s="4"/>
      <c r="B3232" s="25"/>
    </row>
    <row r="3233">
      <c r="A3233" s="4"/>
      <c r="B3233" s="25"/>
    </row>
    <row r="3234">
      <c r="A3234" s="4"/>
      <c r="B3234" s="25"/>
    </row>
    <row r="3235">
      <c r="A3235" s="4"/>
      <c r="B3235" s="25"/>
    </row>
    <row r="3236">
      <c r="A3236" s="4"/>
      <c r="B3236" s="25"/>
    </row>
    <row r="3237">
      <c r="A3237" s="4"/>
      <c r="B3237" s="25"/>
    </row>
    <row r="3238">
      <c r="A3238" s="4"/>
      <c r="B3238" s="25"/>
    </row>
  </sheetData>
  <conditionalFormatting sqref="B4:B3238">
    <cfRule type="cellIs" dxfId="0" priority="1" operator="equal">
      <formula>"YES"</formula>
    </cfRule>
  </conditionalFormatting>
  <conditionalFormatting sqref="B4:B3238">
    <cfRule type="cellIs" dxfId="1" priority="2" operator="equal">
      <formula>"NO"</formula>
    </cfRule>
  </conditionalFormatting>
  <conditionalFormatting sqref="D4:D3228">
    <cfRule type="cellIs" dxfId="2" priority="3" operator="equal">
      <formula>1</formula>
    </cfRule>
  </conditionalFormatting>
  <conditionalFormatting sqref="D4:D3228">
    <cfRule type="containsBlanks" dxfId="3" priority="4">
      <formula>LEN(TRIM(D4))=0</formula>
    </cfRule>
  </conditionalFormatting>
  <conditionalFormatting sqref="D4:D3228">
    <cfRule type="cellIs" dxfId="1" priority="5" operator="notEqual">
      <formula>1</formula>
    </cfRule>
  </conditionalFormatting>
  <conditionalFormatting sqref="E4:E3228">
    <cfRule type="cellIs" dxfId="2" priority="6" operator="equal">
      <formula>2</formula>
    </cfRule>
  </conditionalFormatting>
  <conditionalFormatting sqref="E4:E3228">
    <cfRule type="containsBlanks" dxfId="6" priority="7">
      <formula>LEN(TRIM(E4))=0</formula>
    </cfRule>
  </conditionalFormatting>
  <conditionalFormatting sqref="E4:E3228">
    <cfRule type="cellIs" dxfId="7" priority="8" operator="notEqual">
      <formula>2</formula>
    </cfRule>
  </conditionalFormatting>
  <conditionalFormatting sqref="F4:F3228">
    <cfRule type="cellIs" dxfId="2" priority="9" operator="equal">
      <formula>9</formula>
    </cfRule>
  </conditionalFormatting>
  <conditionalFormatting sqref="F4:F3228">
    <cfRule type="containsBlanks" dxfId="6" priority="10">
      <formula>LEN(TRIM(F4))=0</formula>
    </cfRule>
  </conditionalFormatting>
  <conditionalFormatting sqref="F4:F3228">
    <cfRule type="cellIs" dxfId="1" priority="11" operator="notEqual">
      <formula>9</formula>
    </cfRule>
  </conditionalFormatting>
  <conditionalFormatting sqref="G4:G3228">
    <cfRule type="cellIs" dxfId="2" priority="12" operator="equal">
      <formula>10</formula>
    </cfRule>
  </conditionalFormatting>
  <conditionalFormatting sqref="G4:G3228">
    <cfRule type="containsBlanks" dxfId="6" priority="13">
      <formula>LEN(TRIM(G4))=0</formula>
    </cfRule>
  </conditionalFormatting>
  <conditionalFormatting sqref="G4:G3228">
    <cfRule type="cellIs" dxfId="1" priority="14" operator="notEqual">
      <formula>10</formula>
    </cfRule>
  </conditionalFormatting>
  <conditionalFormatting sqref="H4:H3228">
    <cfRule type="cellIs" dxfId="2" priority="15" operator="equal">
      <formula>13</formula>
    </cfRule>
  </conditionalFormatting>
  <conditionalFormatting sqref="H4:H3228">
    <cfRule type="containsBlanks" dxfId="6" priority="16">
      <formula>LEN(TRIM(H4))=0</formula>
    </cfRule>
  </conditionalFormatting>
  <conditionalFormatting sqref="H4:H3228">
    <cfRule type="cellIs" dxfId="1" priority="17" operator="notEqual">
      <formula>13</formula>
    </cfRule>
  </conditionalFormatting>
  <conditionalFormatting sqref="I4:I3228">
    <cfRule type="cellIs" dxfId="2" priority="18" operator="equal">
      <formula>15</formula>
    </cfRule>
  </conditionalFormatting>
  <conditionalFormatting sqref="I4:I3228">
    <cfRule type="containsBlanks" dxfId="6" priority="19">
      <formula>LEN(TRIM(I4))=0</formula>
    </cfRule>
  </conditionalFormatting>
  <conditionalFormatting sqref="I4:I3228">
    <cfRule type="cellIs" dxfId="1" priority="20" operator="notEqual">
      <formula>15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38"/>
    <col customWidth="1" min="2" max="2" width="15.13"/>
    <col customWidth="1" min="3" max="3" width="13.75"/>
    <col customWidth="1" min="4" max="4" width="5.88"/>
    <col customWidth="1" min="5" max="5" width="4.5"/>
    <col customWidth="1" min="6" max="6" width="5.5"/>
    <col customWidth="1" min="7" max="7" width="16.25"/>
    <col customWidth="1" min="8" max="8" width="6.13"/>
    <col customWidth="1" min="9" max="9" width="9.38"/>
    <col customWidth="1" min="10" max="10" width="7.25"/>
    <col customWidth="1" min="11" max="11" width="19.5"/>
    <col customWidth="1" min="12" max="13" width="8.63"/>
    <col customWidth="1" min="14" max="14" width="7.88"/>
    <col customWidth="1" min="15" max="15" width="4.75"/>
    <col customWidth="1" min="16" max="16" width="8.13"/>
    <col customWidth="1" min="17" max="17" width="3.75"/>
    <col customWidth="1" min="18" max="18" width="8.13"/>
    <col customWidth="1" min="19" max="19" width="3.75"/>
    <col customWidth="1" min="20" max="20" width="8.13"/>
    <col customWidth="1" min="21" max="21" width="4.25"/>
    <col customWidth="1" min="22" max="23" width="3.38"/>
    <col customWidth="1" min="24" max="24" width="3.75"/>
    <col customWidth="1" min="25" max="29" width="4.25"/>
  </cols>
  <sheetData>
    <row r="1">
      <c r="A1" s="5" t="s">
        <v>1289</v>
      </c>
      <c r="B1" s="26" t="s">
        <v>9</v>
      </c>
      <c r="C1" s="23" t="s">
        <v>1290</v>
      </c>
      <c r="D1" s="6" t="s">
        <v>11</v>
      </c>
      <c r="E1" s="23" t="s">
        <v>1291</v>
      </c>
      <c r="F1" s="6" t="s">
        <v>13</v>
      </c>
      <c r="G1" s="23" t="s">
        <v>1292</v>
      </c>
      <c r="H1" s="6" t="s">
        <v>15</v>
      </c>
      <c r="I1" s="8">
        <v>45560.0</v>
      </c>
      <c r="J1" s="6" t="s">
        <v>16</v>
      </c>
      <c r="K1" s="9" t="s">
        <v>4533</v>
      </c>
      <c r="L1" s="6" t="s">
        <v>18</v>
      </c>
      <c r="M1" s="9" t="s">
        <v>4534</v>
      </c>
      <c r="N1" s="6" t="s">
        <v>20</v>
      </c>
      <c r="O1" s="9">
        <f>COUNTA(A4:A4979)-COUNTIF(B:B,"TRAVEL BACK")-COUNTIF(B:B,"COLOR SAMPLE")-COUNTIF(B:B,"TRASH")</f>
        <v>2775</v>
      </c>
    </row>
    <row r="2">
      <c r="A2" s="10" t="s">
        <v>21</v>
      </c>
      <c r="B2" s="10" t="s">
        <v>22</v>
      </c>
      <c r="C2" s="10">
        <f>COUNTIF(B4:B7474,"YES")</f>
        <v>1210</v>
      </c>
      <c r="D2" s="10" t="s">
        <v>23</v>
      </c>
      <c r="E2" s="10">
        <f>COUNTIF(C4:C7474,"1")</f>
        <v>572</v>
      </c>
      <c r="F2" s="10" t="s">
        <v>24</v>
      </c>
      <c r="G2" s="10">
        <f>COUNTIF(C4:C7474,"2")</f>
        <v>325</v>
      </c>
      <c r="H2" s="10" t="s">
        <v>25</v>
      </c>
      <c r="I2" s="11">
        <f>COUNTIF(C4:C7474,"3")</f>
        <v>202</v>
      </c>
      <c r="J2" s="10" t="s">
        <v>26</v>
      </c>
      <c r="K2" s="12">
        <f>COUNTIF(C4:C7474,"4")</f>
        <v>60</v>
      </c>
      <c r="L2" s="10" t="s">
        <v>27</v>
      </c>
      <c r="M2" s="12">
        <f>COUNTIF(C4:C7474,"5")</f>
        <v>54</v>
      </c>
      <c r="N2" s="11" t="s">
        <v>1294</v>
      </c>
      <c r="O2" s="12">
        <f>COUNTIF(C4:C7474,"6")</f>
        <v>0</v>
      </c>
      <c r="P2" s="10" t="s">
        <v>28</v>
      </c>
      <c r="Q2" s="12">
        <f>G2+I2+K2+M2+O2</f>
        <v>641</v>
      </c>
    </row>
    <row r="3">
      <c r="A3" s="1" t="s">
        <v>29</v>
      </c>
      <c r="B3" s="1" t="s">
        <v>30</v>
      </c>
      <c r="C3" s="1" t="s">
        <v>31</v>
      </c>
      <c r="D3" s="1" t="s">
        <v>1295</v>
      </c>
      <c r="E3" s="1" t="s">
        <v>1296</v>
      </c>
      <c r="F3" s="1" t="s">
        <v>1297</v>
      </c>
      <c r="G3" s="1" t="s">
        <v>1298</v>
      </c>
      <c r="H3" s="1" t="s">
        <v>1299</v>
      </c>
      <c r="I3" s="1" t="s">
        <v>1300</v>
      </c>
      <c r="J3" s="11" t="s">
        <v>1301</v>
      </c>
      <c r="K3" s="12">
        <f>COUNTIF(D4:J7474,"1")</f>
        <v>257</v>
      </c>
      <c r="L3" s="11" t="s">
        <v>1302</v>
      </c>
      <c r="M3" s="12">
        <f>COUNTIF(D4:J7474,"2")</f>
        <v>362</v>
      </c>
      <c r="N3" s="11" t="s">
        <v>1303</v>
      </c>
      <c r="O3" s="12">
        <f>COUNTIF(D4:J7474,"9")</f>
        <v>566</v>
      </c>
      <c r="P3" s="11" t="s">
        <v>1304</v>
      </c>
      <c r="Q3" s="12">
        <f>COUNTIF(D4:J7474,"10")</f>
        <v>286</v>
      </c>
      <c r="R3" s="11" t="s">
        <v>1305</v>
      </c>
      <c r="S3" s="12">
        <f>COUNTIF(D4:J7474,"13")</f>
        <v>606</v>
      </c>
      <c r="T3" s="11" t="s">
        <v>1306</v>
      </c>
      <c r="U3" s="12">
        <f>COUNTIF(D4:J7474,"15")</f>
        <v>261</v>
      </c>
    </row>
    <row r="4">
      <c r="A4" s="4" t="s">
        <v>4535</v>
      </c>
      <c r="B4" s="27" t="s">
        <v>4536</v>
      </c>
      <c r="L4" s="4" t="s">
        <v>44</v>
      </c>
    </row>
    <row r="5">
      <c r="A5" s="4" t="s">
        <v>4537</v>
      </c>
      <c r="B5" s="27" t="s">
        <v>4536</v>
      </c>
      <c r="L5" s="14" t="str">
        <f t="array" ref="L5:Q30">UNIQUE(D4:I4979)</f>
        <v/>
      </c>
      <c r="M5" s="3"/>
      <c r="N5" s="3"/>
      <c r="O5" s="3"/>
      <c r="P5" s="3"/>
      <c r="Q5" s="3"/>
    </row>
    <row r="6">
      <c r="A6" s="4" t="s">
        <v>4538</v>
      </c>
      <c r="B6" s="27" t="s">
        <v>4536</v>
      </c>
      <c r="L6" s="3"/>
      <c r="M6" s="3"/>
      <c r="N6" s="3"/>
      <c r="O6" s="3">
        <v>10.0</v>
      </c>
      <c r="P6" s="3"/>
      <c r="Q6" s="3"/>
      <c r="R6" s="16">
        <f t="array" ref="R6">COUNTIF($D$4:$D$3228&amp;"|"&amp;$E$4:$E$3228&amp;"|"&amp;$F$4:$F$3228&amp;"|"&amp;$G$4:$G$3228&amp;"|"&amp;$H$4:$H$3228&amp;"|"&amp;$I$4:$I$3228,$L6&amp;"|"&amp;$M6&amp;"|"&amp;$N6&amp;"|"&amp;$O6&amp;"|"&amp;$P6&amp;"|"&amp;$Q6)</f>
        <v>225</v>
      </c>
      <c r="V6" s="4" t="s">
        <v>1295</v>
      </c>
      <c r="W6" s="4" t="s">
        <v>1296</v>
      </c>
      <c r="X6" s="4" t="s">
        <v>1297</v>
      </c>
      <c r="Y6" s="4" t="s">
        <v>1298</v>
      </c>
      <c r="Z6" s="4" t="s">
        <v>1299</v>
      </c>
      <c r="AA6" s="4" t="s">
        <v>1300</v>
      </c>
      <c r="AB6" s="4"/>
      <c r="AC6" s="4"/>
    </row>
    <row r="7">
      <c r="A7" s="4" t="s">
        <v>4539</v>
      </c>
      <c r="B7" s="27" t="s">
        <v>4536</v>
      </c>
      <c r="L7" s="3"/>
      <c r="M7" s="3"/>
      <c r="N7" s="3">
        <v>9.0</v>
      </c>
      <c r="O7" s="3">
        <v>10.0</v>
      </c>
      <c r="P7" s="3"/>
      <c r="Q7" s="3"/>
      <c r="R7" s="16">
        <f t="array" ref="R7">COUNTIF($D$4:$D$3228&amp;"|"&amp;$E$4:$E$3228&amp;"|"&amp;$F$4:$F$3228&amp;"|"&amp;$G$4:$G$3228&amp;"|"&amp;$H$4:$H$3228&amp;"|"&amp;$I$4:$I$3228,$L7&amp;"|"&amp;$M7&amp;"|"&amp;$N7&amp;"|"&amp;$O7&amp;"|"&amp;$P7&amp;"|"&amp;$Q7)</f>
        <v>34</v>
      </c>
      <c r="U7" s="4" t="s">
        <v>1295</v>
      </c>
      <c r="V7" s="17"/>
      <c r="W7" s="3">
        <f t="array" ref="W7">SUM((MMULT(--(L6:Q26=1),TRANSPOSE(COLUMN(L6:Q6)^0))&gt;0)*(MMULT(--(L6:Q26=2),TRANSPOSE(COLUMN(L6:Q6)^0))&gt;0)*R6:R26)</f>
        <v>62</v>
      </c>
      <c r="X7" s="3">
        <f t="array" ref="X7">SUM((MMULT(--(L6:Q26=1),TRANSPOSE(COLUMN(L6:Q6)^0))&gt;0)*(MMULT(--(L6:Q26=9),TRANSPOSE(COLUMN(L6:Q6)^0))&gt;0)*R6:R26)</f>
        <v>103</v>
      </c>
      <c r="Y7" s="3">
        <f t="array" ref="Y7">SUM((MMULT(--(L6:Q26=1),TRANSPOSE(COLUMN(L6:Q6)^0))&gt;0)*(MMULT(--(L6:Q26=10),TRANSPOSE(COLUMN(L6:Q6)^0))&gt;0)*R6:R26)</f>
        <v>0</v>
      </c>
      <c r="Z7" s="3">
        <f t="array" ref="Z7">SUM((MMULT(--(L6:Q26=1),TRANSPOSE(COLUMN(L6:Q6)^0))&gt;0)*(MMULT(--(L6:Q26=13),TRANSPOSE(COLUMN(L6:Q6)^0))&gt;0)*R6:R26)</f>
        <v>139</v>
      </c>
      <c r="AA7" s="3">
        <f t="array" ref="AA7">SUM((MMULT(--(L6:Q26=1),TRANSPOSE(COLUMN(L6:Q6)^0))&gt;0)*(MMULT(--(L6:Q26=15),TRANSPOSE(COLUMN(L6:Q6)^0))&gt;0)*R6:R26)</f>
        <v>149</v>
      </c>
    </row>
    <row r="8">
      <c r="A8" s="4" t="s">
        <v>4540</v>
      </c>
      <c r="B8" s="27" t="s">
        <v>4536</v>
      </c>
      <c r="L8" s="3"/>
      <c r="M8" s="3"/>
      <c r="N8" s="3">
        <v>9.0</v>
      </c>
      <c r="O8" s="3"/>
      <c r="P8" s="3"/>
      <c r="Q8" s="3"/>
      <c r="R8" s="16">
        <f t="array" ref="R8">COUNTIF($D$4:$D$3228&amp;"|"&amp;$E$4:$E$3228&amp;"|"&amp;$F$4:$F$3228&amp;"|"&amp;$G$4:$G$3228&amp;"|"&amp;$H$4:$H$3228&amp;"|"&amp;$I$4:$I$3228,$L8&amp;"|"&amp;$M8&amp;"|"&amp;$N8&amp;"|"&amp;$O8&amp;"|"&amp;$P8&amp;"|"&amp;$Q8)</f>
        <v>109</v>
      </c>
      <c r="U8" s="4" t="s">
        <v>1296</v>
      </c>
      <c r="V8" s="17"/>
      <c r="W8" s="17"/>
      <c r="X8" s="3">
        <f t="array" ref="X8">SUM((MMULT(--(L6:Q26=2),TRANSPOSE(COLUMN(L6:Q6)^0))&gt;0)*(MMULT(--(L6:Q26=9),TRANSPOSE(COLUMN(L6:Q6)^0))&gt;0)*R6:R26)</f>
        <v>175</v>
      </c>
      <c r="Y8" s="3">
        <f t="array" ref="Y8">SUM((MMULT(--(L6:Q26=2),TRANSPOSE(COLUMN(L6:Q6)^0))&gt;0)*(MMULT(--(L6:Q26=10),TRANSPOSE(COLUMN(L6:Q6)^0))&gt;0)*R6:R26)</f>
        <v>0</v>
      </c>
      <c r="Z8" s="3">
        <f t="array" ref="Z8">SUM((MMULT(--(L6:Q26=2),TRANSPOSE(COLUMN(L6:Q6)^0))&gt;0)*(MMULT(--(L6:Q26=13),TRANSPOSE(COLUMN(L6:Q6)^0))&gt;0)*R6:R26)</f>
        <v>283</v>
      </c>
      <c r="AA8" s="3">
        <f t="array" ref="AA8">SUM((MMULT(--(L6:Q26=2),TRANSPOSE(COLUMN(L6:Q6)^0))&gt;0)*(MMULT(--(L6:Q26=15),TRANSPOSE(COLUMN(L6:Q6)^0))&gt;0)*R6:R26)</f>
        <v>54</v>
      </c>
    </row>
    <row r="9">
      <c r="A9" s="4" t="s">
        <v>4541</v>
      </c>
      <c r="B9" s="27" t="s">
        <v>4536</v>
      </c>
      <c r="L9" s="3"/>
      <c r="M9" s="3"/>
      <c r="N9" s="3">
        <v>9.0</v>
      </c>
      <c r="O9" s="3"/>
      <c r="P9" s="3"/>
      <c r="Q9" s="3">
        <v>15.0</v>
      </c>
      <c r="R9" s="16">
        <f t="array" ref="R9">COUNTIF($D$4:$D$3228&amp;"|"&amp;$E$4:$E$3228&amp;"|"&amp;$F$4:$F$3228&amp;"|"&amp;$G$4:$G$3228&amp;"|"&amp;$H$4:$H$3228&amp;"|"&amp;$I$4:$I$3228,$L9&amp;"|"&amp;$M9&amp;"|"&amp;$N9&amp;"|"&amp;$O9&amp;"|"&amp;$P9&amp;"|"&amp;$Q9)</f>
        <v>16</v>
      </c>
      <c r="U9" s="4" t="s">
        <v>1297</v>
      </c>
      <c r="V9" s="17"/>
      <c r="W9" s="17"/>
      <c r="X9" s="17"/>
      <c r="Y9" s="3">
        <f t="array" ref="Y9">SUM((MMULT(--(L6:Q26=9),TRANSPOSE(COLUMN(L6:Q6)^0))&gt;0)*(MMULT(--(L6:Q26=10),TRANSPOSE(COLUMN(L6:Q6)^0))&gt;0)*R6:R26)</f>
        <v>61</v>
      </c>
      <c r="Z9" s="3">
        <f t="array" ref="Z9">SUM((MMULT(--(L6:Q26=9),TRANSPOSE(COLUMN(L6:Q6)^0))&gt;0)*(MMULT(--(L6:Q26=13),TRANSPOSE(COLUMN(L6:Q6)^0))&gt;0)*R6:R26)</f>
        <v>354</v>
      </c>
      <c r="AA9" s="3">
        <f t="array" ref="AA9">SUM((MMULT(--(L6:Q26=9),TRANSPOSE(COLUMN(L6:Q6)^0))&gt;0)*(MMULT(--(L6:Q26=15),TRANSPOSE(COLUMN(L6:Q6)^0))&gt;0)*R6:R26)</f>
        <v>176</v>
      </c>
    </row>
    <row r="10">
      <c r="A10" s="4" t="s">
        <v>4542</v>
      </c>
      <c r="B10" s="27" t="s">
        <v>4536</v>
      </c>
      <c r="L10" s="3"/>
      <c r="M10" s="3"/>
      <c r="N10" s="3">
        <v>9.0</v>
      </c>
      <c r="O10" s="3">
        <v>10.0</v>
      </c>
      <c r="P10" s="3"/>
      <c r="Q10" s="3">
        <v>15.0</v>
      </c>
      <c r="R10" s="16">
        <f t="array" ref="R10">COUNTIF($D$4:$D$3228&amp;"|"&amp;$E$4:$E$3228&amp;"|"&amp;$F$4:$F$3228&amp;"|"&amp;$G$4:$G$3228&amp;"|"&amp;$H$4:$H$3228&amp;"|"&amp;$I$4:$I$3228,$L10&amp;"|"&amp;$M10&amp;"|"&amp;$N10&amp;"|"&amp;$O10&amp;"|"&amp;$P10&amp;"|"&amp;$Q10)</f>
        <v>27</v>
      </c>
      <c r="U10" s="4" t="s">
        <v>1298</v>
      </c>
      <c r="V10" s="17"/>
      <c r="W10" s="17"/>
      <c r="X10" s="17"/>
      <c r="Y10" s="17"/>
      <c r="Z10" s="3">
        <f t="array" ref="Z10">SUM((MMULT(--(L6:Q26=10),TRANSPOSE(COLUMN(L6:Q6)^0))&gt;0)*(MMULT(--(L6:Q26=13),TRANSPOSE(COLUMN(L6:Q6)^0))&gt;0)*R6:R26)</f>
        <v>0</v>
      </c>
      <c r="AA10" s="3">
        <f t="array" ref="AA10">SUM((MMULT(--(L6:Q26=10),TRANSPOSE(COLUMN(L6:Q6)^0))&gt;0)*(MMULT(--(L6:Q26=15),TRANSPOSE(COLUMN(L6:Q6)^0))&gt;0)*R6:R26)</f>
        <v>27</v>
      </c>
    </row>
    <row r="11">
      <c r="A11" s="4" t="s">
        <v>4543</v>
      </c>
      <c r="B11" s="27" t="s">
        <v>4536</v>
      </c>
      <c r="L11" s="3"/>
      <c r="M11" s="3"/>
      <c r="N11" s="3">
        <v>9.0</v>
      </c>
      <c r="O11" s="3"/>
      <c r="P11" s="3">
        <v>13.0</v>
      </c>
      <c r="Q11" s="3"/>
      <c r="R11" s="16">
        <f t="array" ref="R11">COUNTIF($D$4:$D$3228&amp;"|"&amp;$E$4:$E$3228&amp;"|"&amp;$F$4:$F$3228&amp;"|"&amp;$G$4:$G$3228&amp;"|"&amp;$H$4:$H$3228&amp;"|"&amp;$I$4:$I$3228,$L11&amp;"|"&amp;$M11&amp;"|"&amp;$N11&amp;"|"&amp;$O11&amp;"|"&amp;$P11&amp;"|"&amp;$Q11)</f>
        <v>100</v>
      </c>
      <c r="U11" s="4" t="s">
        <v>1299</v>
      </c>
      <c r="V11" s="17"/>
      <c r="W11" s="17"/>
      <c r="X11" s="17"/>
      <c r="Y11" s="17"/>
      <c r="Z11" s="17"/>
      <c r="AA11" s="3">
        <f t="array" ref="AA11">SUM((MMULT(--(L6:Q26=13),TRANSPOSE(COLUMN(L6:Q6)^0))&gt;0)*(MMULT(--(L6:Q26=15),TRANSPOSE(COLUMN(L6:Q6)^0))&gt;0)*R6:R26)</f>
        <v>152</v>
      </c>
    </row>
    <row r="12">
      <c r="A12" s="4" t="s">
        <v>4544</v>
      </c>
      <c r="B12" s="27" t="s">
        <v>4536</v>
      </c>
      <c r="L12" s="3"/>
      <c r="M12" s="3"/>
      <c r="N12" s="3"/>
      <c r="O12" s="3"/>
      <c r="P12" s="3">
        <v>13.0</v>
      </c>
      <c r="Q12" s="3">
        <v>15.0</v>
      </c>
      <c r="R12" s="16">
        <f t="array" ref="R12">COUNTIF($D$4:$D$3228&amp;"|"&amp;$E$4:$E$3228&amp;"|"&amp;$F$4:$F$3228&amp;"|"&amp;$G$4:$G$3228&amp;"|"&amp;$H$4:$H$3228&amp;"|"&amp;$I$4:$I$3228,$L12&amp;"|"&amp;$M12&amp;"|"&amp;$N12&amp;"|"&amp;$O12&amp;"|"&amp;$P12&amp;"|"&amp;$Q12)</f>
        <v>1</v>
      </c>
      <c r="U12" s="4" t="s">
        <v>1300</v>
      </c>
      <c r="V12" s="17"/>
      <c r="W12" s="17"/>
      <c r="X12" s="17"/>
      <c r="Y12" s="17"/>
      <c r="Z12" s="17"/>
      <c r="AA12" s="17"/>
    </row>
    <row r="13">
      <c r="A13" s="4" t="s">
        <v>4545</v>
      </c>
      <c r="B13" s="27" t="s">
        <v>4536</v>
      </c>
      <c r="L13" s="3"/>
      <c r="M13" s="3"/>
      <c r="N13" s="3">
        <v>9.0</v>
      </c>
      <c r="O13" s="3"/>
      <c r="P13" s="3">
        <v>13.0</v>
      </c>
      <c r="Q13" s="3">
        <v>15.0</v>
      </c>
      <c r="R13" s="16">
        <f t="array" ref="R13">COUNTIF($D$4:$D$3228&amp;"|"&amp;$E$4:$E$3228&amp;"|"&amp;$F$4:$F$3228&amp;"|"&amp;$G$4:$G$3228&amp;"|"&amp;$H$4:$H$3228&amp;"|"&amp;$I$4:$I$3228,$L13&amp;"|"&amp;$M13&amp;"|"&amp;$N13&amp;"|"&amp;$O13&amp;"|"&amp;$P13&amp;"|"&amp;$Q13)</f>
        <v>39</v>
      </c>
    </row>
    <row r="14">
      <c r="A14" s="4" t="s">
        <v>4546</v>
      </c>
      <c r="B14" s="27" t="s">
        <v>4536</v>
      </c>
      <c r="L14" s="3">
        <v>1.0</v>
      </c>
      <c r="M14" s="3"/>
      <c r="N14" s="3">
        <v>9.0</v>
      </c>
      <c r="O14" s="3"/>
      <c r="P14" s="3">
        <v>13.0</v>
      </c>
      <c r="Q14" s="3">
        <v>15.0</v>
      </c>
      <c r="R14" s="16">
        <f t="array" ref="R14">COUNTIF($D$4:$D$3228&amp;"|"&amp;$E$4:$E$3228&amp;"|"&amp;$F$4:$F$3228&amp;"|"&amp;$G$4:$G$3228&amp;"|"&amp;$H$4:$H$3228&amp;"|"&amp;$I$4:$I$3228,$L14&amp;"|"&amp;$M14&amp;"|"&amp;$N14&amp;"|"&amp;$O14&amp;"|"&amp;$P14&amp;"|"&amp;$Q14)</f>
        <v>40</v>
      </c>
    </row>
    <row r="15">
      <c r="A15" s="4" t="s">
        <v>4547</v>
      </c>
      <c r="B15" s="27" t="s">
        <v>4536</v>
      </c>
      <c r="L15" s="3">
        <v>1.0</v>
      </c>
      <c r="M15" s="3">
        <v>2.0</v>
      </c>
      <c r="N15" s="3">
        <v>9.0</v>
      </c>
      <c r="O15" s="3"/>
      <c r="P15" s="3">
        <v>13.0</v>
      </c>
      <c r="Q15" s="3">
        <v>15.0</v>
      </c>
      <c r="R15" s="16">
        <f t="array" ref="R15">COUNTIF($D$4:$D$3228&amp;"|"&amp;$E$4:$E$3228&amp;"|"&amp;$F$4:$F$3228&amp;"|"&amp;$G$4:$G$3228&amp;"|"&amp;$H$4:$H$3228&amp;"|"&amp;$I$4:$I$3228,$L15&amp;"|"&amp;$M15&amp;"|"&amp;$N15&amp;"|"&amp;$O15&amp;"|"&amp;$P15&amp;"|"&amp;$Q15)</f>
        <v>54</v>
      </c>
    </row>
    <row r="16">
      <c r="A16" s="4" t="s">
        <v>4548</v>
      </c>
      <c r="B16" s="27" t="s">
        <v>4536</v>
      </c>
      <c r="L16" s="3"/>
      <c r="M16" s="3"/>
      <c r="N16" s="3"/>
      <c r="O16" s="3"/>
      <c r="P16" s="3">
        <v>13.0</v>
      </c>
      <c r="Q16" s="3"/>
      <c r="R16" s="16">
        <f t="array" ref="R16">COUNTIF($D$4:$D$3228&amp;"|"&amp;$E$4:$E$3228&amp;"|"&amp;$F$4:$F$3228&amp;"|"&amp;$G$4:$G$3228&amp;"|"&amp;$H$4:$H$3228&amp;"|"&amp;$I$4:$I$3228,$L16&amp;"|"&amp;$M16&amp;"|"&amp;$N16&amp;"|"&amp;$O16&amp;"|"&amp;$P16&amp;"|"&amp;$Q16)</f>
        <v>93</v>
      </c>
    </row>
    <row r="17">
      <c r="A17" s="4" t="s">
        <v>4549</v>
      </c>
      <c r="B17" s="27" t="s">
        <v>4536</v>
      </c>
      <c r="L17" s="3"/>
      <c r="M17" s="3">
        <v>2.0</v>
      </c>
      <c r="N17" s="3"/>
      <c r="O17" s="3"/>
      <c r="P17" s="3">
        <v>13.0</v>
      </c>
      <c r="Q17" s="3"/>
      <c r="R17" s="16">
        <f t="array" ref="R17">COUNTIF($D$4:$D$3228&amp;"|"&amp;$E$4:$E$3228&amp;"|"&amp;$F$4:$F$3228&amp;"|"&amp;$G$4:$G$3228&amp;"|"&amp;$H$4:$H$3228&amp;"|"&amp;$I$4:$I$3228,$L17&amp;"|"&amp;$M17&amp;"|"&amp;$N17&amp;"|"&amp;$O17&amp;"|"&amp;$P17&amp;"|"&amp;$Q17)</f>
        <v>108</v>
      </c>
    </row>
    <row r="18">
      <c r="A18" s="4" t="s">
        <v>4550</v>
      </c>
      <c r="B18" s="27" t="s">
        <v>4536</v>
      </c>
      <c r="L18" s="3"/>
      <c r="M18" s="3">
        <v>2.0</v>
      </c>
      <c r="N18" s="3">
        <v>9.0</v>
      </c>
      <c r="O18" s="3"/>
      <c r="P18" s="3">
        <v>13.0</v>
      </c>
      <c r="Q18" s="3"/>
      <c r="R18" s="16">
        <f t="array" ref="R18">COUNTIF($D$4:$D$3228&amp;"|"&amp;$E$4:$E$3228&amp;"|"&amp;$F$4:$F$3228&amp;"|"&amp;$G$4:$G$3228&amp;"|"&amp;$H$4:$H$3228&amp;"|"&amp;$I$4:$I$3228,$L18&amp;"|"&amp;$M18&amp;"|"&amp;$N18&amp;"|"&amp;$O18&amp;"|"&amp;$P18&amp;"|"&amp;$Q18)</f>
        <v>113</v>
      </c>
    </row>
    <row r="19">
      <c r="A19" s="4" t="s">
        <v>4551</v>
      </c>
      <c r="B19" s="27" t="s">
        <v>4536</v>
      </c>
      <c r="L19" s="3">
        <v>1.0</v>
      </c>
      <c r="M19" s="3"/>
      <c r="N19" s="3"/>
      <c r="O19" s="3"/>
      <c r="P19" s="3"/>
      <c r="Q19" s="3"/>
      <c r="R19" s="16">
        <f t="array" ref="R19">COUNTIF($D$4:$D$3228&amp;"|"&amp;$E$4:$E$3228&amp;"|"&amp;$F$4:$F$3228&amp;"|"&amp;$G$4:$G$3228&amp;"|"&amp;$H$4:$H$3228&amp;"|"&amp;$I$4:$I$3228,$L19&amp;"|"&amp;$M19&amp;"|"&amp;$N19&amp;"|"&amp;$O19&amp;"|"&amp;$P19&amp;"|"&amp;$Q19)</f>
        <v>75</v>
      </c>
    </row>
    <row r="20">
      <c r="A20" s="4" t="s">
        <v>4552</v>
      </c>
      <c r="B20" s="27" t="s">
        <v>4536</v>
      </c>
      <c r="L20" s="3">
        <v>1.0</v>
      </c>
      <c r="M20" s="3"/>
      <c r="N20" s="3"/>
      <c r="O20" s="3"/>
      <c r="P20" s="3"/>
      <c r="Q20" s="3">
        <v>15.0</v>
      </c>
      <c r="R20" s="16">
        <f t="array" ref="R20">COUNTIF($D$4:$D$3228&amp;"|"&amp;$E$4:$E$3228&amp;"|"&amp;$F$4:$F$3228&amp;"|"&amp;$G$4:$G$3228&amp;"|"&amp;$H$4:$H$3228&amp;"|"&amp;$I$4:$I$3228,$L20&amp;"|"&amp;$M20&amp;"|"&amp;$N20&amp;"|"&amp;$O20&amp;"|"&amp;$P20&amp;"|"&amp;$Q20)</f>
        <v>37</v>
      </c>
    </row>
    <row r="21">
      <c r="A21" s="4" t="s">
        <v>4553</v>
      </c>
      <c r="B21" s="27" t="s">
        <v>4536</v>
      </c>
      <c r="L21" s="3">
        <v>1.0</v>
      </c>
      <c r="M21" s="3"/>
      <c r="N21" s="3"/>
      <c r="O21" s="3"/>
      <c r="P21" s="3">
        <v>13.0</v>
      </c>
      <c r="Q21" s="3">
        <v>15.0</v>
      </c>
      <c r="R21" s="16">
        <f t="array" ref="R21">COUNTIF($D$4:$D$3228&amp;"|"&amp;$E$4:$E$3228&amp;"|"&amp;$F$4:$F$3228&amp;"|"&amp;$G$4:$G$3228&amp;"|"&amp;$H$4:$H$3228&amp;"|"&amp;$I$4:$I$3228,$L21&amp;"|"&amp;$M21&amp;"|"&amp;$N21&amp;"|"&amp;$O21&amp;"|"&amp;$P21&amp;"|"&amp;$Q21)</f>
        <v>18</v>
      </c>
    </row>
    <row r="22">
      <c r="A22" s="4" t="s">
        <v>4554</v>
      </c>
      <c r="B22" s="27" t="s">
        <v>4536</v>
      </c>
      <c r="L22" s="3">
        <v>1.0</v>
      </c>
      <c r="M22" s="3"/>
      <c r="N22" s="3"/>
      <c r="O22" s="3"/>
      <c r="P22" s="3">
        <v>13.0</v>
      </c>
      <c r="Q22" s="3"/>
      <c r="R22" s="16">
        <f t="array" ref="R22">COUNTIF($D$4:$D$3228&amp;"|"&amp;$E$4:$E$3228&amp;"|"&amp;$F$4:$F$3228&amp;"|"&amp;$G$4:$G$3228&amp;"|"&amp;$H$4:$H$3228&amp;"|"&amp;$I$4:$I$3228,$L22&amp;"|"&amp;$M22&amp;"|"&amp;$N22&amp;"|"&amp;$O22&amp;"|"&amp;$P22&amp;"|"&amp;$Q22)</f>
        <v>19</v>
      </c>
    </row>
    <row r="23">
      <c r="A23" s="4" t="s">
        <v>4555</v>
      </c>
      <c r="B23" s="27" t="s">
        <v>4536</v>
      </c>
      <c r="L23" s="3">
        <v>1.0</v>
      </c>
      <c r="M23" s="3"/>
      <c r="N23" s="3">
        <v>9.0</v>
      </c>
      <c r="O23" s="3"/>
      <c r="P23" s="3"/>
      <c r="Q23" s="3"/>
      <c r="R23" s="16">
        <f t="array" ref="R23">COUNTIF($D$4:$D$3228&amp;"|"&amp;$E$4:$E$3228&amp;"|"&amp;$F$4:$F$3228&amp;"|"&amp;$G$4:$G$3228&amp;"|"&amp;$H$4:$H$3228&amp;"|"&amp;$I$4:$I$3228,$L23&amp;"|"&amp;$M23&amp;"|"&amp;$N23&amp;"|"&amp;$O23&amp;"|"&amp;$P23&amp;"|"&amp;$Q23)</f>
        <v>1</v>
      </c>
    </row>
    <row r="24">
      <c r="A24" s="4" t="s">
        <v>4556</v>
      </c>
      <c r="B24" s="13" t="s">
        <v>43</v>
      </c>
      <c r="D24" s="3"/>
      <c r="E24" s="3"/>
      <c r="F24" s="3"/>
      <c r="G24" s="3"/>
      <c r="H24" s="3"/>
      <c r="I24" s="3"/>
      <c r="L24" s="3"/>
      <c r="M24" s="3"/>
      <c r="N24" s="3"/>
      <c r="O24" s="3"/>
      <c r="P24" s="3"/>
      <c r="Q24" s="3">
        <v>15.0</v>
      </c>
      <c r="R24" s="16">
        <f t="array" ref="R24">COUNTIF($D$4:$D$3228&amp;"|"&amp;$E$4:$E$3228&amp;"|"&amp;$F$4:$F$3228&amp;"|"&amp;$G$4:$G$3228&amp;"|"&amp;$H$4:$H$3228&amp;"|"&amp;$I$4:$I$3228,$L24&amp;"|"&amp;$M24&amp;"|"&amp;$N24&amp;"|"&amp;$O24&amp;"|"&amp;$P24&amp;"|"&amp;$Q24)</f>
        <v>13</v>
      </c>
    </row>
    <row r="25">
      <c r="A25" s="4" t="s">
        <v>4557</v>
      </c>
      <c r="B25" s="13" t="s">
        <v>43</v>
      </c>
      <c r="D25" s="3"/>
      <c r="E25" s="3"/>
      <c r="F25" s="3"/>
      <c r="G25" s="3"/>
      <c r="H25" s="3"/>
      <c r="I25" s="3"/>
      <c r="L25" s="3"/>
      <c r="M25" s="3">
        <v>2.0</v>
      </c>
      <c r="N25" s="3"/>
      <c r="O25" s="3"/>
      <c r="P25" s="3"/>
      <c r="Q25" s="3"/>
      <c r="R25" s="16">
        <f t="array" ref="R25">COUNTIF($D$4:$D$3228&amp;"|"&amp;$E$4:$E$3228&amp;"|"&amp;$F$4:$F$3228&amp;"|"&amp;$G$4:$G$3228&amp;"|"&amp;$H$4:$H$3228&amp;"|"&amp;$I$4:$I$3228,$L25&amp;"|"&amp;$M25&amp;"|"&amp;$N25&amp;"|"&amp;$O25&amp;"|"&amp;$P25&amp;"|"&amp;$Q25)</f>
        <v>57</v>
      </c>
    </row>
    <row r="26">
      <c r="A26" s="4" t="s">
        <v>4558</v>
      </c>
      <c r="B26" s="13" t="s">
        <v>43</v>
      </c>
      <c r="D26" s="3"/>
      <c r="E26" s="3"/>
      <c r="F26" s="3"/>
      <c r="G26" s="3"/>
      <c r="H26" s="3"/>
      <c r="I26" s="3"/>
      <c r="L26" s="3">
        <v>1.0</v>
      </c>
      <c r="M26" s="3">
        <v>2.0</v>
      </c>
      <c r="N26" s="3">
        <v>9.0</v>
      </c>
      <c r="O26" s="3"/>
      <c r="P26" s="3">
        <v>13.0</v>
      </c>
      <c r="Q26" s="3"/>
      <c r="R26" s="16">
        <f t="array" ref="R26">COUNTIF($D$4:$D$3228&amp;"|"&amp;$E$4:$E$3228&amp;"|"&amp;$F$4:$F$3228&amp;"|"&amp;$G$4:$G$3228&amp;"|"&amp;$H$4:$H$3228&amp;"|"&amp;$I$4:$I$3228,$L26&amp;"|"&amp;$M26&amp;"|"&amp;$N26&amp;"|"&amp;$O26&amp;"|"&amp;$P26&amp;"|"&amp;$Q26)</f>
        <v>8</v>
      </c>
    </row>
    <row r="27">
      <c r="A27" s="4" t="s">
        <v>4559</v>
      </c>
      <c r="B27" s="13" t="s">
        <v>43</v>
      </c>
      <c r="D27" s="3"/>
      <c r="E27" s="3"/>
      <c r="F27" s="3"/>
      <c r="G27" s="3"/>
      <c r="H27" s="3"/>
      <c r="I27" s="3"/>
      <c r="L27" s="3"/>
      <c r="M27" s="3">
        <v>2.0</v>
      </c>
      <c r="N27" s="3">
        <v>9.0</v>
      </c>
      <c r="O27" s="3"/>
      <c r="P27" s="3"/>
      <c r="Q27" s="3"/>
      <c r="R27" s="16">
        <f t="array" ref="R27">COUNTIF($D$4:$D$3228&amp;"|"&amp;$E$4:$E$3228&amp;"|"&amp;$F$4:$F$3228&amp;"|"&amp;$G$4:$G$3228&amp;"|"&amp;$H$4:$H$3228&amp;"|"&amp;$I$4:$I$3228,$L27&amp;"|"&amp;$M27&amp;"|"&amp;$N27&amp;"|"&amp;$O27&amp;"|"&amp;$P27&amp;"|"&amp;$Q27)</f>
        <v>9</v>
      </c>
    </row>
    <row r="28">
      <c r="A28" s="4" t="s">
        <v>4560</v>
      </c>
      <c r="B28" s="13" t="s">
        <v>43</v>
      </c>
      <c r="D28" s="3"/>
      <c r="E28" s="3"/>
      <c r="F28" s="3"/>
      <c r="G28" s="3"/>
      <c r="H28" s="3"/>
      <c r="I28" s="3"/>
      <c r="L28" s="3"/>
      <c r="M28" s="3">
        <v>2.0</v>
      </c>
      <c r="N28" s="3">
        <v>9.0</v>
      </c>
      <c r="O28" s="3"/>
      <c r="P28" s="3">
        <v>13.0</v>
      </c>
      <c r="Q28" s="3">
        <v>15.0</v>
      </c>
      <c r="R28" s="16">
        <f t="array" ref="R28">COUNTIF($D$4:$D$3228&amp;"|"&amp;$E$4:$E$3228&amp;"|"&amp;$F$4:$F$3228&amp;"|"&amp;$G$4:$G$3228&amp;"|"&amp;$H$4:$H$3228&amp;"|"&amp;$I$4:$I$3228,$L28&amp;"|"&amp;$M28&amp;"|"&amp;$N28&amp;"|"&amp;$O28&amp;"|"&amp;$P28&amp;"|"&amp;$Q28)</f>
        <v>12</v>
      </c>
    </row>
    <row r="29">
      <c r="A29" s="4" t="s">
        <v>4561</v>
      </c>
      <c r="B29" s="13" t="s">
        <v>43</v>
      </c>
      <c r="D29" s="3"/>
      <c r="E29" s="3"/>
      <c r="F29" s="3"/>
      <c r="G29" s="3"/>
      <c r="H29" s="3"/>
      <c r="I29" s="3"/>
      <c r="L29" s="3">
        <v>1.0</v>
      </c>
      <c r="M29" s="3">
        <v>2.0</v>
      </c>
      <c r="N29" s="3"/>
      <c r="O29" s="3"/>
      <c r="P29" s="3">
        <v>13.0</v>
      </c>
      <c r="Q29" s="3"/>
      <c r="R29" s="16">
        <f t="array" ref="R29">COUNTIF($D$4:$D$3228&amp;"|"&amp;$E$4:$E$3228&amp;"|"&amp;$F$4:$F$3228&amp;"|"&amp;$G$4:$G$3228&amp;"|"&amp;$H$4:$H$3228&amp;"|"&amp;$I$4:$I$3228,$L29&amp;"|"&amp;$M29&amp;"|"&amp;$N29&amp;"|"&amp;$O29&amp;"|"&amp;$P29&amp;"|"&amp;$Q29)</f>
        <v>1</v>
      </c>
    </row>
    <row r="30">
      <c r="A30" s="4" t="s">
        <v>4562</v>
      </c>
      <c r="B30" s="13" t="s">
        <v>43</v>
      </c>
      <c r="D30" s="3"/>
      <c r="E30" s="3"/>
      <c r="F30" s="3"/>
      <c r="G30" s="3"/>
      <c r="H30" s="3"/>
      <c r="I30" s="3"/>
      <c r="L30" s="3">
        <v>1.0</v>
      </c>
      <c r="M30" s="3"/>
      <c r="N30" s="3">
        <v>9.0</v>
      </c>
      <c r="O30" s="3"/>
      <c r="P30" s="3"/>
      <c r="Q30" s="3">
        <v>15.0</v>
      </c>
      <c r="R30" s="16">
        <f t="array" ref="R30">COUNTIF($D$4:$D$3228&amp;"|"&amp;$E$4:$E$3228&amp;"|"&amp;$F$4:$F$3228&amp;"|"&amp;$G$4:$G$3228&amp;"|"&amp;$H$4:$H$3228&amp;"|"&amp;$I$4:$I$3228,$L30&amp;"|"&amp;$M30&amp;"|"&amp;$N30&amp;"|"&amp;$O30&amp;"|"&amp;$P30&amp;"|"&amp;$Q30)</f>
        <v>4</v>
      </c>
    </row>
    <row r="31">
      <c r="A31" s="4" t="s">
        <v>4563</v>
      </c>
      <c r="B31" s="13" t="s">
        <v>43</v>
      </c>
      <c r="D31" s="3"/>
      <c r="E31" s="3"/>
      <c r="F31" s="3"/>
      <c r="G31" s="3"/>
      <c r="H31" s="3"/>
      <c r="I31" s="3"/>
      <c r="R31" s="18">
        <f>SUm(R6:R30)</f>
        <v>1213</v>
      </c>
    </row>
    <row r="32">
      <c r="A32" s="4" t="s">
        <v>4564</v>
      </c>
      <c r="B32" s="13" t="s">
        <v>43</v>
      </c>
      <c r="D32" s="3"/>
      <c r="E32" s="3"/>
      <c r="F32" s="3"/>
      <c r="G32" s="3"/>
      <c r="H32" s="3"/>
      <c r="I32" s="3"/>
      <c r="R32" s="3">
        <f>C2</f>
        <v>1210</v>
      </c>
    </row>
    <row r="33">
      <c r="A33" s="4" t="s">
        <v>4565</v>
      </c>
      <c r="B33" s="13" t="s">
        <v>43</v>
      </c>
      <c r="D33" s="3"/>
      <c r="E33" s="3"/>
      <c r="F33" s="3"/>
      <c r="G33" s="3"/>
      <c r="H33" s="3"/>
      <c r="I33" s="3"/>
    </row>
    <row r="34">
      <c r="A34" s="4" t="s">
        <v>4566</v>
      </c>
      <c r="B34" s="13" t="s">
        <v>43</v>
      </c>
      <c r="D34" s="3"/>
      <c r="E34" s="3"/>
      <c r="F34" s="3"/>
      <c r="G34" s="3"/>
      <c r="H34" s="3"/>
      <c r="I34" s="3"/>
    </row>
    <row r="35">
      <c r="A35" s="4" t="s">
        <v>4567</v>
      </c>
      <c r="B35" s="13" t="s">
        <v>43</v>
      </c>
      <c r="D35" s="3"/>
      <c r="E35" s="3"/>
      <c r="F35" s="3"/>
      <c r="G35" s="3"/>
      <c r="H35" s="3"/>
      <c r="I35" s="3"/>
    </row>
    <row r="36">
      <c r="A36" s="4" t="s">
        <v>4568</v>
      </c>
      <c r="B36" s="13" t="s">
        <v>43</v>
      </c>
      <c r="D36" s="3"/>
      <c r="E36" s="3"/>
      <c r="F36" s="3"/>
      <c r="G36" s="3"/>
      <c r="H36" s="3"/>
      <c r="I36" s="3"/>
    </row>
    <row r="37">
      <c r="A37" s="4" t="s">
        <v>4569</v>
      </c>
      <c r="B37" s="13" t="s">
        <v>43</v>
      </c>
      <c r="D37" s="3"/>
      <c r="E37" s="3"/>
      <c r="F37" s="3"/>
      <c r="G37" s="3"/>
      <c r="H37" s="3"/>
      <c r="I37" s="3"/>
    </row>
    <row r="38">
      <c r="A38" s="4" t="s">
        <v>4570</v>
      </c>
      <c r="B38" s="13" t="s">
        <v>48</v>
      </c>
      <c r="C38" s="4">
        <v>1.0</v>
      </c>
      <c r="D38" s="3"/>
      <c r="E38" s="3"/>
      <c r="F38" s="3"/>
      <c r="G38" s="4">
        <v>10.0</v>
      </c>
      <c r="H38" s="3"/>
      <c r="I38" s="3"/>
    </row>
    <row r="39">
      <c r="A39" s="4" t="s">
        <v>4571</v>
      </c>
      <c r="B39" s="13" t="s">
        <v>48</v>
      </c>
      <c r="C39" s="4">
        <v>1.0</v>
      </c>
      <c r="D39" s="3"/>
      <c r="E39" s="3"/>
      <c r="F39" s="3"/>
      <c r="G39" s="4">
        <v>10.0</v>
      </c>
      <c r="H39" s="3"/>
      <c r="I39" s="3"/>
    </row>
    <row r="40">
      <c r="A40" s="4" t="s">
        <v>4572</v>
      </c>
      <c r="B40" s="13" t="s">
        <v>48</v>
      </c>
      <c r="C40" s="4">
        <v>1.0</v>
      </c>
      <c r="D40" s="3"/>
      <c r="E40" s="3"/>
      <c r="F40" s="3"/>
      <c r="G40" s="4">
        <v>10.0</v>
      </c>
      <c r="H40" s="3"/>
      <c r="I40" s="3"/>
    </row>
    <row r="41">
      <c r="A41" s="4" t="s">
        <v>4573</v>
      </c>
      <c r="B41" s="13" t="s">
        <v>48</v>
      </c>
      <c r="C41" s="4">
        <v>1.0</v>
      </c>
      <c r="D41" s="3"/>
      <c r="E41" s="3"/>
      <c r="F41" s="3"/>
      <c r="G41" s="4">
        <v>10.0</v>
      </c>
      <c r="H41" s="3"/>
      <c r="I41" s="3"/>
    </row>
    <row r="42">
      <c r="A42" s="4" t="s">
        <v>4574</v>
      </c>
      <c r="B42" s="13" t="s">
        <v>48</v>
      </c>
      <c r="C42" s="4">
        <v>1.0</v>
      </c>
      <c r="D42" s="3"/>
      <c r="E42" s="3"/>
      <c r="F42" s="3"/>
      <c r="G42" s="4">
        <v>10.0</v>
      </c>
      <c r="H42" s="3"/>
      <c r="I42" s="3"/>
    </row>
    <row r="43">
      <c r="A43" s="4" t="s">
        <v>4575</v>
      </c>
      <c r="B43" s="13" t="s">
        <v>48</v>
      </c>
      <c r="C43" s="4">
        <v>1.0</v>
      </c>
      <c r="D43" s="3"/>
      <c r="E43" s="3"/>
      <c r="F43" s="3"/>
      <c r="G43" s="4">
        <v>10.0</v>
      </c>
      <c r="H43" s="3"/>
      <c r="I43" s="3"/>
    </row>
    <row r="44">
      <c r="A44" s="4" t="s">
        <v>4576</v>
      </c>
      <c r="B44" s="13" t="s">
        <v>48</v>
      </c>
      <c r="C44" s="4">
        <v>1.0</v>
      </c>
      <c r="D44" s="3"/>
      <c r="E44" s="3"/>
      <c r="F44" s="3"/>
      <c r="G44" s="4">
        <v>10.0</v>
      </c>
      <c r="H44" s="3"/>
      <c r="I44" s="3"/>
    </row>
    <row r="45">
      <c r="A45" s="4" t="s">
        <v>4577</v>
      </c>
      <c r="B45" s="13" t="s">
        <v>48</v>
      </c>
      <c r="C45" s="4">
        <v>1.0</v>
      </c>
      <c r="D45" s="3"/>
      <c r="E45" s="3"/>
      <c r="F45" s="3"/>
      <c r="G45" s="4">
        <v>10.0</v>
      </c>
      <c r="H45" s="3"/>
      <c r="I45" s="3"/>
    </row>
    <row r="46">
      <c r="A46" s="4" t="s">
        <v>4578</v>
      </c>
      <c r="B46" s="13" t="s">
        <v>48</v>
      </c>
      <c r="C46" s="4">
        <v>1.0</v>
      </c>
      <c r="D46" s="3"/>
      <c r="E46" s="3"/>
      <c r="F46" s="3"/>
      <c r="G46" s="4">
        <v>10.0</v>
      </c>
      <c r="H46" s="3"/>
      <c r="I46" s="3"/>
    </row>
    <row r="47">
      <c r="A47" s="4" t="s">
        <v>4579</v>
      </c>
      <c r="B47" s="13" t="s">
        <v>48</v>
      </c>
      <c r="C47" s="4">
        <v>1.0</v>
      </c>
      <c r="D47" s="3"/>
      <c r="E47" s="3"/>
      <c r="F47" s="3"/>
      <c r="G47" s="4">
        <v>10.0</v>
      </c>
      <c r="H47" s="3"/>
      <c r="I47" s="3"/>
    </row>
    <row r="48">
      <c r="A48" s="4" t="s">
        <v>4580</v>
      </c>
      <c r="B48" s="13" t="s">
        <v>48</v>
      </c>
      <c r="C48" s="4">
        <v>1.0</v>
      </c>
      <c r="D48" s="3"/>
      <c r="E48" s="3"/>
      <c r="F48" s="3"/>
      <c r="G48" s="4">
        <v>10.0</v>
      </c>
      <c r="H48" s="3"/>
      <c r="I48" s="3"/>
    </row>
    <row r="49">
      <c r="A49" s="4" t="s">
        <v>4581</v>
      </c>
      <c r="B49" s="13" t="s">
        <v>48</v>
      </c>
      <c r="C49" s="4">
        <v>1.0</v>
      </c>
      <c r="D49" s="3"/>
      <c r="E49" s="3"/>
      <c r="F49" s="3"/>
      <c r="G49" s="4">
        <v>10.0</v>
      </c>
      <c r="H49" s="3"/>
      <c r="I49" s="3"/>
    </row>
    <row r="50">
      <c r="A50" s="4" t="s">
        <v>4582</v>
      </c>
      <c r="B50" s="13" t="s">
        <v>48</v>
      </c>
      <c r="C50" s="4">
        <v>1.0</v>
      </c>
      <c r="D50" s="3"/>
      <c r="E50" s="3"/>
      <c r="F50" s="3"/>
      <c r="G50" s="4">
        <v>10.0</v>
      </c>
      <c r="H50" s="3"/>
      <c r="I50" s="3"/>
    </row>
    <row r="51">
      <c r="A51" s="4" t="s">
        <v>4583</v>
      </c>
      <c r="B51" s="13" t="s">
        <v>48</v>
      </c>
      <c r="C51" s="4">
        <v>1.0</v>
      </c>
      <c r="D51" s="3"/>
      <c r="E51" s="3"/>
      <c r="F51" s="3"/>
      <c r="G51" s="4">
        <v>10.0</v>
      </c>
      <c r="H51" s="3"/>
      <c r="I51" s="3"/>
    </row>
    <row r="52">
      <c r="A52" s="4" t="s">
        <v>4584</v>
      </c>
      <c r="B52" s="13" t="s">
        <v>48</v>
      </c>
      <c r="C52" s="4">
        <v>1.0</v>
      </c>
      <c r="D52" s="3"/>
      <c r="E52" s="3"/>
      <c r="F52" s="3"/>
      <c r="G52" s="4">
        <v>10.0</v>
      </c>
      <c r="H52" s="3"/>
      <c r="I52" s="3"/>
    </row>
    <row r="53">
      <c r="A53" s="4" t="s">
        <v>4585</v>
      </c>
      <c r="B53" s="13" t="s">
        <v>48</v>
      </c>
      <c r="C53" s="4">
        <v>1.0</v>
      </c>
      <c r="D53" s="3"/>
      <c r="E53" s="3"/>
      <c r="F53" s="3"/>
      <c r="G53" s="4">
        <v>10.0</v>
      </c>
      <c r="H53" s="3"/>
      <c r="I53" s="3"/>
    </row>
    <row r="54">
      <c r="A54" s="4" t="s">
        <v>4586</v>
      </c>
      <c r="B54" s="13" t="s">
        <v>48</v>
      </c>
      <c r="C54" s="4">
        <v>1.0</v>
      </c>
      <c r="D54" s="3"/>
      <c r="E54" s="3"/>
      <c r="F54" s="3"/>
      <c r="G54" s="4">
        <v>10.0</v>
      </c>
      <c r="H54" s="3"/>
      <c r="I54" s="3"/>
    </row>
    <row r="55">
      <c r="A55" s="4" t="s">
        <v>4587</v>
      </c>
      <c r="B55" s="13" t="s">
        <v>48</v>
      </c>
      <c r="C55" s="4">
        <v>1.0</v>
      </c>
      <c r="D55" s="3"/>
      <c r="E55" s="3"/>
      <c r="F55" s="3"/>
      <c r="G55" s="4">
        <v>10.0</v>
      </c>
      <c r="H55" s="3"/>
      <c r="I55" s="3"/>
    </row>
    <row r="56">
      <c r="A56" s="4" t="s">
        <v>4588</v>
      </c>
      <c r="B56" s="13" t="s">
        <v>48</v>
      </c>
      <c r="C56" s="4">
        <v>1.0</v>
      </c>
      <c r="D56" s="3"/>
      <c r="E56" s="3"/>
      <c r="F56" s="3"/>
      <c r="G56" s="4">
        <v>10.0</v>
      </c>
      <c r="H56" s="3"/>
      <c r="I56" s="3"/>
    </row>
    <row r="57">
      <c r="A57" s="4" t="s">
        <v>4589</v>
      </c>
      <c r="B57" s="13" t="s">
        <v>48</v>
      </c>
      <c r="C57" s="4">
        <v>1.0</v>
      </c>
      <c r="D57" s="3"/>
      <c r="E57" s="3"/>
      <c r="F57" s="3"/>
      <c r="G57" s="4">
        <v>10.0</v>
      </c>
      <c r="H57" s="3"/>
      <c r="I57" s="3"/>
    </row>
    <row r="58">
      <c r="A58" s="4" t="s">
        <v>4590</v>
      </c>
      <c r="B58" s="13" t="s">
        <v>48</v>
      </c>
      <c r="C58" s="4">
        <v>1.0</v>
      </c>
      <c r="D58" s="3"/>
      <c r="E58" s="3"/>
      <c r="F58" s="3"/>
      <c r="G58" s="4">
        <v>10.0</v>
      </c>
      <c r="H58" s="3"/>
      <c r="I58" s="3"/>
    </row>
    <row r="59">
      <c r="A59" s="4" t="s">
        <v>4591</v>
      </c>
      <c r="B59" s="13" t="s">
        <v>48</v>
      </c>
      <c r="C59" s="4">
        <v>1.0</v>
      </c>
      <c r="D59" s="3"/>
      <c r="E59" s="3"/>
      <c r="F59" s="3"/>
      <c r="G59" s="4">
        <v>10.0</v>
      </c>
      <c r="H59" s="3"/>
      <c r="I59" s="3"/>
    </row>
    <row r="60">
      <c r="A60" s="4" t="s">
        <v>4592</v>
      </c>
      <c r="B60" s="13" t="s">
        <v>48</v>
      </c>
      <c r="C60" s="4">
        <v>1.0</v>
      </c>
      <c r="D60" s="3"/>
      <c r="E60" s="3"/>
      <c r="F60" s="3"/>
      <c r="G60" s="4">
        <v>10.0</v>
      </c>
      <c r="H60" s="3"/>
      <c r="I60" s="3"/>
    </row>
    <row r="61">
      <c r="A61" s="4" t="s">
        <v>4593</v>
      </c>
      <c r="B61" s="13" t="s">
        <v>48</v>
      </c>
      <c r="C61" s="4">
        <v>1.0</v>
      </c>
      <c r="D61" s="3"/>
      <c r="E61" s="3"/>
      <c r="F61" s="3"/>
      <c r="G61" s="4">
        <v>10.0</v>
      </c>
      <c r="H61" s="3"/>
      <c r="I61" s="3"/>
    </row>
    <row r="62">
      <c r="A62" s="4" t="s">
        <v>4594</v>
      </c>
      <c r="B62" s="13" t="s">
        <v>48</v>
      </c>
      <c r="C62" s="4">
        <v>1.0</v>
      </c>
      <c r="D62" s="3"/>
      <c r="E62" s="3"/>
      <c r="F62" s="3"/>
      <c r="G62" s="4">
        <v>10.0</v>
      </c>
      <c r="H62" s="3"/>
      <c r="I62" s="3"/>
    </row>
    <row r="63">
      <c r="A63" s="4" t="s">
        <v>4595</v>
      </c>
      <c r="B63" s="13" t="s">
        <v>48</v>
      </c>
      <c r="C63" s="4">
        <v>1.0</v>
      </c>
      <c r="D63" s="3"/>
      <c r="E63" s="3"/>
      <c r="F63" s="3"/>
      <c r="G63" s="4">
        <v>10.0</v>
      </c>
      <c r="H63" s="3"/>
      <c r="I63" s="3"/>
    </row>
    <row r="64">
      <c r="A64" s="4" t="s">
        <v>4596</v>
      </c>
      <c r="B64" s="13" t="s">
        <v>48</v>
      </c>
      <c r="C64" s="4">
        <v>1.0</v>
      </c>
      <c r="D64" s="3"/>
      <c r="E64" s="3"/>
      <c r="F64" s="3"/>
      <c r="G64" s="4">
        <v>10.0</v>
      </c>
      <c r="H64" s="3"/>
      <c r="I64" s="3"/>
    </row>
    <row r="65">
      <c r="A65" s="4" t="s">
        <v>4597</v>
      </c>
      <c r="B65" s="13" t="s">
        <v>48</v>
      </c>
      <c r="C65" s="4">
        <v>1.0</v>
      </c>
      <c r="D65" s="3"/>
      <c r="E65" s="3"/>
      <c r="F65" s="3"/>
      <c r="G65" s="4">
        <v>10.0</v>
      </c>
      <c r="H65" s="3"/>
      <c r="I65" s="3"/>
    </row>
    <row r="66">
      <c r="A66" s="4" t="s">
        <v>4598</v>
      </c>
      <c r="B66" s="13" t="s">
        <v>48</v>
      </c>
      <c r="C66" s="4">
        <v>1.0</v>
      </c>
      <c r="D66" s="3"/>
      <c r="E66" s="3"/>
      <c r="F66" s="3"/>
      <c r="G66" s="4">
        <v>10.0</v>
      </c>
      <c r="H66" s="3"/>
      <c r="I66" s="3"/>
    </row>
    <row r="67">
      <c r="A67" s="4" t="s">
        <v>4599</v>
      </c>
      <c r="B67" s="13" t="s">
        <v>48</v>
      </c>
      <c r="C67" s="4">
        <v>1.0</v>
      </c>
      <c r="D67" s="3"/>
      <c r="E67" s="3"/>
      <c r="F67" s="3"/>
      <c r="G67" s="4">
        <v>10.0</v>
      </c>
      <c r="H67" s="3"/>
      <c r="I67" s="3"/>
    </row>
    <row r="68">
      <c r="A68" s="4" t="s">
        <v>4600</v>
      </c>
      <c r="B68" s="13" t="s">
        <v>48</v>
      </c>
      <c r="C68" s="4">
        <v>1.0</v>
      </c>
      <c r="D68" s="3"/>
      <c r="E68" s="3"/>
      <c r="F68" s="3"/>
      <c r="G68" s="4">
        <v>10.0</v>
      </c>
      <c r="H68" s="3"/>
      <c r="I68" s="3"/>
    </row>
    <row r="69">
      <c r="A69" s="4" t="s">
        <v>4601</v>
      </c>
      <c r="B69" s="13" t="s">
        <v>48</v>
      </c>
      <c r="C69" s="4">
        <v>1.0</v>
      </c>
      <c r="D69" s="3"/>
      <c r="E69" s="3"/>
      <c r="F69" s="3"/>
      <c r="G69" s="4">
        <v>10.0</v>
      </c>
      <c r="H69" s="3"/>
      <c r="I69" s="3"/>
    </row>
    <row r="70">
      <c r="A70" s="4" t="s">
        <v>4602</v>
      </c>
      <c r="B70" s="13" t="s">
        <v>48</v>
      </c>
      <c r="C70" s="4">
        <v>1.0</v>
      </c>
      <c r="D70" s="3"/>
      <c r="E70" s="3"/>
      <c r="F70" s="3"/>
      <c r="G70" s="4">
        <v>10.0</v>
      </c>
      <c r="H70" s="3"/>
      <c r="I70" s="3"/>
    </row>
    <row r="71">
      <c r="A71" s="4" t="s">
        <v>4603</v>
      </c>
      <c r="B71" s="13" t="s">
        <v>48</v>
      </c>
      <c r="C71" s="4">
        <v>1.0</v>
      </c>
      <c r="D71" s="3"/>
      <c r="E71" s="3"/>
      <c r="F71" s="3"/>
      <c r="G71" s="4">
        <v>10.0</v>
      </c>
      <c r="H71" s="3"/>
      <c r="I71" s="3"/>
    </row>
    <row r="72">
      <c r="A72" s="4" t="s">
        <v>4604</v>
      </c>
      <c r="B72" s="13" t="s">
        <v>48</v>
      </c>
      <c r="C72" s="4">
        <v>1.0</v>
      </c>
      <c r="D72" s="3"/>
      <c r="E72" s="3"/>
      <c r="F72" s="3"/>
      <c r="G72" s="4">
        <v>10.0</v>
      </c>
      <c r="H72" s="3"/>
      <c r="I72" s="3"/>
    </row>
    <row r="73">
      <c r="A73" s="4" t="s">
        <v>4605</v>
      </c>
      <c r="B73" s="13" t="s">
        <v>48</v>
      </c>
      <c r="C73" s="4">
        <v>1.0</v>
      </c>
      <c r="D73" s="3"/>
      <c r="E73" s="3"/>
      <c r="F73" s="3"/>
      <c r="G73" s="4">
        <v>10.0</v>
      </c>
      <c r="H73" s="3"/>
      <c r="I73" s="3"/>
    </row>
    <row r="74">
      <c r="A74" s="4" t="s">
        <v>4606</v>
      </c>
      <c r="B74" s="13" t="s">
        <v>48</v>
      </c>
      <c r="C74" s="4">
        <v>1.0</v>
      </c>
      <c r="D74" s="3"/>
      <c r="E74" s="3"/>
      <c r="F74" s="3"/>
      <c r="G74" s="4">
        <v>10.0</v>
      </c>
      <c r="H74" s="3"/>
      <c r="I74" s="3"/>
    </row>
    <row r="75">
      <c r="A75" s="4" t="s">
        <v>4607</v>
      </c>
      <c r="B75" s="13" t="s">
        <v>48</v>
      </c>
      <c r="C75" s="4">
        <v>1.0</v>
      </c>
      <c r="D75" s="3"/>
      <c r="E75" s="3"/>
      <c r="F75" s="3"/>
      <c r="G75" s="4">
        <v>10.0</v>
      </c>
      <c r="H75" s="3"/>
      <c r="I75" s="3"/>
    </row>
    <row r="76">
      <c r="A76" s="4" t="s">
        <v>4608</v>
      </c>
      <c r="B76" s="13" t="s">
        <v>48</v>
      </c>
      <c r="C76" s="4">
        <v>1.0</v>
      </c>
      <c r="D76" s="3"/>
      <c r="E76" s="3"/>
      <c r="F76" s="3"/>
      <c r="G76" s="4">
        <v>10.0</v>
      </c>
      <c r="H76" s="3"/>
      <c r="I76" s="3"/>
    </row>
    <row r="77">
      <c r="A77" s="4" t="s">
        <v>4609</v>
      </c>
      <c r="B77" s="13" t="s">
        <v>48</v>
      </c>
      <c r="C77" s="4">
        <v>1.0</v>
      </c>
      <c r="D77" s="3"/>
      <c r="E77" s="3"/>
      <c r="F77" s="3"/>
      <c r="G77" s="4">
        <v>10.0</v>
      </c>
      <c r="H77" s="3"/>
      <c r="I77" s="3"/>
    </row>
    <row r="78">
      <c r="A78" s="4" t="s">
        <v>4610</v>
      </c>
      <c r="B78" s="13" t="s">
        <v>48</v>
      </c>
      <c r="C78" s="4">
        <v>1.0</v>
      </c>
      <c r="D78" s="3"/>
      <c r="E78" s="3"/>
      <c r="F78" s="3"/>
      <c r="G78" s="4">
        <v>10.0</v>
      </c>
      <c r="H78" s="3"/>
      <c r="I78" s="3"/>
    </row>
    <row r="79">
      <c r="A79" s="4" t="s">
        <v>4611</v>
      </c>
      <c r="B79" s="13" t="s">
        <v>48</v>
      </c>
      <c r="C79" s="4">
        <v>1.0</v>
      </c>
      <c r="D79" s="3"/>
      <c r="E79" s="3"/>
      <c r="F79" s="3"/>
      <c r="G79" s="4">
        <v>10.0</v>
      </c>
      <c r="H79" s="3"/>
      <c r="I79" s="3"/>
    </row>
    <row r="80">
      <c r="A80" s="4" t="s">
        <v>4612</v>
      </c>
      <c r="B80" s="13" t="s">
        <v>48</v>
      </c>
      <c r="C80" s="4">
        <v>1.0</v>
      </c>
      <c r="D80" s="3"/>
      <c r="E80" s="3"/>
      <c r="F80" s="3"/>
      <c r="G80" s="4">
        <v>10.0</v>
      </c>
      <c r="H80" s="3"/>
      <c r="I80" s="3"/>
    </row>
    <row r="81">
      <c r="A81" s="4" t="s">
        <v>4613</v>
      </c>
      <c r="B81" s="13" t="s">
        <v>48</v>
      </c>
      <c r="C81" s="4">
        <v>1.0</v>
      </c>
      <c r="D81" s="3"/>
      <c r="E81" s="3"/>
      <c r="F81" s="3"/>
      <c r="G81" s="4">
        <v>10.0</v>
      </c>
      <c r="H81" s="3"/>
      <c r="I81" s="3"/>
    </row>
    <row r="82">
      <c r="A82" s="4" t="s">
        <v>4614</v>
      </c>
      <c r="B82" s="13" t="s">
        <v>48</v>
      </c>
      <c r="C82" s="4">
        <v>1.0</v>
      </c>
      <c r="D82" s="3"/>
      <c r="E82" s="3"/>
      <c r="F82" s="3"/>
      <c r="G82" s="4">
        <v>10.0</v>
      </c>
      <c r="H82" s="3"/>
      <c r="I82" s="3"/>
    </row>
    <row r="83">
      <c r="A83" s="4" t="s">
        <v>4615</v>
      </c>
      <c r="B83" s="13" t="s">
        <v>48</v>
      </c>
      <c r="C83" s="4">
        <v>1.0</v>
      </c>
      <c r="D83" s="3"/>
      <c r="E83" s="3"/>
      <c r="F83" s="3"/>
      <c r="G83" s="4">
        <v>10.0</v>
      </c>
      <c r="H83" s="3"/>
      <c r="I83" s="3"/>
    </row>
    <row r="84">
      <c r="A84" s="4" t="s">
        <v>4616</v>
      </c>
      <c r="B84" s="13" t="s">
        <v>48</v>
      </c>
      <c r="C84" s="4">
        <v>1.0</v>
      </c>
      <c r="D84" s="3"/>
      <c r="E84" s="3"/>
      <c r="F84" s="3"/>
      <c r="G84" s="4">
        <v>10.0</v>
      </c>
      <c r="H84" s="3"/>
      <c r="I84" s="3"/>
    </row>
    <row r="85">
      <c r="A85" s="4" t="s">
        <v>4617</v>
      </c>
      <c r="B85" s="13" t="s">
        <v>48</v>
      </c>
      <c r="C85" s="4">
        <v>1.0</v>
      </c>
      <c r="D85" s="3"/>
      <c r="E85" s="3"/>
      <c r="F85" s="3"/>
      <c r="G85" s="4">
        <v>10.0</v>
      </c>
      <c r="H85" s="3"/>
      <c r="I85" s="3"/>
    </row>
    <row r="86">
      <c r="A86" s="4" t="s">
        <v>4618</v>
      </c>
      <c r="B86" s="13" t="s">
        <v>48</v>
      </c>
      <c r="C86" s="4">
        <v>1.0</v>
      </c>
      <c r="D86" s="3"/>
      <c r="E86" s="3"/>
      <c r="F86" s="3"/>
      <c r="G86" s="4">
        <v>10.0</v>
      </c>
      <c r="H86" s="3"/>
      <c r="I86" s="3"/>
    </row>
    <row r="87">
      <c r="A87" s="4" t="s">
        <v>4619</v>
      </c>
      <c r="B87" s="13" t="s">
        <v>48</v>
      </c>
      <c r="C87" s="4">
        <v>1.0</v>
      </c>
      <c r="D87" s="3"/>
      <c r="E87" s="3"/>
      <c r="F87" s="3"/>
      <c r="G87" s="4">
        <v>10.0</v>
      </c>
      <c r="H87" s="3"/>
      <c r="I87" s="3"/>
    </row>
    <row r="88">
      <c r="A88" s="4" t="s">
        <v>4620</v>
      </c>
      <c r="B88" s="13" t="s">
        <v>48</v>
      </c>
      <c r="C88" s="4">
        <v>1.0</v>
      </c>
      <c r="D88" s="3"/>
      <c r="E88" s="3"/>
      <c r="F88" s="3"/>
      <c r="G88" s="4">
        <v>10.0</v>
      </c>
      <c r="H88" s="3"/>
      <c r="I88" s="3"/>
    </row>
    <row r="89">
      <c r="A89" s="4" t="s">
        <v>4621</v>
      </c>
      <c r="B89" s="13" t="s">
        <v>48</v>
      </c>
      <c r="C89" s="4">
        <v>1.0</v>
      </c>
      <c r="D89" s="3"/>
      <c r="E89" s="3"/>
      <c r="F89" s="3"/>
      <c r="G89" s="4">
        <v>10.0</v>
      </c>
      <c r="H89" s="3"/>
      <c r="I89" s="3"/>
    </row>
    <row r="90">
      <c r="A90" s="4" t="s">
        <v>4622</v>
      </c>
      <c r="B90" s="13" t="s">
        <v>48</v>
      </c>
      <c r="C90" s="4">
        <v>1.0</v>
      </c>
      <c r="D90" s="3"/>
      <c r="E90" s="3"/>
      <c r="F90" s="3"/>
      <c r="G90" s="4">
        <v>10.0</v>
      </c>
      <c r="H90" s="3"/>
      <c r="I90" s="3"/>
    </row>
    <row r="91">
      <c r="A91" s="4" t="s">
        <v>4623</v>
      </c>
      <c r="B91" s="13" t="s">
        <v>48</v>
      </c>
      <c r="C91" s="4">
        <v>1.0</v>
      </c>
      <c r="D91" s="3"/>
      <c r="E91" s="3"/>
      <c r="F91" s="3"/>
      <c r="G91" s="4">
        <v>10.0</v>
      </c>
      <c r="H91" s="3"/>
      <c r="I91" s="3"/>
    </row>
    <row r="92">
      <c r="A92" s="4" t="s">
        <v>4624</v>
      </c>
      <c r="B92" s="13" t="s">
        <v>48</v>
      </c>
      <c r="C92" s="4">
        <v>1.0</v>
      </c>
      <c r="D92" s="3"/>
      <c r="E92" s="3"/>
      <c r="F92" s="3"/>
      <c r="G92" s="4">
        <v>10.0</v>
      </c>
      <c r="H92" s="3"/>
      <c r="I92" s="3"/>
    </row>
    <row r="93">
      <c r="A93" s="4" t="s">
        <v>4625</v>
      </c>
      <c r="B93" s="13" t="s">
        <v>48</v>
      </c>
      <c r="C93" s="4">
        <v>1.0</v>
      </c>
      <c r="D93" s="3"/>
      <c r="E93" s="3"/>
      <c r="F93" s="3"/>
      <c r="G93" s="4">
        <v>10.0</v>
      </c>
      <c r="H93" s="3"/>
      <c r="I93" s="3"/>
    </row>
    <row r="94">
      <c r="A94" s="4" t="s">
        <v>4626</v>
      </c>
      <c r="B94" s="13" t="s">
        <v>43</v>
      </c>
      <c r="D94" s="3"/>
      <c r="E94" s="3"/>
      <c r="F94" s="3"/>
      <c r="G94" s="3"/>
      <c r="H94" s="3"/>
      <c r="I94" s="3"/>
    </row>
    <row r="95">
      <c r="A95" s="4" t="s">
        <v>4627</v>
      </c>
      <c r="B95" s="13" t="s">
        <v>43</v>
      </c>
      <c r="D95" s="3"/>
      <c r="E95" s="3"/>
      <c r="F95" s="3"/>
      <c r="G95" s="3"/>
      <c r="H95" s="3"/>
      <c r="I95" s="3"/>
    </row>
    <row r="96">
      <c r="A96" s="4" t="s">
        <v>4628</v>
      </c>
      <c r="B96" s="13" t="s">
        <v>43</v>
      </c>
      <c r="D96" s="3"/>
      <c r="E96" s="3"/>
      <c r="F96" s="3"/>
      <c r="G96" s="3"/>
      <c r="H96" s="3"/>
      <c r="I96" s="3"/>
    </row>
    <row r="97">
      <c r="A97" s="4" t="s">
        <v>4629</v>
      </c>
      <c r="B97" s="13" t="s">
        <v>43</v>
      </c>
      <c r="D97" s="3"/>
      <c r="E97" s="3"/>
      <c r="F97" s="3"/>
      <c r="G97" s="3"/>
      <c r="H97" s="3"/>
      <c r="I97" s="3"/>
    </row>
    <row r="98">
      <c r="A98" s="4" t="s">
        <v>4630</v>
      </c>
      <c r="B98" s="13" t="s">
        <v>43</v>
      </c>
      <c r="D98" s="3"/>
      <c r="E98" s="3"/>
      <c r="F98" s="3"/>
      <c r="G98" s="3"/>
      <c r="H98" s="3"/>
      <c r="I98" s="3"/>
    </row>
    <row r="99">
      <c r="A99" s="4" t="s">
        <v>4631</v>
      </c>
      <c r="B99" s="13" t="s">
        <v>43</v>
      </c>
      <c r="D99" s="3"/>
      <c r="E99" s="3"/>
      <c r="F99" s="3"/>
      <c r="G99" s="3"/>
      <c r="H99" s="3"/>
      <c r="I99" s="3"/>
    </row>
    <row r="100">
      <c r="A100" s="4" t="s">
        <v>4632</v>
      </c>
      <c r="B100" s="13" t="s">
        <v>43</v>
      </c>
      <c r="D100" s="3"/>
      <c r="E100" s="3"/>
      <c r="F100" s="3"/>
      <c r="G100" s="3"/>
      <c r="H100" s="3"/>
      <c r="I100" s="3"/>
    </row>
    <row r="101">
      <c r="A101" s="4" t="s">
        <v>4633</v>
      </c>
      <c r="B101" s="13" t="s">
        <v>43</v>
      </c>
      <c r="D101" s="3"/>
      <c r="E101" s="3"/>
      <c r="F101" s="3"/>
      <c r="G101" s="3"/>
      <c r="H101" s="3"/>
      <c r="I101" s="3"/>
    </row>
    <row r="102">
      <c r="A102" s="4" t="s">
        <v>4634</v>
      </c>
      <c r="B102" s="13" t="s">
        <v>43</v>
      </c>
      <c r="D102" s="3"/>
      <c r="E102" s="3"/>
      <c r="F102" s="3"/>
      <c r="G102" s="3"/>
      <c r="H102" s="3"/>
      <c r="I102" s="3"/>
    </row>
    <row r="103">
      <c r="A103" s="4" t="s">
        <v>4635</v>
      </c>
      <c r="B103" s="13" t="s">
        <v>43</v>
      </c>
      <c r="D103" s="3"/>
      <c r="E103" s="3"/>
      <c r="F103" s="3"/>
      <c r="G103" s="3"/>
      <c r="H103" s="3"/>
      <c r="I103" s="3"/>
    </row>
    <row r="104">
      <c r="A104" s="4" t="s">
        <v>4636</v>
      </c>
      <c r="B104" s="13" t="s">
        <v>43</v>
      </c>
      <c r="D104" s="3"/>
      <c r="E104" s="3"/>
      <c r="F104" s="3"/>
      <c r="G104" s="3"/>
      <c r="H104" s="3"/>
      <c r="I104" s="3"/>
    </row>
    <row r="105">
      <c r="A105" s="4" t="s">
        <v>4637</v>
      </c>
      <c r="B105" s="13" t="s">
        <v>43</v>
      </c>
      <c r="D105" s="3"/>
      <c r="E105" s="3"/>
      <c r="F105" s="3"/>
      <c r="G105" s="3"/>
      <c r="H105" s="3"/>
      <c r="I105" s="3"/>
    </row>
    <row r="106">
      <c r="A106" s="4" t="s">
        <v>4638</v>
      </c>
      <c r="B106" s="13" t="s">
        <v>43</v>
      </c>
      <c r="D106" s="3"/>
      <c r="E106" s="3"/>
      <c r="F106" s="3"/>
      <c r="G106" s="3"/>
      <c r="H106" s="3"/>
      <c r="I106" s="3"/>
    </row>
    <row r="107">
      <c r="A107" s="4" t="s">
        <v>4639</v>
      </c>
      <c r="B107" s="13" t="s">
        <v>43</v>
      </c>
      <c r="D107" s="3"/>
      <c r="E107" s="3"/>
      <c r="F107" s="3"/>
      <c r="G107" s="3"/>
      <c r="H107" s="3"/>
      <c r="I107" s="3"/>
    </row>
    <row r="108">
      <c r="A108" s="4" t="s">
        <v>4640</v>
      </c>
      <c r="B108" s="13" t="s">
        <v>43</v>
      </c>
      <c r="D108" s="3"/>
      <c r="E108" s="3"/>
      <c r="F108" s="3"/>
      <c r="G108" s="3"/>
      <c r="H108" s="3"/>
      <c r="I108" s="3"/>
    </row>
    <row r="109">
      <c r="A109" s="4" t="s">
        <v>4641</v>
      </c>
      <c r="B109" s="13" t="s">
        <v>43</v>
      </c>
      <c r="D109" s="3"/>
      <c r="E109" s="3"/>
      <c r="F109" s="3"/>
      <c r="G109" s="3"/>
      <c r="H109" s="3"/>
      <c r="I109" s="3"/>
    </row>
    <row r="110">
      <c r="A110" s="4" t="s">
        <v>4642</v>
      </c>
      <c r="B110" s="13" t="s">
        <v>43</v>
      </c>
      <c r="D110" s="3"/>
      <c r="E110" s="3"/>
      <c r="F110" s="3"/>
      <c r="G110" s="3"/>
      <c r="H110" s="3"/>
      <c r="I110" s="3"/>
    </row>
    <row r="111">
      <c r="A111" s="4" t="s">
        <v>4643</v>
      </c>
      <c r="B111" s="13" t="s">
        <v>43</v>
      </c>
      <c r="D111" s="3"/>
      <c r="E111" s="3"/>
      <c r="F111" s="3"/>
      <c r="G111" s="3"/>
      <c r="H111" s="3"/>
      <c r="I111" s="3"/>
    </row>
    <row r="112">
      <c r="A112" s="4" t="s">
        <v>4644</v>
      </c>
      <c r="B112" s="13" t="s">
        <v>43</v>
      </c>
      <c r="D112" s="3"/>
      <c r="E112" s="3"/>
      <c r="F112" s="3"/>
      <c r="G112" s="3"/>
      <c r="H112" s="3"/>
      <c r="I112" s="3"/>
    </row>
    <row r="113">
      <c r="A113" s="4" t="s">
        <v>4645</v>
      </c>
      <c r="B113" s="13" t="s">
        <v>43</v>
      </c>
      <c r="D113" s="3"/>
      <c r="E113" s="3"/>
      <c r="F113" s="3"/>
      <c r="G113" s="3"/>
      <c r="H113" s="3"/>
      <c r="I113" s="3"/>
    </row>
    <row r="114">
      <c r="A114" s="4" t="s">
        <v>4646</v>
      </c>
      <c r="B114" s="13" t="s">
        <v>43</v>
      </c>
      <c r="D114" s="3"/>
      <c r="E114" s="3"/>
      <c r="F114" s="3"/>
      <c r="G114" s="3"/>
      <c r="H114" s="3"/>
      <c r="I114" s="3"/>
    </row>
    <row r="115">
      <c r="A115" s="4" t="s">
        <v>4647</v>
      </c>
      <c r="B115" s="13" t="s">
        <v>43</v>
      </c>
      <c r="D115" s="3"/>
      <c r="E115" s="3"/>
      <c r="F115" s="3"/>
      <c r="G115" s="3"/>
      <c r="H115" s="3"/>
      <c r="I115" s="3"/>
    </row>
    <row r="116">
      <c r="A116" s="4" t="s">
        <v>4648</v>
      </c>
      <c r="B116" s="13" t="s">
        <v>43</v>
      </c>
      <c r="D116" s="3"/>
      <c r="E116" s="3"/>
      <c r="F116" s="3"/>
      <c r="G116" s="3"/>
      <c r="H116" s="3"/>
      <c r="I116" s="3"/>
    </row>
    <row r="117">
      <c r="A117" s="4" t="s">
        <v>4649</v>
      </c>
      <c r="B117" s="13" t="s">
        <v>43</v>
      </c>
      <c r="D117" s="3"/>
      <c r="E117" s="3"/>
      <c r="F117" s="3"/>
      <c r="G117" s="3"/>
      <c r="H117" s="3"/>
      <c r="I117" s="3"/>
    </row>
    <row r="118">
      <c r="A118" s="4" t="s">
        <v>4650</v>
      </c>
      <c r="B118" s="13" t="s">
        <v>43</v>
      </c>
      <c r="D118" s="3"/>
      <c r="E118" s="3"/>
      <c r="F118" s="3"/>
      <c r="G118" s="3"/>
      <c r="H118" s="3"/>
      <c r="I118" s="3"/>
    </row>
    <row r="119">
      <c r="A119" s="4" t="s">
        <v>4651</v>
      </c>
      <c r="B119" s="13" t="s">
        <v>43</v>
      </c>
      <c r="D119" s="3"/>
      <c r="E119" s="3"/>
      <c r="F119" s="3"/>
      <c r="G119" s="3"/>
      <c r="H119" s="3"/>
      <c r="I119" s="3"/>
    </row>
    <row r="120">
      <c r="A120" s="4" t="s">
        <v>4652</v>
      </c>
      <c r="B120" s="13" t="s">
        <v>43</v>
      </c>
      <c r="D120" s="3"/>
      <c r="E120" s="3"/>
      <c r="F120" s="3"/>
      <c r="G120" s="3"/>
      <c r="H120" s="3"/>
      <c r="I120" s="3"/>
    </row>
    <row r="121">
      <c r="A121" s="4" t="s">
        <v>4653</v>
      </c>
      <c r="B121" s="13" t="s">
        <v>43</v>
      </c>
      <c r="D121" s="3"/>
      <c r="E121" s="3"/>
      <c r="F121" s="3"/>
      <c r="G121" s="3"/>
      <c r="H121" s="3"/>
      <c r="I121" s="3"/>
    </row>
    <row r="122">
      <c r="A122" s="4" t="s">
        <v>4654</v>
      </c>
      <c r="B122" s="13" t="s">
        <v>43</v>
      </c>
      <c r="D122" s="3"/>
      <c r="E122" s="3"/>
      <c r="F122" s="3"/>
      <c r="G122" s="3"/>
      <c r="H122" s="3"/>
      <c r="I122" s="3"/>
    </row>
    <row r="123">
      <c r="A123" s="4" t="s">
        <v>4655</v>
      </c>
      <c r="B123" s="13" t="s">
        <v>43</v>
      </c>
      <c r="D123" s="3"/>
      <c r="E123" s="3"/>
      <c r="F123" s="3"/>
      <c r="G123" s="3"/>
      <c r="H123" s="3"/>
      <c r="I123" s="3"/>
    </row>
    <row r="124">
      <c r="A124" s="4" t="s">
        <v>4656</v>
      </c>
      <c r="B124" s="13" t="s">
        <v>43</v>
      </c>
      <c r="D124" s="3"/>
      <c r="E124" s="3"/>
      <c r="F124" s="3"/>
      <c r="G124" s="3"/>
      <c r="H124" s="3"/>
      <c r="I124" s="3"/>
    </row>
    <row r="125">
      <c r="A125" s="4" t="s">
        <v>4657</v>
      </c>
      <c r="B125" s="13" t="s">
        <v>43</v>
      </c>
      <c r="D125" s="3"/>
      <c r="E125" s="3"/>
      <c r="F125" s="3"/>
      <c r="G125" s="3"/>
      <c r="H125" s="3"/>
      <c r="I125" s="3"/>
    </row>
    <row r="126">
      <c r="A126" s="4" t="s">
        <v>4658</v>
      </c>
      <c r="B126" s="13" t="s">
        <v>43</v>
      </c>
      <c r="D126" s="3"/>
      <c r="E126" s="3"/>
      <c r="F126" s="3"/>
      <c r="G126" s="3"/>
      <c r="H126" s="3"/>
      <c r="I126" s="3"/>
    </row>
    <row r="127">
      <c r="A127" s="4" t="s">
        <v>4659</v>
      </c>
      <c r="B127" s="13" t="s">
        <v>43</v>
      </c>
      <c r="D127" s="3"/>
      <c r="E127" s="3"/>
      <c r="F127" s="3"/>
      <c r="G127" s="3"/>
      <c r="H127" s="3"/>
      <c r="I127" s="3"/>
    </row>
    <row r="128">
      <c r="A128" s="4" t="s">
        <v>4660</v>
      </c>
      <c r="B128" s="13" t="s">
        <v>43</v>
      </c>
      <c r="D128" s="3"/>
      <c r="E128" s="3"/>
      <c r="F128" s="3"/>
      <c r="G128" s="3"/>
      <c r="H128" s="3"/>
      <c r="I128" s="3"/>
    </row>
    <row r="129">
      <c r="A129" s="4" t="s">
        <v>4661</v>
      </c>
      <c r="B129" s="13" t="s">
        <v>43</v>
      </c>
      <c r="D129" s="3"/>
      <c r="E129" s="3"/>
      <c r="F129" s="3"/>
      <c r="G129" s="3"/>
      <c r="H129" s="3"/>
      <c r="I129" s="3"/>
    </row>
    <row r="130">
      <c r="A130" s="4" t="s">
        <v>4662</v>
      </c>
      <c r="B130" s="13" t="s">
        <v>43</v>
      </c>
      <c r="D130" s="3"/>
      <c r="E130" s="3"/>
      <c r="F130" s="3"/>
      <c r="G130" s="3"/>
      <c r="H130" s="3"/>
      <c r="I130" s="3"/>
    </row>
    <row r="131">
      <c r="A131" s="4" t="s">
        <v>4663</v>
      </c>
      <c r="B131" s="13" t="s">
        <v>43</v>
      </c>
      <c r="D131" s="3"/>
      <c r="E131" s="3"/>
      <c r="F131" s="3"/>
      <c r="G131" s="3"/>
      <c r="H131" s="3"/>
      <c r="I131" s="3"/>
    </row>
    <row r="132">
      <c r="A132" s="4" t="s">
        <v>4664</v>
      </c>
      <c r="B132" s="13" t="s">
        <v>43</v>
      </c>
      <c r="D132" s="3"/>
      <c r="E132" s="3"/>
      <c r="F132" s="3"/>
      <c r="G132" s="3"/>
      <c r="H132" s="3"/>
      <c r="I132" s="3"/>
    </row>
    <row r="133">
      <c r="A133" s="4" t="s">
        <v>4665</v>
      </c>
      <c r="B133" s="13" t="s">
        <v>43</v>
      </c>
      <c r="D133" s="3"/>
      <c r="E133" s="3"/>
      <c r="F133" s="3"/>
      <c r="G133" s="3"/>
      <c r="H133" s="3"/>
      <c r="I133" s="3"/>
    </row>
    <row r="134">
      <c r="A134" s="4" t="s">
        <v>4666</v>
      </c>
      <c r="B134" s="13" t="s">
        <v>43</v>
      </c>
      <c r="D134" s="3"/>
      <c r="E134" s="3"/>
      <c r="F134" s="3"/>
      <c r="G134" s="3"/>
      <c r="H134" s="3"/>
      <c r="I134" s="3"/>
    </row>
    <row r="135">
      <c r="A135" s="4" t="s">
        <v>4667</v>
      </c>
      <c r="B135" s="13" t="s">
        <v>43</v>
      </c>
      <c r="D135" s="3"/>
      <c r="E135" s="3"/>
      <c r="F135" s="3"/>
      <c r="G135" s="3"/>
      <c r="H135" s="3"/>
      <c r="I135" s="3"/>
    </row>
    <row r="136">
      <c r="A136" s="4" t="s">
        <v>4668</v>
      </c>
      <c r="B136" s="13" t="s">
        <v>43</v>
      </c>
      <c r="D136" s="3"/>
      <c r="E136" s="3"/>
      <c r="F136" s="3"/>
      <c r="G136" s="3"/>
      <c r="H136" s="3"/>
      <c r="I136" s="3"/>
    </row>
    <row r="137">
      <c r="A137" s="4" t="s">
        <v>4669</v>
      </c>
      <c r="B137" s="13" t="s">
        <v>43</v>
      </c>
      <c r="D137" s="3"/>
      <c r="E137" s="3"/>
      <c r="F137" s="3"/>
      <c r="G137" s="3"/>
      <c r="H137" s="3"/>
      <c r="I137" s="3"/>
    </row>
    <row r="138">
      <c r="A138" s="4" t="s">
        <v>4670</v>
      </c>
      <c r="B138" s="13" t="s">
        <v>43</v>
      </c>
      <c r="D138" s="3"/>
      <c r="E138" s="3"/>
      <c r="F138" s="3"/>
      <c r="G138" s="3"/>
      <c r="H138" s="3"/>
      <c r="I138" s="3"/>
    </row>
    <row r="139">
      <c r="A139" s="4" t="s">
        <v>4671</v>
      </c>
      <c r="B139" s="13" t="s">
        <v>43</v>
      </c>
      <c r="D139" s="3"/>
      <c r="E139" s="3"/>
      <c r="F139" s="3"/>
      <c r="G139" s="3"/>
      <c r="H139" s="3"/>
      <c r="I139" s="3"/>
    </row>
    <row r="140">
      <c r="A140" s="4" t="s">
        <v>4672</v>
      </c>
      <c r="B140" s="13" t="s">
        <v>43</v>
      </c>
      <c r="D140" s="3"/>
      <c r="E140" s="3"/>
      <c r="F140" s="3"/>
      <c r="G140" s="3"/>
      <c r="H140" s="3"/>
      <c r="I140" s="3"/>
    </row>
    <row r="141">
      <c r="A141" s="4" t="s">
        <v>4673</v>
      </c>
      <c r="B141" s="13" t="s">
        <v>43</v>
      </c>
      <c r="D141" s="3"/>
      <c r="E141" s="3"/>
      <c r="F141" s="3"/>
      <c r="G141" s="3"/>
      <c r="H141" s="3"/>
      <c r="I141" s="3"/>
    </row>
    <row r="142">
      <c r="A142" s="4" t="s">
        <v>4674</v>
      </c>
      <c r="B142" s="13" t="s">
        <v>43</v>
      </c>
      <c r="D142" s="3"/>
      <c r="E142" s="3"/>
      <c r="F142" s="3"/>
      <c r="G142" s="3"/>
      <c r="H142" s="3"/>
      <c r="I142" s="3"/>
    </row>
    <row r="143">
      <c r="A143" s="4" t="s">
        <v>4675</v>
      </c>
      <c r="B143" s="13" t="s">
        <v>43</v>
      </c>
      <c r="D143" s="3"/>
      <c r="E143" s="3"/>
      <c r="F143" s="3"/>
      <c r="G143" s="3"/>
      <c r="H143" s="3"/>
      <c r="I143" s="3"/>
    </row>
    <row r="144">
      <c r="A144" s="4" t="s">
        <v>4676</v>
      </c>
      <c r="B144" s="13" t="s">
        <v>43</v>
      </c>
      <c r="D144" s="3"/>
      <c r="E144" s="3"/>
      <c r="F144" s="3"/>
      <c r="G144" s="3"/>
      <c r="H144" s="3"/>
      <c r="I144" s="3"/>
    </row>
    <row r="145">
      <c r="A145" s="4" t="s">
        <v>4677</v>
      </c>
      <c r="B145" s="13" t="s">
        <v>43</v>
      </c>
      <c r="D145" s="3"/>
      <c r="E145" s="3"/>
      <c r="F145" s="3"/>
      <c r="G145" s="3"/>
      <c r="H145" s="3"/>
      <c r="I145" s="3"/>
    </row>
    <row r="146">
      <c r="A146" s="4" t="s">
        <v>4678</v>
      </c>
      <c r="B146" s="13" t="s">
        <v>43</v>
      </c>
      <c r="D146" s="3"/>
      <c r="E146" s="3"/>
      <c r="F146" s="3"/>
      <c r="G146" s="3"/>
      <c r="H146" s="3"/>
      <c r="I146" s="3"/>
    </row>
    <row r="147">
      <c r="A147" s="4" t="s">
        <v>4679</v>
      </c>
      <c r="B147" s="13" t="s">
        <v>43</v>
      </c>
      <c r="D147" s="3"/>
      <c r="E147" s="3"/>
      <c r="F147" s="3"/>
      <c r="G147" s="3"/>
      <c r="H147" s="3"/>
      <c r="I147" s="3"/>
    </row>
    <row r="148">
      <c r="A148" s="4" t="s">
        <v>4680</v>
      </c>
      <c r="B148" s="13" t="s">
        <v>48</v>
      </c>
      <c r="C148" s="4">
        <v>1.0</v>
      </c>
      <c r="D148" s="3"/>
      <c r="E148" s="3"/>
      <c r="F148" s="3"/>
      <c r="G148" s="4">
        <v>10.0</v>
      </c>
      <c r="H148" s="3"/>
      <c r="I148" s="3"/>
    </row>
    <row r="149">
      <c r="A149" s="4" t="s">
        <v>4681</v>
      </c>
      <c r="B149" s="13" t="s">
        <v>48</v>
      </c>
      <c r="C149" s="4">
        <v>1.0</v>
      </c>
      <c r="D149" s="3"/>
      <c r="E149" s="3"/>
      <c r="F149" s="3"/>
      <c r="G149" s="4">
        <v>10.0</v>
      </c>
      <c r="H149" s="3"/>
      <c r="I149" s="3"/>
    </row>
    <row r="150">
      <c r="A150" s="4" t="s">
        <v>4682</v>
      </c>
      <c r="B150" s="13" t="s">
        <v>48</v>
      </c>
      <c r="C150" s="4">
        <v>1.0</v>
      </c>
      <c r="D150" s="3"/>
      <c r="E150" s="3"/>
      <c r="F150" s="3"/>
      <c r="G150" s="4">
        <v>10.0</v>
      </c>
      <c r="H150" s="3"/>
      <c r="I150" s="3"/>
    </row>
    <row r="151">
      <c r="A151" s="4" t="s">
        <v>4683</v>
      </c>
      <c r="B151" s="13" t="s">
        <v>48</v>
      </c>
      <c r="C151" s="4">
        <v>1.0</v>
      </c>
      <c r="D151" s="3"/>
      <c r="E151" s="3"/>
      <c r="F151" s="3"/>
      <c r="G151" s="4">
        <v>10.0</v>
      </c>
      <c r="H151" s="3"/>
      <c r="I151" s="3"/>
    </row>
    <row r="152">
      <c r="A152" s="4" t="s">
        <v>4684</v>
      </c>
      <c r="B152" s="13" t="s">
        <v>48</v>
      </c>
      <c r="C152" s="4">
        <v>1.0</v>
      </c>
      <c r="D152" s="3"/>
      <c r="E152" s="3"/>
      <c r="F152" s="3"/>
      <c r="G152" s="4">
        <v>10.0</v>
      </c>
      <c r="H152" s="3"/>
      <c r="I152" s="3"/>
    </row>
    <row r="153">
      <c r="A153" s="4" t="s">
        <v>4685</v>
      </c>
      <c r="B153" s="13" t="s">
        <v>48</v>
      </c>
      <c r="C153" s="4">
        <v>1.0</v>
      </c>
      <c r="D153" s="3"/>
      <c r="E153" s="3"/>
      <c r="F153" s="3"/>
      <c r="G153" s="4">
        <v>10.0</v>
      </c>
      <c r="H153" s="3"/>
      <c r="I153" s="3"/>
    </row>
    <row r="154">
      <c r="A154" s="4" t="s">
        <v>4686</v>
      </c>
      <c r="B154" s="13" t="s">
        <v>48</v>
      </c>
      <c r="C154" s="4">
        <v>1.0</v>
      </c>
      <c r="D154" s="3"/>
      <c r="E154" s="3"/>
      <c r="F154" s="3"/>
      <c r="G154" s="4">
        <v>10.0</v>
      </c>
      <c r="H154" s="3"/>
      <c r="I154" s="3"/>
      <c r="J154" s="4" t="s">
        <v>1757</v>
      </c>
    </row>
    <row r="155">
      <c r="A155" s="4" t="s">
        <v>4687</v>
      </c>
      <c r="B155" s="13" t="s">
        <v>48</v>
      </c>
      <c r="C155" s="4">
        <v>2.0</v>
      </c>
      <c r="D155" s="3"/>
      <c r="E155" s="3"/>
      <c r="F155" s="4">
        <v>9.0</v>
      </c>
      <c r="G155" s="4">
        <v>10.0</v>
      </c>
      <c r="H155" s="3"/>
      <c r="I155" s="3"/>
      <c r="J155" s="4" t="s">
        <v>1757</v>
      </c>
    </row>
    <row r="156">
      <c r="A156" s="4" t="s">
        <v>4688</v>
      </c>
      <c r="B156" s="13" t="s">
        <v>48</v>
      </c>
      <c r="C156" s="4">
        <v>2.0</v>
      </c>
      <c r="D156" s="3"/>
      <c r="E156" s="3"/>
      <c r="F156" s="4">
        <v>9.0</v>
      </c>
      <c r="G156" s="4">
        <v>10.0</v>
      </c>
      <c r="H156" s="3"/>
      <c r="I156" s="3"/>
      <c r="J156" s="4" t="s">
        <v>1757</v>
      </c>
    </row>
    <row r="157">
      <c r="A157" s="4" t="s">
        <v>4689</v>
      </c>
      <c r="B157" s="13" t="s">
        <v>48</v>
      </c>
      <c r="C157" s="4">
        <v>2.0</v>
      </c>
      <c r="D157" s="3"/>
      <c r="E157" s="3"/>
      <c r="F157" s="4">
        <v>9.0</v>
      </c>
      <c r="G157" s="4">
        <v>10.0</v>
      </c>
      <c r="H157" s="3"/>
      <c r="I157" s="3"/>
      <c r="J157" s="4" t="s">
        <v>1757</v>
      </c>
    </row>
    <row r="158">
      <c r="A158" s="4" t="s">
        <v>4690</v>
      </c>
      <c r="B158" s="13" t="s">
        <v>48</v>
      </c>
      <c r="C158" s="4">
        <v>2.0</v>
      </c>
      <c r="D158" s="3"/>
      <c r="E158" s="3"/>
      <c r="F158" s="4">
        <v>9.0</v>
      </c>
      <c r="G158" s="4">
        <v>10.0</v>
      </c>
      <c r="H158" s="3"/>
      <c r="I158" s="3"/>
      <c r="J158" s="4" t="s">
        <v>1757</v>
      </c>
    </row>
    <row r="159">
      <c r="A159" s="4" t="s">
        <v>4691</v>
      </c>
      <c r="B159" s="13" t="s">
        <v>48</v>
      </c>
      <c r="C159" s="4">
        <v>2.0</v>
      </c>
      <c r="D159" s="3"/>
      <c r="E159" s="3"/>
      <c r="F159" s="4">
        <v>9.0</v>
      </c>
      <c r="G159" s="4">
        <v>10.0</v>
      </c>
      <c r="H159" s="3"/>
      <c r="I159" s="3"/>
      <c r="J159" s="4" t="s">
        <v>1757</v>
      </c>
    </row>
    <row r="160">
      <c r="A160" s="4" t="s">
        <v>4692</v>
      </c>
      <c r="B160" s="13" t="s">
        <v>48</v>
      </c>
      <c r="C160" s="4">
        <v>1.0</v>
      </c>
      <c r="D160" s="3"/>
      <c r="E160" s="3"/>
      <c r="F160" s="4">
        <v>9.0</v>
      </c>
      <c r="G160" s="3"/>
      <c r="H160" s="3"/>
      <c r="I160" s="3"/>
      <c r="J160" s="4" t="s">
        <v>1757</v>
      </c>
    </row>
    <row r="161">
      <c r="A161" s="4" t="s">
        <v>4693</v>
      </c>
      <c r="B161" s="13" t="s">
        <v>43</v>
      </c>
      <c r="D161" s="3"/>
      <c r="E161" s="3"/>
      <c r="F161" s="3"/>
      <c r="G161" s="3"/>
      <c r="H161" s="3"/>
      <c r="I161" s="3"/>
      <c r="J161" s="4" t="s">
        <v>1757</v>
      </c>
    </row>
    <row r="162">
      <c r="A162" s="4" t="s">
        <v>4694</v>
      </c>
      <c r="B162" s="13" t="s">
        <v>43</v>
      </c>
      <c r="D162" s="3"/>
      <c r="E162" s="3"/>
      <c r="F162" s="3"/>
      <c r="G162" s="3"/>
      <c r="H162" s="3"/>
      <c r="I162" s="3"/>
      <c r="J162" s="4" t="s">
        <v>1757</v>
      </c>
    </row>
    <row r="163">
      <c r="A163" s="4" t="s">
        <v>4695</v>
      </c>
      <c r="B163" s="13" t="s">
        <v>48</v>
      </c>
      <c r="C163" s="4">
        <v>1.0</v>
      </c>
      <c r="D163" s="3"/>
      <c r="E163" s="3"/>
      <c r="F163" s="4">
        <v>9.0</v>
      </c>
      <c r="G163" s="3"/>
      <c r="H163" s="3"/>
      <c r="I163" s="3"/>
      <c r="J163" s="4" t="s">
        <v>1757</v>
      </c>
    </row>
    <row r="164">
      <c r="A164" s="4" t="s">
        <v>4696</v>
      </c>
      <c r="B164" s="13" t="s">
        <v>48</v>
      </c>
      <c r="C164" s="4">
        <v>2.0</v>
      </c>
      <c r="D164" s="3"/>
      <c r="E164" s="3"/>
      <c r="F164" s="4">
        <v>9.0</v>
      </c>
      <c r="G164" s="3"/>
      <c r="H164" s="3"/>
      <c r="I164" s="4">
        <v>15.0</v>
      </c>
      <c r="J164" s="4" t="s">
        <v>1757</v>
      </c>
    </row>
    <row r="165">
      <c r="A165" s="4" t="s">
        <v>4697</v>
      </c>
      <c r="B165" s="13" t="s">
        <v>48</v>
      </c>
      <c r="C165" s="4">
        <v>2.0</v>
      </c>
      <c r="D165" s="3"/>
      <c r="E165" s="3"/>
      <c r="F165" s="4">
        <v>9.0</v>
      </c>
      <c r="G165" s="3"/>
      <c r="H165" s="3"/>
      <c r="I165" s="4">
        <v>15.0</v>
      </c>
      <c r="J165" s="4" t="s">
        <v>1757</v>
      </c>
    </row>
    <row r="166">
      <c r="A166" s="4" t="s">
        <v>4698</v>
      </c>
      <c r="B166" s="13" t="s">
        <v>48</v>
      </c>
      <c r="C166" s="4">
        <v>3.0</v>
      </c>
      <c r="D166" s="3"/>
      <c r="E166" s="3"/>
      <c r="F166" s="4">
        <v>9.0</v>
      </c>
      <c r="G166" s="4">
        <v>10.0</v>
      </c>
      <c r="H166" s="3"/>
      <c r="I166" s="4">
        <v>15.0</v>
      </c>
      <c r="J166" s="4" t="s">
        <v>1757</v>
      </c>
    </row>
    <row r="167">
      <c r="A167" s="4" t="s">
        <v>4699</v>
      </c>
      <c r="B167" s="13" t="s">
        <v>48</v>
      </c>
      <c r="C167" s="4">
        <v>3.0</v>
      </c>
      <c r="D167" s="3"/>
      <c r="E167" s="3"/>
      <c r="F167" s="4">
        <v>9.0</v>
      </c>
      <c r="G167" s="4">
        <v>10.0</v>
      </c>
      <c r="H167" s="3"/>
      <c r="I167" s="4">
        <v>15.0</v>
      </c>
      <c r="J167" s="4" t="s">
        <v>1757</v>
      </c>
    </row>
    <row r="168">
      <c r="A168" s="4" t="s">
        <v>4700</v>
      </c>
      <c r="B168" s="13" t="s">
        <v>48</v>
      </c>
      <c r="C168" s="4">
        <v>3.0</v>
      </c>
      <c r="D168" s="3"/>
      <c r="E168" s="3"/>
      <c r="F168" s="4">
        <v>9.0</v>
      </c>
      <c r="G168" s="4">
        <v>10.0</v>
      </c>
      <c r="H168" s="3"/>
      <c r="I168" s="4">
        <v>15.0</v>
      </c>
      <c r="J168" s="4" t="s">
        <v>1757</v>
      </c>
    </row>
    <row r="169">
      <c r="A169" s="4" t="s">
        <v>4701</v>
      </c>
      <c r="B169" s="13" t="s">
        <v>48</v>
      </c>
      <c r="C169" s="4">
        <v>2.0</v>
      </c>
      <c r="D169" s="3"/>
      <c r="E169" s="3"/>
      <c r="F169" s="4">
        <v>9.0</v>
      </c>
      <c r="G169" s="4">
        <v>10.0</v>
      </c>
      <c r="H169" s="3"/>
      <c r="I169" s="3"/>
      <c r="J169" s="4" t="s">
        <v>1757</v>
      </c>
    </row>
    <row r="170">
      <c r="A170" s="4" t="s">
        <v>4702</v>
      </c>
      <c r="B170" s="13" t="s">
        <v>48</v>
      </c>
      <c r="C170" s="4">
        <v>2.0</v>
      </c>
      <c r="D170" s="3"/>
      <c r="E170" s="3"/>
      <c r="F170" s="4">
        <v>9.0</v>
      </c>
      <c r="G170" s="4">
        <v>10.0</v>
      </c>
      <c r="H170" s="3"/>
      <c r="I170" s="3"/>
      <c r="J170" s="4" t="s">
        <v>1757</v>
      </c>
    </row>
    <row r="171">
      <c r="A171" s="4" t="s">
        <v>4703</v>
      </c>
      <c r="B171" s="13" t="s">
        <v>48</v>
      </c>
      <c r="C171" s="4">
        <v>2.0</v>
      </c>
      <c r="D171" s="3"/>
      <c r="E171" s="3"/>
      <c r="F171" s="4">
        <v>9.0</v>
      </c>
      <c r="G171" s="4">
        <v>10.0</v>
      </c>
      <c r="H171" s="3"/>
      <c r="I171" s="3"/>
      <c r="J171" s="4" t="s">
        <v>1757</v>
      </c>
    </row>
    <row r="172">
      <c r="A172" s="4" t="s">
        <v>4704</v>
      </c>
      <c r="B172" s="13" t="s">
        <v>48</v>
      </c>
      <c r="C172" s="4">
        <v>2.0</v>
      </c>
      <c r="D172" s="3"/>
      <c r="E172" s="3"/>
      <c r="F172" s="4">
        <v>9.0</v>
      </c>
      <c r="G172" s="4">
        <v>10.0</v>
      </c>
      <c r="H172" s="3"/>
      <c r="I172" s="3"/>
      <c r="J172" s="4" t="s">
        <v>1757</v>
      </c>
    </row>
    <row r="173">
      <c r="A173" s="4" t="s">
        <v>4705</v>
      </c>
      <c r="B173" s="13" t="s">
        <v>48</v>
      </c>
      <c r="C173" s="4">
        <v>2.0</v>
      </c>
      <c r="D173" s="3"/>
      <c r="E173" s="3"/>
      <c r="F173" s="4">
        <v>9.0</v>
      </c>
      <c r="G173" s="4">
        <v>10.0</v>
      </c>
      <c r="H173" s="3"/>
      <c r="I173" s="3"/>
      <c r="J173" s="4" t="s">
        <v>1757</v>
      </c>
    </row>
    <row r="174">
      <c r="A174" s="4" t="s">
        <v>4706</v>
      </c>
      <c r="B174" s="13" t="s">
        <v>48</v>
      </c>
      <c r="C174" s="4">
        <v>2.0</v>
      </c>
      <c r="D174" s="3"/>
      <c r="E174" s="3"/>
      <c r="F174" s="4">
        <v>9.0</v>
      </c>
      <c r="G174" s="4">
        <v>10.0</v>
      </c>
      <c r="H174" s="3"/>
      <c r="I174" s="3"/>
      <c r="J174" s="4" t="s">
        <v>1757</v>
      </c>
    </row>
    <row r="175">
      <c r="A175" s="4" t="s">
        <v>4707</v>
      </c>
      <c r="B175" s="13" t="s">
        <v>48</v>
      </c>
      <c r="C175" s="4">
        <v>2.0</v>
      </c>
      <c r="D175" s="3"/>
      <c r="E175" s="3"/>
      <c r="F175" s="4">
        <v>9.0</v>
      </c>
      <c r="G175" s="4">
        <v>10.0</v>
      </c>
      <c r="H175" s="3"/>
      <c r="I175" s="3"/>
      <c r="J175" s="4" t="s">
        <v>1757</v>
      </c>
    </row>
    <row r="176">
      <c r="A176" s="4" t="s">
        <v>4708</v>
      </c>
      <c r="B176" s="13" t="s">
        <v>48</v>
      </c>
      <c r="C176" s="4">
        <v>2.0</v>
      </c>
      <c r="D176" s="3"/>
      <c r="E176" s="3"/>
      <c r="F176" s="4">
        <v>9.0</v>
      </c>
      <c r="G176" s="4">
        <v>10.0</v>
      </c>
      <c r="H176" s="3"/>
      <c r="I176" s="3"/>
      <c r="J176" s="4" t="s">
        <v>1757</v>
      </c>
    </row>
    <row r="177">
      <c r="A177" s="4" t="s">
        <v>4709</v>
      </c>
      <c r="B177" s="13" t="s">
        <v>48</v>
      </c>
      <c r="C177" s="4">
        <v>2.0</v>
      </c>
      <c r="D177" s="3"/>
      <c r="E177" s="3"/>
      <c r="F177" s="4">
        <v>9.0</v>
      </c>
      <c r="G177" s="4">
        <v>10.0</v>
      </c>
      <c r="H177" s="3"/>
      <c r="I177" s="3"/>
      <c r="J177" s="4" t="s">
        <v>1757</v>
      </c>
    </row>
    <row r="178">
      <c r="A178" s="4" t="s">
        <v>4710</v>
      </c>
      <c r="B178" s="13" t="s">
        <v>48</v>
      </c>
      <c r="C178" s="4">
        <v>2.0</v>
      </c>
      <c r="D178" s="3"/>
      <c r="E178" s="3"/>
      <c r="F178" s="4">
        <v>9.0</v>
      </c>
      <c r="G178" s="4">
        <v>10.0</v>
      </c>
      <c r="H178" s="3"/>
      <c r="I178" s="3"/>
      <c r="J178" s="4" t="s">
        <v>1757</v>
      </c>
    </row>
    <row r="179">
      <c r="A179" s="4" t="s">
        <v>4711</v>
      </c>
      <c r="B179" s="13" t="s">
        <v>48</v>
      </c>
      <c r="C179" s="4">
        <v>2.0</v>
      </c>
      <c r="D179" s="3"/>
      <c r="E179" s="3"/>
      <c r="F179" s="4">
        <v>9.0</v>
      </c>
      <c r="G179" s="4">
        <v>10.0</v>
      </c>
      <c r="H179" s="3"/>
      <c r="I179" s="3"/>
      <c r="J179" s="4" t="s">
        <v>1757</v>
      </c>
    </row>
    <row r="180">
      <c r="A180" s="4" t="s">
        <v>4712</v>
      </c>
      <c r="B180" s="13" t="s">
        <v>48</v>
      </c>
      <c r="C180" s="4">
        <v>2.0</v>
      </c>
      <c r="D180" s="3"/>
      <c r="E180" s="3"/>
      <c r="F180" s="4">
        <v>9.0</v>
      </c>
      <c r="G180" s="4">
        <v>10.0</v>
      </c>
      <c r="H180" s="3"/>
      <c r="I180" s="3"/>
      <c r="J180" s="4" t="s">
        <v>1757</v>
      </c>
    </row>
    <row r="181">
      <c r="A181" s="4" t="s">
        <v>4713</v>
      </c>
      <c r="B181" s="13" t="s">
        <v>48</v>
      </c>
      <c r="C181" s="4">
        <v>1.0</v>
      </c>
      <c r="D181" s="3"/>
      <c r="E181" s="3"/>
      <c r="F181" s="3"/>
      <c r="G181" s="4">
        <v>10.0</v>
      </c>
      <c r="H181" s="3"/>
      <c r="I181" s="3"/>
      <c r="J181" s="4" t="s">
        <v>1757</v>
      </c>
    </row>
    <row r="182">
      <c r="A182" s="4" t="s">
        <v>4714</v>
      </c>
      <c r="B182" s="13" t="s">
        <v>48</v>
      </c>
      <c r="C182" s="4">
        <v>2.0</v>
      </c>
      <c r="D182" s="3"/>
      <c r="E182" s="3"/>
      <c r="F182" s="4">
        <v>9.0</v>
      </c>
      <c r="G182" s="4">
        <v>10.0</v>
      </c>
      <c r="H182" s="3"/>
      <c r="I182" s="3"/>
      <c r="J182" s="4" t="s">
        <v>1757</v>
      </c>
    </row>
    <row r="183">
      <c r="A183" s="4" t="s">
        <v>4715</v>
      </c>
      <c r="B183" s="13" t="s">
        <v>48</v>
      </c>
      <c r="C183" s="4">
        <v>1.0</v>
      </c>
      <c r="D183" s="3"/>
      <c r="E183" s="3"/>
      <c r="F183" s="3"/>
      <c r="G183" s="4">
        <v>10.0</v>
      </c>
      <c r="H183" s="3"/>
      <c r="I183" s="3"/>
      <c r="J183" s="4" t="s">
        <v>1757</v>
      </c>
    </row>
    <row r="184">
      <c r="A184" s="4" t="s">
        <v>4716</v>
      </c>
      <c r="B184" s="13" t="s">
        <v>48</v>
      </c>
      <c r="C184" s="4">
        <v>1.0</v>
      </c>
      <c r="D184" s="3"/>
      <c r="E184" s="3"/>
      <c r="F184" s="3"/>
      <c r="G184" s="4">
        <v>10.0</v>
      </c>
      <c r="H184" s="3"/>
      <c r="I184" s="3"/>
      <c r="J184" s="4" t="s">
        <v>1757</v>
      </c>
    </row>
    <row r="185">
      <c r="A185" s="4" t="s">
        <v>4717</v>
      </c>
      <c r="B185" s="13" t="s">
        <v>48</v>
      </c>
      <c r="C185" s="4">
        <v>1.0</v>
      </c>
      <c r="D185" s="3"/>
      <c r="E185" s="3"/>
      <c r="F185" s="3"/>
      <c r="G185" s="4">
        <v>10.0</v>
      </c>
      <c r="H185" s="3"/>
      <c r="I185" s="3"/>
      <c r="J185" s="4" t="s">
        <v>1757</v>
      </c>
    </row>
    <row r="186">
      <c r="A186" s="4" t="s">
        <v>4718</v>
      </c>
      <c r="B186" s="13" t="s">
        <v>48</v>
      </c>
      <c r="C186" s="4">
        <v>1.0</v>
      </c>
      <c r="D186" s="3"/>
      <c r="E186" s="3"/>
      <c r="F186" s="3"/>
      <c r="G186" s="4">
        <v>10.0</v>
      </c>
      <c r="H186" s="3"/>
      <c r="I186" s="3"/>
      <c r="J186" s="4" t="s">
        <v>1757</v>
      </c>
    </row>
    <row r="187">
      <c r="A187" s="4" t="s">
        <v>4719</v>
      </c>
      <c r="B187" s="13" t="s">
        <v>48</v>
      </c>
      <c r="C187" s="4">
        <v>1.0</v>
      </c>
      <c r="D187" s="3"/>
      <c r="E187" s="3"/>
      <c r="F187" s="3"/>
      <c r="G187" s="4">
        <v>10.0</v>
      </c>
      <c r="H187" s="3"/>
      <c r="I187" s="3"/>
      <c r="J187" s="4" t="s">
        <v>1757</v>
      </c>
    </row>
    <row r="188">
      <c r="A188" s="4" t="s">
        <v>4720</v>
      </c>
      <c r="B188" s="13" t="s">
        <v>48</v>
      </c>
      <c r="C188" s="4">
        <v>2.0</v>
      </c>
      <c r="D188" s="3"/>
      <c r="E188" s="3"/>
      <c r="F188" s="4">
        <v>9.0</v>
      </c>
      <c r="G188" s="4">
        <v>10.0</v>
      </c>
      <c r="H188" s="3"/>
      <c r="I188" s="3"/>
      <c r="J188" s="4" t="s">
        <v>1757</v>
      </c>
    </row>
    <row r="189">
      <c r="A189" s="4" t="s">
        <v>4721</v>
      </c>
      <c r="B189" s="13" t="s">
        <v>48</v>
      </c>
      <c r="C189" s="4">
        <v>2.0</v>
      </c>
      <c r="D189" s="3"/>
      <c r="E189" s="3"/>
      <c r="F189" s="4">
        <v>9.0</v>
      </c>
      <c r="G189" s="4">
        <v>10.0</v>
      </c>
      <c r="H189" s="3"/>
      <c r="I189" s="3"/>
      <c r="J189" s="4" t="s">
        <v>1757</v>
      </c>
    </row>
    <row r="190">
      <c r="A190" s="4" t="s">
        <v>4722</v>
      </c>
      <c r="B190" s="13" t="s">
        <v>48</v>
      </c>
      <c r="C190" s="4">
        <v>2.0</v>
      </c>
      <c r="D190" s="3"/>
      <c r="E190" s="3"/>
      <c r="F190" s="4">
        <v>9.0</v>
      </c>
      <c r="G190" s="4">
        <v>10.0</v>
      </c>
      <c r="H190" s="3"/>
      <c r="I190" s="3"/>
      <c r="J190" s="4" t="s">
        <v>1757</v>
      </c>
    </row>
    <row r="191">
      <c r="A191" s="4" t="s">
        <v>4723</v>
      </c>
      <c r="B191" s="13" t="s">
        <v>48</v>
      </c>
      <c r="C191" s="4">
        <v>2.0</v>
      </c>
      <c r="D191" s="3"/>
      <c r="E191" s="3"/>
      <c r="F191" s="4">
        <v>9.0</v>
      </c>
      <c r="G191" s="4">
        <v>10.0</v>
      </c>
      <c r="H191" s="3"/>
      <c r="I191" s="3"/>
      <c r="J191" s="4" t="s">
        <v>1757</v>
      </c>
    </row>
    <row r="192">
      <c r="A192" s="4" t="s">
        <v>4724</v>
      </c>
      <c r="B192" s="13" t="s">
        <v>48</v>
      </c>
      <c r="C192" s="4">
        <v>2.0</v>
      </c>
      <c r="D192" s="3"/>
      <c r="E192" s="3"/>
      <c r="F192" s="4">
        <v>9.0</v>
      </c>
      <c r="G192" s="4">
        <v>10.0</v>
      </c>
      <c r="H192" s="3"/>
      <c r="I192" s="3"/>
      <c r="J192" s="4" t="s">
        <v>1757</v>
      </c>
    </row>
    <row r="193">
      <c r="A193" s="4" t="s">
        <v>4725</v>
      </c>
      <c r="B193" s="13" t="s">
        <v>48</v>
      </c>
      <c r="C193" s="4">
        <v>2.0</v>
      </c>
      <c r="D193" s="3"/>
      <c r="E193" s="3"/>
      <c r="F193" s="4">
        <v>9.0</v>
      </c>
      <c r="G193" s="4">
        <v>10.0</v>
      </c>
      <c r="H193" s="3"/>
      <c r="I193" s="3"/>
      <c r="J193" s="4" t="s">
        <v>1757</v>
      </c>
      <c r="K193" s="4" t="s">
        <v>1757</v>
      </c>
    </row>
    <row r="194">
      <c r="A194" s="4" t="s">
        <v>4726</v>
      </c>
      <c r="B194" s="13" t="s">
        <v>48</v>
      </c>
      <c r="C194" s="4">
        <v>2.0</v>
      </c>
      <c r="D194" s="3"/>
      <c r="E194" s="3"/>
      <c r="F194" s="4">
        <v>9.0</v>
      </c>
      <c r="G194" s="4">
        <v>10.0</v>
      </c>
      <c r="H194" s="3"/>
      <c r="I194" s="3"/>
      <c r="J194" s="4" t="s">
        <v>1757</v>
      </c>
      <c r="K194" s="4" t="s">
        <v>1757</v>
      </c>
    </row>
    <row r="195">
      <c r="A195" s="4" t="s">
        <v>4727</v>
      </c>
      <c r="B195" s="13" t="s">
        <v>48</v>
      </c>
      <c r="C195" s="4">
        <v>2.0</v>
      </c>
      <c r="D195" s="3"/>
      <c r="E195" s="3"/>
      <c r="F195" s="4">
        <v>9.0</v>
      </c>
      <c r="G195" s="4">
        <v>10.0</v>
      </c>
      <c r="H195" s="3"/>
      <c r="I195" s="3"/>
      <c r="J195" s="4" t="s">
        <v>1757</v>
      </c>
      <c r="K195" s="4" t="s">
        <v>1757</v>
      </c>
    </row>
    <row r="196">
      <c r="A196" s="4" t="s">
        <v>4728</v>
      </c>
      <c r="B196" s="13" t="s">
        <v>48</v>
      </c>
      <c r="C196" s="4">
        <v>2.0</v>
      </c>
      <c r="D196" s="3"/>
      <c r="E196" s="3"/>
      <c r="F196" s="4">
        <v>9.0</v>
      </c>
      <c r="G196" s="4">
        <v>10.0</v>
      </c>
      <c r="H196" s="3"/>
      <c r="I196" s="3"/>
      <c r="J196" s="4" t="s">
        <v>1757</v>
      </c>
      <c r="K196" s="4" t="s">
        <v>1757</v>
      </c>
    </row>
    <row r="197">
      <c r="A197" s="4" t="s">
        <v>4729</v>
      </c>
      <c r="B197" s="13" t="s">
        <v>48</v>
      </c>
      <c r="C197" s="4">
        <v>1.0</v>
      </c>
      <c r="D197" s="3"/>
      <c r="E197" s="3"/>
      <c r="F197" s="4">
        <v>9.0</v>
      </c>
      <c r="G197" s="3"/>
      <c r="H197" s="3"/>
      <c r="I197" s="3"/>
      <c r="J197" s="4" t="s">
        <v>1757</v>
      </c>
      <c r="K197" s="4" t="s">
        <v>1757</v>
      </c>
    </row>
    <row r="198">
      <c r="A198" s="4" t="s">
        <v>4730</v>
      </c>
      <c r="B198" s="13" t="s">
        <v>48</v>
      </c>
      <c r="C198" s="4">
        <v>1.0</v>
      </c>
      <c r="D198" s="3"/>
      <c r="E198" s="3"/>
      <c r="F198" s="4">
        <v>9.0</v>
      </c>
      <c r="G198" s="3"/>
      <c r="H198" s="3"/>
      <c r="I198" s="3"/>
      <c r="J198" s="4" t="s">
        <v>1757</v>
      </c>
      <c r="K198" s="4" t="s">
        <v>1757</v>
      </c>
    </row>
    <row r="199">
      <c r="A199" s="4" t="s">
        <v>4731</v>
      </c>
      <c r="B199" s="13" t="s">
        <v>48</v>
      </c>
      <c r="C199" s="4">
        <v>1.0</v>
      </c>
      <c r="D199" s="3"/>
      <c r="E199" s="3"/>
      <c r="F199" s="4">
        <v>9.0</v>
      </c>
      <c r="G199" s="3"/>
      <c r="H199" s="3"/>
      <c r="I199" s="3"/>
      <c r="J199" s="4" t="s">
        <v>1757</v>
      </c>
      <c r="K199" s="4" t="s">
        <v>1757</v>
      </c>
    </row>
    <row r="200">
      <c r="A200" s="4" t="s">
        <v>4732</v>
      </c>
      <c r="B200" s="13" t="s">
        <v>48</v>
      </c>
      <c r="C200" s="4">
        <v>2.0</v>
      </c>
      <c r="D200" s="3"/>
      <c r="E200" s="3"/>
      <c r="F200" s="4">
        <v>9.0</v>
      </c>
      <c r="G200" s="3"/>
      <c r="H200" s="4">
        <v>13.0</v>
      </c>
      <c r="I200" s="3"/>
      <c r="J200" s="4" t="s">
        <v>1757</v>
      </c>
      <c r="K200" s="4" t="s">
        <v>1757</v>
      </c>
    </row>
    <row r="201">
      <c r="A201" s="4" t="s">
        <v>4733</v>
      </c>
      <c r="B201" s="13" t="s">
        <v>48</v>
      </c>
      <c r="C201" s="4">
        <v>1.0</v>
      </c>
      <c r="D201" s="3"/>
      <c r="E201" s="3"/>
      <c r="F201" s="4">
        <v>9.0</v>
      </c>
      <c r="G201" s="3"/>
      <c r="H201" s="3"/>
      <c r="I201" s="3"/>
      <c r="J201" s="4" t="s">
        <v>1757</v>
      </c>
      <c r="K201" s="4" t="s">
        <v>1757</v>
      </c>
    </row>
    <row r="202">
      <c r="A202" s="4" t="s">
        <v>4734</v>
      </c>
      <c r="B202" s="13" t="s">
        <v>48</v>
      </c>
      <c r="C202" s="4">
        <v>1.0</v>
      </c>
      <c r="D202" s="3"/>
      <c r="E202" s="3"/>
      <c r="F202" s="4">
        <v>9.0</v>
      </c>
      <c r="G202" s="3"/>
      <c r="H202" s="3"/>
      <c r="I202" s="3"/>
      <c r="J202" s="4" t="s">
        <v>1757</v>
      </c>
      <c r="K202" s="4" t="s">
        <v>1757</v>
      </c>
    </row>
    <row r="203">
      <c r="A203" s="4" t="s">
        <v>4735</v>
      </c>
      <c r="B203" s="13" t="s">
        <v>48</v>
      </c>
      <c r="C203" s="4">
        <v>2.0</v>
      </c>
      <c r="D203" s="3"/>
      <c r="E203" s="3"/>
      <c r="F203" s="4">
        <v>9.0</v>
      </c>
      <c r="G203" s="3"/>
      <c r="H203" s="4">
        <v>13.0</v>
      </c>
      <c r="I203" s="3"/>
      <c r="J203" s="4" t="s">
        <v>1757</v>
      </c>
      <c r="K203" s="4" t="s">
        <v>1757</v>
      </c>
    </row>
    <row r="204">
      <c r="A204" s="4" t="s">
        <v>4736</v>
      </c>
      <c r="B204" s="13" t="s">
        <v>48</v>
      </c>
      <c r="C204" s="4">
        <v>1.0</v>
      </c>
      <c r="D204" s="3"/>
      <c r="E204" s="3"/>
      <c r="F204" s="4">
        <v>9.0</v>
      </c>
      <c r="G204" s="3"/>
      <c r="H204" s="3"/>
      <c r="I204" s="3"/>
      <c r="J204" s="4" t="s">
        <v>1757</v>
      </c>
      <c r="K204" s="4" t="s">
        <v>1757</v>
      </c>
    </row>
    <row r="205">
      <c r="A205" s="4" t="s">
        <v>4737</v>
      </c>
      <c r="B205" s="13" t="s">
        <v>48</v>
      </c>
      <c r="C205" s="4">
        <v>1.0</v>
      </c>
      <c r="D205" s="3"/>
      <c r="E205" s="3"/>
      <c r="F205" s="4">
        <v>9.0</v>
      </c>
      <c r="G205" s="3"/>
      <c r="H205" s="3"/>
      <c r="I205" s="3"/>
      <c r="J205" s="4" t="s">
        <v>1757</v>
      </c>
      <c r="K205" s="4" t="s">
        <v>1757</v>
      </c>
    </row>
    <row r="206">
      <c r="A206" s="4" t="s">
        <v>4738</v>
      </c>
      <c r="B206" s="13" t="s">
        <v>48</v>
      </c>
      <c r="C206" s="4">
        <v>1.0</v>
      </c>
      <c r="D206" s="3"/>
      <c r="E206" s="3"/>
      <c r="F206" s="4">
        <v>9.0</v>
      </c>
      <c r="G206" s="3"/>
      <c r="H206" s="3"/>
      <c r="I206" s="3"/>
      <c r="J206" s="4" t="s">
        <v>1757</v>
      </c>
      <c r="K206" s="4" t="s">
        <v>1757</v>
      </c>
    </row>
    <row r="207">
      <c r="A207" s="4" t="s">
        <v>4739</v>
      </c>
      <c r="B207" s="13" t="s">
        <v>48</v>
      </c>
      <c r="C207" s="4">
        <v>2.0</v>
      </c>
      <c r="D207" s="3"/>
      <c r="E207" s="3"/>
      <c r="F207" s="3"/>
      <c r="G207" s="3"/>
      <c r="H207" s="4">
        <v>13.0</v>
      </c>
      <c r="I207" s="4">
        <v>15.0</v>
      </c>
      <c r="J207" s="4" t="s">
        <v>1757</v>
      </c>
      <c r="K207" s="4" t="s">
        <v>1757</v>
      </c>
    </row>
    <row r="208">
      <c r="A208" s="4" t="s">
        <v>4740</v>
      </c>
      <c r="B208" s="13" t="s">
        <v>48</v>
      </c>
      <c r="C208" s="4">
        <v>3.0</v>
      </c>
      <c r="D208" s="3"/>
      <c r="E208" s="3"/>
      <c r="F208" s="4">
        <v>9.0</v>
      </c>
      <c r="G208" s="3"/>
      <c r="H208" s="4">
        <v>13.0</v>
      </c>
      <c r="I208" s="4">
        <v>15.0</v>
      </c>
      <c r="J208" s="4" t="s">
        <v>1757</v>
      </c>
      <c r="K208" s="4" t="s">
        <v>1757</v>
      </c>
    </row>
    <row r="209">
      <c r="A209" s="4" t="s">
        <v>4741</v>
      </c>
      <c r="B209" s="13" t="s">
        <v>48</v>
      </c>
      <c r="C209" s="4">
        <v>3.0</v>
      </c>
      <c r="D209" s="3"/>
      <c r="E209" s="3"/>
      <c r="F209" s="4">
        <v>9.0</v>
      </c>
      <c r="G209" s="3"/>
      <c r="H209" s="4">
        <v>13.0</v>
      </c>
      <c r="I209" s="4">
        <v>15.0</v>
      </c>
      <c r="J209" s="4" t="s">
        <v>1757</v>
      </c>
      <c r="K209" s="4" t="s">
        <v>1757</v>
      </c>
    </row>
    <row r="210">
      <c r="A210" s="4" t="s">
        <v>4742</v>
      </c>
      <c r="B210" s="13" t="s">
        <v>48</v>
      </c>
      <c r="C210" s="4">
        <v>3.0</v>
      </c>
      <c r="D210" s="3"/>
      <c r="E210" s="3"/>
      <c r="F210" s="4">
        <v>9.0</v>
      </c>
      <c r="G210" s="3"/>
      <c r="H210" s="4">
        <v>13.0</v>
      </c>
      <c r="I210" s="4">
        <v>15.0</v>
      </c>
      <c r="J210" s="4" t="s">
        <v>1757</v>
      </c>
      <c r="K210" s="4" t="s">
        <v>1757</v>
      </c>
    </row>
    <row r="211">
      <c r="A211" s="4" t="s">
        <v>4743</v>
      </c>
      <c r="B211" s="13" t="s">
        <v>48</v>
      </c>
      <c r="C211" s="4">
        <v>3.0</v>
      </c>
      <c r="D211" s="3"/>
      <c r="E211" s="3"/>
      <c r="F211" s="4">
        <v>9.0</v>
      </c>
      <c r="G211" s="3"/>
      <c r="H211" s="4">
        <v>13.0</v>
      </c>
      <c r="I211" s="4">
        <v>15.0</v>
      </c>
      <c r="J211" s="4" t="s">
        <v>1757</v>
      </c>
      <c r="K211" s="4" t="s">
        <v>1757</v>
      </c>
    </row>
    <row r="212">
      <c r="A212" s="4" t="s">
        <v>4744</v>
      </c>
      <c r="B212" s="13" t="s">
        <v>48</v>
      </c>
      <c r="C212" s="4">
        <v>3.0</v>
      </c>
      <c r="D212" s="3"/>
      <c r="E212" s="3"/>
      <c r="F212" s="4">
        <v>9.0</v>
      </c>
      <c r="G212" s="3"/>
      <c r="H212" s="4">
        <v>13.0</v>
      </c>
      <c r="I212" s="4">
        <v>15.0</v>
      </c>
      <c r="J212" s="4" t="s">
        <v>1757</v>
      </c>
      <c r="K212" s="4" t="s">
        <v>1757</v>
      </c>
    </row>
    <row r="213">
      <c r="A213" s="4" t="s">
        <v>4745</v>
      </c>
      <c r="B213" s="13" t="s">
        <v>48</v>
      </c>
      <c r="C213" s="4">
        <v>3.0</v>
      </c>
      <c r="D213" s="3"/>
      <c r="E213" s="3"/>
      <c r="F213" s="4">
        <v>9.0</v>
      </c>
      <c r="G213" s="3"/>
      <c r="H213" s="4">
        <v>13.0</v>
      </c>
      <c r="I213" s="4">
        <v>15.0</v>
      </c>
      <c r="J213" s="4" t="s">
        <v>1757</v>
      </c>
      <c r="K213" s="4" t="s">
        <v>1757</v>
      </c>
    </row>
    <row r="214">
      <c r="A214" s="4" t="s">
        <v>4746</v>
      </c>
      <c r="B214" s="13" t="s">
        <v>48</v>
      </c>
      <c r="C214" s="4">
        <v>3.0</v>
      </c>
      <c r="D214" s="3"/>
      <c r="E214" s="3"/>
      <c r="F214" s="4">
        <v>9.0</v>
      </c>
      <c r="G214" s="3"/>
      <c r="H214" s="4">
        <v>13.0</v>
      </c>
      <c r="I214" s="4">
        <v>15.0</v>
      </c>
      <c r="J214" s="4" t="s">
        <v>1757</v>
      </c>
      <c r="K214" s="4" t="s">
        <v>1757</v>
      </c>
    </row>
    <row r="215">
      <c r="A215" s="4" t="s">
        <v>4747</v>
      </c>
      <c r="B215" s="13" t="s">
        <v>48</v>
      </c>
      <c r="C215" s="4">
        <v>3.0</v>
      </c>
      <c r="D215" s="3"/>
      <c r="E215" s="3"/>
      <c r="F215" s="4">
        <v>9.0</v>
      </c>
      <c r="G215" s="3"/>
      <c r="H215" s="4">
        <v>13.0</v>
      </c>
      <c r="I215" s="4">
        <v>15.0</v>
      </c>
      <c r="J215" s="4" t="s">
        <v>1757</v>
      </c>
      <c r="K215" s="4" t="s">
        <v>1757</v>
      </c>
    </row>
    <row r="216">
      <c r="A216" s="4" t="s">
        <v>4748</v>
      </c>
      <c r="B216" s="13" t="s">
        <v>48</v>
      </c>
      <c r="C216" s="4">
        <v>2.0</v>
      </c>
      <c r="D216" s="3"/>
      <c r="E216" s="3"/>
      <c r="F216" s="4">
        <v>9.0</v>
      </c>
      <c r="G216" s="3"/>
      <c r="H216" s="4">
        <v>13.0</v>
      </c>
      <c r="I216" s="3"/>
      <c r="J216" s="4" t="s">
        <v>1757</v>
      </c>
      <c r="K216" s="4" t="s">
        <v>1757</v>
      </c>
    </row>
    <row r="217">
      <c r="A217" s="4" t="s">
        <v>4749</v>
      </c>
      <c r="B217" s="13" t="s">
        <v>48</v>
      </c>
      <c r="C217" s="4">
        <v>1.0</v>
      </c>
      <c r="D217" s="3"/>
      <c r="E217" s="3"/>
      <c r="F217" s="4">
        <v>9.0</v>
      </c>
      <c r="G217" s="3"/>
      <c r="H217" s="3"/>
      <c r="I217" s="3"/>
      <c r="J217" s="4" t="s">
        <v>1757</v>
      </c>
      <c r="K217" s="4" t="s">
        <v>1757</v>
      </c>
    </row>
    <row r="218">
      <c r="A218" s="4" t="s">
        <v>4750</v>
      </c>
      <c r="B218" s="13" t="s">
        <v>48</v>
      </c>
      <c r="C218" s="4">
        <v>1.0</v>
      </c>
      <c r="D218" s="3"/>
      <c r="E218" s="3"/>
      <c r="F218" s="4">
        <v>9.0</v>
      </c>
      <c r="G218" s="3"/>
      <c r="H218" s="3"/>
      <c r="I218" s="3"/>
      <c r="J218" s="4" t="s">
        <v>1757</v>
      </c>
      <c r="K218" s="4" t="s">
        <v>1757</v>
      </c>
    </row>
    <row r="219">
      <c r="A219" s="4" t="s">
        <v>4751</v>
      </c>
      <c r="B219" s="13" t="s">
        <v>48</v>
      </c>
      <c r="C219" s="4">
        <v>1.0</v>
      </c>
      <c r="D219" s="3"/>
      <c r="E219" s="3"/>
      <c r="F219" s="4">
        <v>9.0</v>
      </c>
      <c r="G219" s="3"/>
      <c r="H219" s="3"/>
      <c r="I219" s="3"/>
      <c r="J219" s="4" t="s">
        <v>1757</v>
      </c>
      <c r="K219" s="4" t="s">
        <v>1757</v>
      </c>
    </row>
    <row r="220">
      <c r="A220" s="4" t="s">
        <v>4752</v>
      </c>
      <c r="B220" s="13" t="s">
        <v>48</v>
      </c>
      <c r="C220" s="4">
        <v>2.0</v>
      </c>
      <c r="D220" s="3"/>
      <c r="E220" s="3"/>
      <c r="F220" s="4">
        <v>9.0</v>
      </c>
      <c r="G220" s="3"/>
      <c r="H220" s="4">
        <v>13.0</v>
      </c>
      <c r="I220" s="3"/>
      <c r="J220" s="4" t="s">
        <v>1757</v>
      </c>
      <c r="K220" s="4" t="s">
        <v>1757</v>
      </c>
    </row>
    <row r="221">
      <c r="A221" s="4" t="s">
        <v>4753</v>
      </c>
      <c r="B221" s="13" t="s">
        <v>48</v>
      </c>
      <c r="C221" s="4">
        <v>3.0</v>
      </c>
      <c r="D221" s="3"/>
      <c r="E221" s="3"/>
      <c r="F221" s="4">
        <v>9.0</v>
      </c>
      <c r="G221" s="3"/>
      <c r="H221" s="4">
        <v>13.0</v>
      </c>
      <c r="I221" s="4">
        <v>15.0</v>
      </c>
      <c r="J221" s="4" t="s">
        <v>1757</v>
      </c>
      <c r="K221" s="4" t="s">
        <v>1757</v>
      </c>
    </row>
    <row r="222">
      <c r="A222" s="4" t="s">
        <v>4754</v>
      </c>
      <c r="B222" s="13" t="s">
        <v>48</v>
      </c>
      <c r="C222" s="4">
        <v>3.0</v>
      </c>
      <c r="D222" s="3"/>
      <c r="E222" s="3"/>
      <c r="F222" s="4">
        <v>9.0</v>
      </c>
      <c r="G222" s="3"/>
      <c r="H222" s="4">
        <v>13.0</v>
      </c>
      <c r="I222" s="4">
        <v>15.0</v>
      </c>
      <c r="J222" s="4" t="s">
        <v>1757</v>
      </c>
      <c r="K222" s="4" t="s">
        <v>1757</v>
      </c>
    </row>
    <row r="223">
      <c r="A223" s="4" t="s">
        <v>4755</v>
      </c>
      <c r="B223" s="13" t="s">
        <v>48</v>
      </c>
      <c r="C223" s="4">
        <v>3.0</v>
      </c>
      <c r="D223" s="3"/>
      <c r="E223" s="3"/>
      <c r="F223" s="4">
        <v>9.0</v>
      </c>
      <c r="G223" s="3"/>
      <c r="H223" s="4">
        <v>13.0</v>
      </c>
      <c r="I223" s="4">
        <v>15.0</v>
      </c>
      <c r="J223" s="4" t="s">
        <v>1757</v>
      </c>
      <c r="K223" s="4" t="s">
        <v>1757</v>
      </c>
    </row>
    <row r="224">
      <c r="A224" s="4" t="s">
        <v>4756</v>
      </c>
      <c r="B224" s="13" t="s">
        <v>48</v>
      </c>
      <c r="C224" s="4">
        <v>3.0</v>
      </c>
      <c r="D224" s="3"/>
      <c r="E224" s="3"/>
      <c r="F224" s="4">
        <v>9.0</v>
      </c>
      <c r="G224" s="3"/>
      <c r="H224" s="4">
        <v>13.0</v>
      </c>
      <c r="I224" s="4">
        <v>15.0</v>
      </c>
      <c r="J224" s="4" t="s">
        <v>1757</v>
      </c>
      <c r="K224" s="4" t="s">
        <v>1757</v>
      </c>
    </row>
    <row r="225">
      <c r="A225" s="4" t="s">
        <v>4757</v>
      </c>
      <c r="B225" s="13" t="s">
        <v>48</v>
      </c>
      <c r="C225" s="4">
        <v>3.0</v>
      </c>
      <c r="D225" s="3"/>
      <c r="E225" s="3"/>
      <c r="F225" s="4">
        <v>9.0</v>
      </c>
      <c r="G225" s="3"/>
      <c r="H225" s="4">
        <v>13.0</v>
      </c>
      <c r="I225" s="4">
        <v>15.0</v>
      </c>
      <c r="J225" s="4" t="s">
        <v>1757</v>
      </c>
      <c r="K225" s="4" t="s">
        <v>1757</v>
      </c>
    </row>
    <row r="226">
      <c r="A226" s="4" t="s">
        <v>4758</v>
      </c>
      <c r="B226" s="13" t="s">
        <v>48</v>
      </c>
      <c r="C226" s="4">
        <v>3.0</v>
      </c>
      <c r="D226" s="3"/>
      <c r="E226" s="3"/>
      <c r="F226" s="4">
        <v>9.0</v>
      </c>
      <c r="G226" s="3"/>
      <c r="H226" s="4">
        <v>13.0</v>
      </c>
      <c r="I226" s="4">
        <v>15.0</v>
      </c>
      <c r="J226" s="4" t="s">
        <v>1757</v>
      </c>
      <c r="K226" s="4" t="s">
        <v>1757</v>
      </c>
    </row>
    <row r="227">
      <c r="A227" s="4" t="s">
        <v>4759</v>
      </c>
      <c r="B227" s="13" t="s">
        <v>48</v>
      </c>
      <c r="C227" s="4">
        <v>3.0</v>
      </c>
      <c r="D227" s="3"/>
      <c r="E227" s="3"/>
      <c r="F227" s="4">
        <v>9.0</v>
      </c>
      <c r="G227" s="3"/>
      <c r="H227" s="4">
        <v>13.0</v>
      </c>
      <c r="I227" s="4">
        <v>15.0</v>
      </c>
      <c r="J227" s="4" t="s">
        <v>1757</v>
      </c>
      <c r="K227" s="4" t="s">
        <v>1757</v>
      </c>
    </row>
    <row r="228">
      <c r="A228" s="4" t="s">
        <v>4760</v>
      </c>
      <c r="B228" s="13" t="s">
        <v>48</v>
      </c>
      <c r="C228" s="4">
        <v>3.0</v>
      </c>
      <c r="D228" s="3"/>
      <c r="E228" s="3"/>
      <c r="F228" s="4">
        <v>9.0</v>
      </c>
      <c r="G228" s="3"/>
      <c r="H228" s="4">
        <v>13.0</v>
      </c>
      <c r="I228" s="4">
        <v>15.0</v>
      </c>
      <c r="J228" s="4" t="s">
        <v>1757</v>
      </c>
      <c r="K228" s="4" t="s">
        <v>1757</v>
      </c>
    </row>
    <row r="229">
      <c r="A229" s="4" t="s">
        <v>4761</v>
      </c>
      <c r="B229" s="13" t="s">
        <v>48</v>
      </c>
      <c r="C229" s="4">
        <v>3.0</v>
      </c>
      <c r="D229" s="3"/>
      <c r="E229" s="3"/>
      <c r="F229" s="4">
        <v>9.0</v>
      </c>
      <c r="G229" s="3"/>
      <c r="H229" s="4">
        <v>13.0</v>
      </c>
      <c r="I229" s="4">
        <v>15.0</v>
      </c>
      <c r="J229" s="4" t="s">
        <v>1757</v>
      </c>
      <c r="K229" s="4" t="s">
        <v>1757</v>
      </c>
    </row>
    <row r="230">
      <c r="A230" s="4" t="s">
        <v>4762</v>
      </c>
      <c r="B230" s="13" t="s">
        <v>48</v>
      </c>
      <c r="C230" s="4">
        <v>3.0</v>
      </c>
      <c r="D230" s="3"/>
      <c r="E230" s="3"/>
      <c r="F230" s="4">
        <v>9.0</v>
      </c>
      <c r="G230" s="3"/>
      <c r="H230" s="4">
        <v>13.0</v>
      </c>
      <c r="I230" s="4">
        <v>15.0</v>
      </c>
      <c r="J230" s="4" t="s">
        <v>1757</v>
      </c>
      <c r="K230" s="4" t="s">
        <v>1757</v>
      </c>
    </row>
    <row r="231">
      <c r="A231" s="4" t="s">
        <v>4763</v>
      </c>
      <c r="B231" s="13" t="s">
        <v>48</v>
      </c>
      <c r="C231" s="4">
        <v>3.0</v>
      </c>
      <c r="D231" s="3"/>
      <c r="E231" s="3"/>
      <c r="F231" s="4">
        <v>9.0</v>
      </c>
      <c r="G231" s="3"/>
      <c r="H231" s="4">
        <v>13.0</v>
      </c>
      <c r="I231" s="4">
        <v>15.0</v>
      </c>
      <c r="J231" s="4" t="s">
        <v>1757</v>
      </c>
      <c r="K231" s="4" t="s">
        <v>1757</v>
      </c>
    </row>
    <row r="232">
      <c r="A232" s="4" t="s">
        <v>4764</v>
      </c>
      <c r="B232" s="13" t="s">
        <v>48</v>
      </c>
      <c r="C232" s="4">
        <v>3.0</v>
      </c>
      <c r="D232" s="3"/>
      <c r="E232" s="3"/>
      <c r="F232" s="4">
        <v>9.0</v>
      </c>
      <c r="G232" s="3"/>
      <c r="H232" s="4">
        <v>13.0</v>
      </c>
      <c r="I232" s="4">
        <v>15.0</v>
      </c>
      <c r="J232" s="4" t="s">
        <v>1757</v>
      </c>
      <c r="K232" s="4" t="s">
        <v>1757</v>
      </c>
    </row>
    <row r="233">
      <c r="A233" s="4" t="s">
        <v>4765</v>
      </c>
      <c r="B233" s="13" t="s">
        <v>48</v>
      </c>
      <c r="C233" s="4">
        <v>3.0</v>
      </c>
      <c r="D233" s="3"/>
      <c r="E233" s="3"/>
      <c r="F233" s="4">
        <v>9.0</v>
      </c>
      <c r="G233" s="3"/>
      <c r="H233" s="4">
        <v>13.0</v>
      </c>
      <c r="I233" s="4">
        <v>15.0</v>
      </c>
      <c r="J233" s="4" t="s">
        <v>1757</v>
      </c>
      <c r="K233" s="4" t="s">
        <v>1757</v>
      </c>
    </row>
    <row r="234">
      <c r="A234" s="4" t="s">
        <v>4766</v>
      </c>
      <c r="B234" s="13" t="s">
        <v>48</v>
      </c>
      <c r="C234" s="4">
        <v>3.0</v>
      </c>
      <c r="D234" s="3"/>
      <c r="E234" s="3"/>
      <c r="F234" s="4">
        <v>9.0</v>
      </c>
      <c r="G234" s="3"/>
      <c r="H234" s="4">
        <v>13.0</v>
      </c>
      <c r="I234" s="4">
        <v>15.0</v>
      </c>
      <c r="J234" s="4" t="s">
        <v>1757</v>
      </c>
      <c r="K234" s="4" t="s">
        <v>1757</v>
      </c>
    </row>
    <row r="235">
      <c r="A235" s="4" t="s">
        <v>4767</v>
      </c>
      <c r="B235" s="13" t="s">
        <v>48</v>
      </c>
      <c r="C235" s="4">
        <v>3.0</v>
      </c>
      <c r="D235" s="3"/>
      <c r="E235" s="3"/>
      <c r="F235" s="4">
        <v>9.0</v>
      </c>
      <c r="G235" s="3"/>
      <c r="H235" s="4">
        <v>13.0</v>
      </c>
      <c r="I235" s="4">
        <v>15.0</v>
      </c>
      <c r="J235" s="4" t="s">
        <v>1757</v>
      </c>
      <c r="K235" s="4" t="s">
        <v>1757</v>
      </c>
    </row>
    <row r="236">
      <c r="A236" s="4" t="s">
        <v>4768</v>
      </c>
      <c r="B236" s="13" t="s">
        <v>48</v>
      </c>
      <c r="C236" s="4">
        <v>3.0</v>
      </c>
      <c r="D236" s="3"/>
      <c r="E236" s="3"/>
      <c r="F236" s="4">
        <v>9.0</v>
      </c>
      <c r="G236" s="3"/>
      <c r="H236" s="4">
        <v>13.0</v>
      </c>
      <c r="I236" s="4">
        <v>15.0</v>
      </c>
      <c r="J236" s="4" t="s">
        <v>1757</v>
      </c>
      <c r="K236" s="4" t="s">
        <v>1757</v>
      </c>
    </row>
    <row r="237">
      <c r="A237" s="4" t="s">
        <v>4769</v>
      </c>
      <c r="B237" s="13" t="s">
        <v>48</v>
      </c>
      <c r="C237" s="4">
        <v>3.0</v>
      </c>
      <c r="D237" s="3"/>
      <c r="E237" s="3"/>
      <c r="F237" s="4">
        <v>9.0</v>
      </c>
      <c r="G237" s="3"/>
      <c r="H237" s="4">
        <v>13.0</v>
      </c>
      <c r="I237" s="4">
        <v>15.0</v>
      </c>
      <c r="J237" s="4" t="s">
        <v>1757</v>
      </c>
      <c r="K237" s="4" t="s">
        <v>1757</v>
      </c>
    </row>
    <row r="238">
      <c r="A238" s="4" t="s">
        <v>4770</v>
      </c>
      <c r="B238" s="13" t="s">
        <v>48</v>
      </c>
      <c r="C238" s="4">
        <v>3.0</v>
      </c>
      <c r="D238" s="3"/>
      <c r="E238" s="3"/>
      <c r="F238" s="4">
        <v>9.0</v>
      </c>
      <c r="G238" s="3"/>
      <c r="H238" s="4">
        <v>13.0</v>
      </c>
      <c r="I238" s="4">
        <v>15.0</v>
      </c>
      <c r="J238" s="4" t="s">
        <v>1757</v>
      </c>
      <c r="K238" s="4" t="s">
        <v>1757</v>
      </c>
    </row>
    <row r="239">
      <c r="A239" s="4" t="s">
        <v>4771</v>
      </c>
      <c r="B239" s="13" t="s">
        <v>48</v>
      </c>
      <c r="C239" s="4">
        <v>3.0</v>
      </c>
      <c r="D239" s="3"/>
      <c r="E239" s="3"/>
      <c r="F239" s="4">
        <v>9.0</v>
      </c>
      <c r="G239" s="3"/>
      <c r="H239" s="4">
        <v>13.0</v>
      </c>
      <c r="I239" s="4">
        <v>15.0</v>
      </c>
      <c r="J239" s="4" t="s">
        <v>1757</v>
      </c>
      <c r="K239" s="4" t="s">
        <v>1757</v>
      </c>
    </row>
    <row r="240">
      <c r="A240" s="4" t="s">
        <v>4772</v>
      </c>
      <c r="B240" s="13" t="s">
        <v>48</v>
      </c>
      <c r="C240" s="4">
        <v>4.0</v>
      </c>
      <c r="D240" s="4">
        <v>1.0</v>
      </c>
      <c r="E240" s="3"/>
      <c r="F240" s="4">
        <v>9.0</v>
      </c>
      <c r="G240" s="3"/>
      <c r="H240" s="4">
        <v>13.0</v>
      </c>
      <c r="I240" s="4">
        <v>15.0</v>
      </c>
      <c r="J240" s="4" t="s">
        <v>1757</v>
      </c>
      <c r="K240" s="4" t="s">
        <v>1757</v>
      </c>
    </row>
    <row r="241">
      <c r="A241" s="4" t="s">
        <v>4773</v>
      </c>
      <c r="B241" s="13" t="s">
        <v>48</v>
      </c>
      <c r="C241" s="4">
        <v>5.0</v>
      </c>
      <c r="D241" s="4">
        <v>1.0</v>
      </c>
      <c r="E241" s="4">
        <v>2.0</v>
      </c>
      <c r="F241" s="4">
        <v>9.0</v>
      </c>
      <c r="G241" s="3"/>
      <c r="H241" s="4">
        <v>13.0</v>
      </c>
      <c r="I241" s="4">
        <v>15.0</v>
      </c>
      <c r="J241" s="4" t="s">
        <v>1757</v>
      </c>
      <c r="K241" s="4" t="s">
        <v>1757</v>
      </c>
    </row>
    <row r="242">
      <c r="A242" s="4" t="s">
        <v>4774</v>
      </c>
      <c r="B242" s="13" t="s">
        <v>48</v>
      </c>
      <c r="C242" s="4">
        <v>5.0</v>
      </c>
      <c r="D242" s="4">
        <v>1.0</v>
      </c>
      <c r="E242" s="4">
        <v>2.0</v>
      </c>
      <c r="F242" s="4">
        <v>9.0</v>
      </c>
      <c r="G242" s="3"/>
      <c r="H242" s="4">
        <v>13.0</v>
      </c>
      <c r="I242" s="4">
        <v>15.0</v>
      </c>
      <c r="J242" s="4" t="s">
        <v>1757</v>
      </c>
      <c r="K242" s="4" t="s">
        <v>1757</v>
      </c>
    </row>
    <row r="243">
      <c r="A243" s="4" t="s">
        <v>4775</v>
      </c>
      <c r="B243" s="13" t="s">
        <v>48</v>
      </c>
      <c r="C243" s="4">
        <v>5.0</v>
      </c>
      <c r="D243" s="4">
        <v>1.0</v>
      </c>
      <c r="E243" s="4">
        <v>2.0</v>
      </c>
      <c r="F243" s="4">
        <v>9.0</v>
      </c>
      <c r="G243" s="3"/>
      <c r="H243" s="4">
        <v>13.0</v>
      </c>
      <c r="I243" s="4">
        <v>15.0</v>
      </c>
      <c r="J243" s="4" t="s">
        <v>1757</v>
      </c>
      <c r="K243" s="4" t="s">
        <v>1757</v>
      </c>
    </row>
    <row r="244">
      <c r="A244" s="4" t="s">
        <v>4776</v>
      </c>
      <c r="B244" s="13" t="s">
        <v>48</v>
      </c>
      <c r="C244" s="4">
        <v>5.0</v>
      </c>
      <c r="D244" s="4">
        <v>1.0</v>
      </c>
      <c r="E244" s="4">
        <v>2.0</v>
      </c>
      <c r="F244" s="4">
        <v>9.0</v>
      </c>
      <c r="G244" s="3"/>
      <c r="H244" s="4">
        <v>13.0</v>
      </c>
      <c r="I244" s="4">
        <v>15.0</v>
      </c>
      <c r="J244" s="4" t="s">
        <v>1757</v>
      </c>
      <c r="K244" s="4" t="s">
        <v>1757</v>
      </c>
    </row>
    <row r="245">
      <c r="A245" s="4" t="s">
        <v>4777</v>
      </c>
      <c r="B245" s="13" t="s">
        <v>48</v>
      </c>
      <c r="C245" s="4">
        <v>5.0</v>
      </c>
      <c r="D245" s="4">
        <v>1.0</v>
      </c>
      <c r="E245" s="4">
        <v>2.0</v>
      </c>
      <c r="F245" s="4">
        <v>9.0</v>
      </c>
      <c r="G245" s="3"/>
      <c r="H245" s="4">
        <v>13.0</v>
      </c>
      <c r="I245" s="4">
        <v>15.0</v>
      </c>
      <c r="J245" s="4" t="s">
        <v>1757</v>
      </c>
      <c r="K245" s="4" t="s">
        <v>1757</v>
      </c>
    </row>
    <row r="246">
      <c r="A246" s="4" t="s">
        <v>4778</v>
      </c>
      <c r="B246" s="13" t="s">
        <v>48</v>
      </c>
      <c r="C246" s="4">
        <v>5.0</v>
      </c>
      <c r="D246" s="4">
        <v>1.0</v>
      </c>
      <c r="E246" s="4">
        <v>2.0</v>
      </c>
      <c r="F246" s="4">
        <v>9.0</v>
      </c>
      <c r="G246" s="3"/>
      <c r="H246" s="4">
        <v>13.0</v>
      </c>
      <c r="I246" s="4">
        <v>15.0</v>
      </c>
      <c r="J246" s="4" t="s">
        <v>1757</v>
      </c>
      <c r="K246" s="4" t="s">
        <v>1757</v>
      </c>
    </row>
    <row r="247">
      <c r="A247" s="4" t="s">
        <v>4779</v>
      </c>
      <c r="B247" s="13" t="s">
        <v>48</v>
      </c>
      <c r="C247" s="4">
        <v>4.0</v>
      </c>
      <c r="D247" s="4">
        <v>1.0</v>
      </c>
      <c r="E247" s="3"/>
      <c r="F247" s="4">
        <v>9.0</v>
      </c>
      <c r="G247" s="3"/>
      <c r="H247" s="4">
        <v>13.0</v>
      </c>
      <c r="I247" s="4">
        <v>15.0</v>
      </c>
      <c r="J247" s="4" t="s">
        <v>1757</v>
      </c>
      <c r="K247" s="4" t="s">
        <v>1757</v>
      </c>
    </row>
    <row r="248">
      <c r="A248" s="4" t="s">
        <v>4780</v>
      </c>
      <c r="B248" s="13" t="s">
        <v>48</v>
      </c>
      <c r="C248" s="4">
        <v>4.0</v>
      </c>
      <c r="D248" s="4">
        <v>1.0</v>
      </c>
      <c r="E248" s="3"/>
      <c r="F248" s="4">
        <v>9.0</v>
      </c>
      <c r="G248" s="3"/>
      <c r="H248" s="4">
        <v>13.0</v>
      </c>
      <c r="I248" s="4">
        <v>15.0</v>
      </c>
      <c r="J248" s="4" t="s">
        <v>1757</v>
      </c>
      <c r="K248" s="4" t="s">
        <v>1757</v>
      </c>
    </row>
    <row r="249">
      <c r="A249" s="4" t="s">
        <v>4781</v>
      </c>
      <c r="B249" s="13" t="s">
        <v>48</v>
      </c>
      <c r="C249" s="4">
        <v>4.0</v>
      </c>
      <c r="D249" s="4">
        <v>1.0</v>
      </c>
      <c r="E249" s="3"/>
      <c r="F249" s="4">
        <v>9.0</v>
      </c>
      <c r="G249" s="3"/>
      <c r="H249" s="4">
        <v>13.0</v>
      </c>
      <c r="I249" s="4">
        <v>15.0</v>
      </c>
      <c r="J249" s="4" t="s">
        <v>1757</v>
      </c>
      <c r="K249" s="4" t="s">
        <v>1757</v>
      </c>
    </row>
    <row r="250">
      <c r="A250" s="4" t="s">
        <v>4782</v>
      </c>
      <c r="B250" s="13" t="s">
        <v>48</v>
      </c>
      <c r="C250" s="4">
        <v>4.0</v>
      </c>
      <c r="D250" s="4">
        <v>1.0</v>
      </c>
      <c r="E250" s="3"/>
      <c r="F250" s="4">
        <v>9.0</v>
      </c>
      <c r="G250" s="3"/>
      <c r="H250" s="4">
        <v>13.0</v>
      </c>
      <c r="I250" s="4">
        <v>15.0</v>
      </c>
      <c r="J250" s="4" t="s">
        <v>1757</v>
      </c>
      <c r="K250" s="4" t="s">
        <v>1757</v>
      </c>
    </row>
    <row r="251">
      <c r="A251" s="4" t="s">
        <v>4783</v>
      </c>
      <c r="B251" s="13" t="s">
        <v>48</v>
      </c>
      <c r="C251" s="4">
        <v>3.0</v>
      </c>
      <c r="D251" s="3"/>
      <c r="E251" s="3"/>
      <c r="F251" s="4">
        <v>9.0</v>
      </c>
      <c r="G251" s="3"/>
      <c r="H251" s="4">
        <v>13.0</v>
      </c>
      <c r="I251" s="4">
        <v>15.0</v>
      </c>
      <c r="J251" s="4" t="s">
        <v>1757</v>
      </c>
      <c r="K251" s="4" t="s">
        <v>1757</v>
      </c>
    </row>
    <row r="252">
      <c r="A252" s="4" t="s">
        <v>4784</v>
      </c>
      <c r="B252" s="13" t="s">
        <v>48</v>
      </c>
      <c r="C252" s="4">
        <v>3.0</v>
      </c>
      <c r="D252" s="3"/>
      <c r="E252" s="3"/>
      <c r="F252" s="4">
        <v>9.0</v>
      </c>
      <c r="G252" s="3"/>
      <c r="H252" s="4">
        <v>13.0</v>
      </c>
      <c r="I252" s="4">
        <v>15.0</v>
      </c>
      <c r="J252" s="4" t="s">
        <v>1757</v>
      </c>
      <c r="K252" s="4" t="s">
        <v>1757</v>
      </c>
    </row>
    <row r="253">
      <c r="A253" s="4" t="s">
        <v>4785</v>
      </c>
      <c r="B253" s="13" t="s">
        <v>48</v>
      </c>
      <c r="C253" s="4">
        <v>2.0</v>
      </c>
      <c r="D253" s="3"/>
      <c r="E253" s="3"/>
      <c r="F253" s="4">
        <v>9.0</v>
      </c>
      <c r="G253" s="3"/>
      <c r="H253" s="4">
        <v>13.0</v>
      </c>
      <c r="I253" s="3"/>
      <c r="J253" s="4" t="s">
        <v>1757</v>
      </c>
      <c r="K253" s="4" t="s">
        <v>1757</v>
      </c>
    </row>
    <row r="254">
      <c r="A254" s="4" t="s">
        <v>4786</v>
      </c>
      <c r="B254" s="13" t="s">
        <v>48</v>
      </c>
      <c r="C254" s="4">
        <v>2.0</v>
      </c>
      <c r="D254" s="3"/>
      <c r="E254" s="3"/>
      <c r="F254" s="4">
        <v>9.0</v>
      </c>
      <c r="G254" s="3"/>
      <c r="H254" s="4">
        <v>13.0</v>
      </c>
      <c r="I254" s="3"/>
      <c r="J254" s="4" t="s">
        <v>1757</v>
      </c>
      <c r="K254" s="4" t="s">
        <v>1757</v>
      </c>
    </row>
    <row r="255">
      <c r="A255" s="4" t="s">
        <v>4787</v>
      </c>
      <c r="B255" s="13" t="s">
        <v>48</v>
      </c>
      <c r="C255" s="4">
        <v>2.0</v>
      </c>
      <c r="D255" s="3"/>
      <c r="E255" s="3"/>
      <c r="F255" s="4">
        <v>9.0</v>
      </c>
      <c r="G255" s="3"/>
      <c r="H255" s="4">
        <v>13.0</v>
      </c>
      <c r="I255" s="3"/>
      <c r="J255" s="4" t="s">
        <v>1757</v>
      </c>
      <c r="K255" s="4" t="s">
        <v>1757</v>
      </c>
    </row>
    <row r="256">
      <c r="A256" s="4" t="s">
        <v>4788</v>
      </c>
      <c r="B256" s="13" t="s">
        <v>48</v>
      </c>
      <c r="C256" s="4">
        <v>2.0</v>
      </c>
      <c r="D256" s="3"/>
      <c r="E256" s="3"/>
      <c r="F256" s="4">
        <v>9.0</v>
      </c>
      <c r="G256" s="3"/>
      <c r="H256" s="4">
        <v>13.0</v>
      </c>
      <c r="I256" s="3"/>
      <c r="J256" s="4" t="s">
        <v>1757</v>
      </c>
      <c r="K256" s="4" t="s">
        <v>1757</v>
      </c>
    </row>
    <row r="257">
      <c r="A257" s="4" t="s">
        <v>4789</v>
      </c>
      <c r="B257" s="13" t="s">
        <v>48</v>
      </c>
      <c r="C257" s="4">
        <v>2.0</v>
      </c>
      <c r="D257" s="3"/>
      <c r="E257" s="3"/>
      <c r="F257" s="4">
        <v>9.0</v>
      </c>
      <c r="G257" s="3"/>
      <c r="H257" s="4">
        <v>13.0</v>
      </c>
      <c r="I257" s="3"/>
      <c r="J257" s="4" t="s">
        <v>1757</v>
      </c>
      <c r="K257" s="4" t="s">
        <v>1757</v>
      </c>
    </row>
    <row r="258">
      <c r="A258" s="4" t="s">
        <v>4790</v>
      </c>
      <c r="B258" s="13" t="s">
        <v>48</v>
      </c>
      <c r="C258" s="4">
        <v>2.0</v>
      </c>
      <c r="D258" s="3"/>
      <c r="E258" s="3"/>
      <c r="F258" s="4">
        <v>9.0</v>
      </c>
      <c r="G258" s="3"/>
      <c r="H258" s="4">
        <v>13.0</v>
      </c>
      <c r="I258" s="3"/>
      <c r="J258" s="4" t="s">
        <v>1757</v>
      </c>
      <c r="K258" s="4" t="s">
        <v>1757</v>
      </c>
    </row>
    <row r="259">
      <c r="A259" s="4" t="s">
        <v>4791</v>
      </c>
      <c r="B259" s="13" t="s">
        <v>48</v>
      </c>
      <c r="C259" s="4">
        <v>2.0</v>
      </c>
      <c r="D259" s="3"/>
      <c r="E259" s="3"/>
      <c r="F259" s="4">
        <v>9.0</v>
      </c>
      <c r="G259" s="3"/>
      <c r="H259" s="4">
        <v>13.0</v>
      </c>
      <c r="I259" s="3"/>
      <c r="J259" s="4" t="s">
        <v>1757</v>
      </c>
      <c r="K259" s="4" t="s">
        <v>1757</v>
      </c>
    </row>
    <row r="260">
      <c r="A260" s="4" t="s">
        <v>4792</v>
      </c>
      <c r="B260" s="13" t="s">
        <v>48</v>
      </c>
      <c r="C260" s="4">
        <v>2.0</v>
      </c>
      <c r="D260" s="3"/>
      <c r="E260" s="3"/>
      <c r="F260" s="4">
        <v>9.0</v>
      </c>
      <c r="G260" s="3"/>
      <c r="H260" s="4">
        <v>13.0</v>
      </c>
      <c r="I260" s="3"/>
      <c r="J260" s="4" t="s">
        <v>1757</v>
      </c>
      <c r="K260" s="4" t="s">
        <v>1757</v>
      </c>
    </row>
    <row r="261">
      <c r="A261" s="4" t="s">
        <v>4793</v>
      </c>
      <c r="B261" s="13" t="s">
        <v>48</v>
      </c>
      <c r="C261" s="4">
        <v>2.0</v>
      </c>
      <c r="D261" s="3"/>
      <c r="E261" s="3"/>
      <c r="F261" s="4">
        <v>9.0</v>
      </c>
      <c r="G261" s="3"/>
      <c r="H261" s="4">
        <v>13.0</v>
      </c>
      <c r="I261" s="3"/>
      <c r="J261" s="4" t="s">
        <v>1757</v>
      </c>
      <c r="K261" s="4" t="s">
        <v>1757</v>
      </c>
    </row>
    <row r="262">
      <c r="A262" s="4" t="s">
        <v>4794</v>
      </c>
      <c r="B262" s="13" t="s">
        <v>48</v>
      </c>
      <c r="C262" s="4">
        <v>2.0</v>
      </c>
      <c r="D262" s="3"/>
      <c r="E262" s="3"/>
      <c r="F262" s="4">
        <v>9.0</v>
      </c>
      <c r="G262" s="3"/>
      <c r="H262" s="4">
        <v>13.0</v>
      </c>
      <c r="I262" s="3"/>
      <c r="J262" s="4" t="s">
        <v>1757</v>
      </c>
      <c r="K262" s="4" t="s">
        <v>1757</v>
      </c>
    </row>
    <row r="263">
      <c r="A263" s="4" t="s">
        <v>4795</v>
      </c>
      <c r="B263" s="13" t="s">
        <v>48</v>
      </c>
      <c r="C263" s="4">
        <v>2.0</v>
      </c>
      <c r="D263" s="3"/>
      <c r="E263" s="3"/>
      <c r="F263" s="4">
        <v>9.0</v>
      </c>
      <c r="G263" s="3"/>
      <c r="H263" s="4">
        <v>13.0</v>
      </c>
      <c r="I263" s="3"/>
      <c r="J263" s="4" t="s">
        <v>1757</v>
      </c>
      <c r="K263" s="4" t="s">
        <v>1757</v>
      </c>
    </row>
    <row r="264">
      <c r="A264" s="4" t="s">
        <v>4796</v>
      </c>
      <c r="B264" s="13" t="s">
        <v>48</v>
      </c>
      <c r="C264" s="4">
        <v>2.0</v>
      </c>
      <c r="D264" s="3"/>
      <c r="E264" s="3"/>
      <c r="F264" s="4">
        <v>9.0</v>
      </c>
      <c r="G264" s="3"/>
      <c r="H264" s="4">
        <v>13.0</v>
      </c>
      <c r="I264" s="3"/>
      <c r="J264" s="4" t="s">
        <v>1757</v>
      </c>
      <c r="K264" s="4" t="s">
        <v>1757</v>
      </c>
    </row>
    <row r="265">
      <c r="A265" s="4" t="s">
        <v>4797</v>
      </c>
      <c r="B265" s="13" t="s">
        <v>48</v>
      </c>
      <c r="C265" s="4">
        <v>2.0</v>
      </c>
      <c r="D265" s="3"/>
      <c r="E265" s="3"/>
      <c r="F265" s="4">
        <v>9.0</v>
      </c>
      <c r="G265" s="3"/>
      <c r="H265" s="4">
        <v>13.0</v>
      </c>
      <c r="I265" s="3"/>
      <c r="J265" s="4" t="s">
        <v>1757</v>
      </c>
      <c r="K265" s="4" t="s">
        <v>1757</v>
      </c>
    </row>
    <row r="266">
      <c r="A266" s="4" t="s">
        <v>4798</v>
      </c>
      <c r="B266" s="13" t="s">
        <v>48</v>
      </c>
      <c r="C266" s="4">
        <v>2.0</v>
      </c>
      <c r="D266" s="3"/>
      <c r="E266" s="3"/>
      <c r="F266" s="4">
        <v>9.0</v>
      </c>
      <c r="G266" s="3"/>
      <c r="H266" s="4">
        <v>13.0</v>
      </c>
      <c r="I266" s="3"/>
      <c r="J266" s="4" t="s">
        <v>1757</v>
      </c>
      <c r="K266" s="4" t="s">
        <v>1757</v>
      </c>
    </row>
    <row r="267">
      <c r="A267" s="4" t="s">
        <v>4799</v>
      </c>
      <c r="B267" s="13" t="s">
        <v>48</v>
      </c>
      <c r="C267" s="4">
        <v>2.0</v>
      </c>
      <c r="D267" s="3"/>
      <c r="E267" s="3"/>
      <c r="F267" s="4">
        <v>9.0</v>
      </c>
      <c r="G267" s="3"/>
      <c r="H267" s="4">
        <v>13.0</v>
      </c>
      <c r="I267" s="3"/>
      <c r="J267" s="4" t="s">
        <v>1757</v>
      </c>
      <c r="K267" s="4" t="s">
        <v>1757</v>
      </c>
    </row>
    <row r="268">
      <c r="A268" s="4" t="s">
        <v>4800</v>
      </c>
      <c r="B268" s="13" t="s">
        <v>48</v>
      </c>
      <c r="C268" s="4">
        <v>2.0</v>
      </c>
      <c r="D268" s="3"/>
      <c r="E268" s="3"/>
      <c r="F268" s="4">
        <v>9.0</v>
      </c>
      <c r="G268" s="3"/>
      <c r="H268" s="4">
        <v>13.0</v>
      </c>
      <c r="I268" s="3"/>
      <c r="J268" s="4" t="s">
        <v>1757</v>
      </c>
      <c r="K268" s="4" t="s">
        <v>1757</v>
      </c>
    </row>
    <row r="269">
      <c r="A269" s="4" t="s">
        <v>4801</v>
      </c>
      <c r="B269" s="13" t="s">
        <v>48</v>
      </c>
      <c r="C269" s="4">
        <v>2.0</v>
      </c>
      <c r="D269" s="3"/>
      <c r="E269" s="3"/>
      <c r="F269" s="4">
        <v>9.0</v>
      </c>
      <c r="G269" s="3"/>
      <c r="H269" s="4">
        <v>13.0</v>
      </c>
      <c r="I269" s="3"/>
      <c r="J269" s="4" t="s">
        <v>1757</v>
      </c>
      <c r="K269" s="4" t="s">
        <v>1757</v>
      </c>
    </row>
    <row r="270">
      <c r="A270" s="4" t="s">
        <v>4802</v>
      </c>
      <c r="B270" s="13" t="s">
        <v>48</v>
      </c>
      <c r="C270" s="4">
        <v>2.0</v>
      </c>
      <c r="D270" s="3"/>
      <c r="E270" s="3"/>
      <c r="F270" s="4">
        <v>9.0</v>
      </c>
      <c r="G270" s="3"/>
      <c r="H270" s="4">
        <v>13.0</v>
      </c>
      <c r="I270" s="3"/>
      <c r="J270" s="4" t="s">
        <v>1757</v>
      </c>
      <c r="K270" s="4" t="s">
        <v>1757</v>
      </c>
    </row>
    <row r="271">
      <c r="A271" s="4" t="s">
        <v>4803</v>
      </c>
      <c r="B271" s="13" t="s">
        <v>48</v>
      </c>
      <c r="C271" s="4">
        <v>2.0</v>
      </c>
      <c r="D271" s="3"/>
      <c r="E271" s="3"/>
      <c r="F271" s="4">
        <v>9.0</v>
      </c>
      <c r="G271" s="3"/>
      <c r="H271" s="4">
        <v>13.0</v>
      </c>
      <c r="I271" s="3"/>
      <c r="J271" s="4" t="s">
        <v>1757</v>
      </c>
    </row>
    <row r="272">
      <c r="A272" s="4" t="s">
        <v>4804</v>
      </c>
      <c r="B272" s="13" t="s">
        <v>48</v>
      </c>
      <c r="C272" s="4">
        <v>2.0</v>
      </c>
      <c r="D272" s="3"/>
      <c r="E272" s="3"/>
      <c r="F272" s="4">
        <v>9.0</v>
      </c>
      <c r="G272" s="3"/>
      <c r="H272" s="4">
        <v>13.0</v>
      </c>
      <c r="I272" s="3"/>
      <c r="J272" s="4" t="s">
        <v>1757</v>
      </c>
    </row>
    <row r="273">
      <c r="A273" s="4" t="s">
        <v>4805</v>
      </c>
      <c r="B273" s="13" t="s">
        <v>48</v>
      </c>
      <c r="C273" s="4">
        <v>2.0</v>
      </c>
      <c r="D273" s="3"/>
      <c r="E273" s="3"/>
      <c r="F273" s="4">
        <v>9.0</v>
      </c>
      <c r="G273" s="3"/>
      <c r="H273" s="4">
        <v>13.0</v>
      </c>
      <c r="I273" s="3"/>
      <c r="J273" s="4" t="s">
        <v>1757</v>
      </c>
    </row>
    <row r="274">
      <c r="A274" s="4" t="s">
        <v>4806</v>
      </c>
      <c r="B274" s="13" t="s">
        <v>48</v>
      </c>
      <c r="C274" s="4">
        <v>2.0</v>
      </c>
      <c r="D274" s="3"/>
      <c r="E274" s="3"/>
      <c r="F274" s="4">
        <v>9.0</v>
      </c>
      <c r="G274" s="3"/>
      <c r="H274" s="4">
        <v>13.0</v>
      </c>
      <c r="I274" s="3"/>
      <c r="J274" s="4" t="s">
        <v>1757</v>
      </c>
    </row>
    <row r="275">
      <c r="A275" s="4" t="s">
        <v>4807</v>
      </c>
      <c r="B275" s="13" t="s">
        <v>48</v>
      </c>
      <c r="C275" s="4">
        <v>2.0</v>
      </c>
      <c r="D275" s="3"/>
      <c r="E275" s="3"/>
      <c r="F275" s="4">
        <v>9.0</v>
      </c>
      <c r="G275" s="3"/>
      <c r="H275" s="4">
        <v>13.0</v>
      </c>
      <c r="I275" s="3"/>
      <c r="J275" s="4" t="s">
        <v>1757</v>
      </c>
    </row>
    <row r="276">
      <c r="A276" s="4" t="s">
        <v>4808</v>
      </c>
      <c r="B276" s="13" t="s">
        <v>48</v>
      </c>
      <c r="C276" s="4">
        <v>2.0</v>
      </c>
      <c r="D276" s="3"/>
      <c r="E276" s="3"/>
      <c r="F276" s="4">
        <v>9.0</v>
      </c>
      <c r="G276" s="3"/>
      <c r="H276" s="4">
        <v>13.0</v>
      </c>
      <c r="I276" s="3"/>
      <c r="J276" s="4" t="s">
        <v>1757</v>
      </c>
    </row>
    <row r="277">
      <c r="A277" s="4" t="s">
        <v>4809</v>
      </c>
      <c r="B277" s="13" t="s">
        <v>48</v>
      </c>
      <c r="C277" s="4">
        <v>2.0</v>
      </c>
      <c r="D277" s="3"/>
      <c r="E277" s="3"/>
      <c r="F277" s="4">
        <v>9.0</v>
      </c>
      <c r="G277" s="3"/>
      <c r="H277" s="4">
        <v>13.0</v>
      </c>
      <c r="I277" s="3"/>
      <c r="J277" s="4" t="s">
        <v>1757</v>
      </c>
    </row>
    <row r="278">
      <c r="A278" s="4" t="s">
        <v>4810</v>
      </c>
      <c r="B278" s="13" t="s">
        <v>48</v>
      </c>
      <c r="C278" s="4">
        <v>1.0</v>
      </c>
      <c r="D278" s="3"/>
      <c r="E278" s="3"/>
      <c r="F278" s="3"/>
      <c r="G278" s="3"/>
      <c r="H278" s="4">
        <v>13.0</v>
      </c>
      <c r="I278" s="3"/>
      <c r="J278" s="4" t="s">
        <v>1757</v>
      </c>
    </row>
    <row r="279">
      <c r="A279" s="4" t="s">
        <v>4811</v>
      </c>
      <c r="B279" s="13" t="s">
        <v>48</v>
      </c>
      <c r="C279" s="4">
        <v>1.0</v>
      </c>
      <c r="D279" s="3"/>
      <c r="E279" s="3"/>
      <c r="F279" s="3"/>
      <c r="G279" s="3"/>
      <c r="H279" s="4">
        <v>13.0</v>
      </c>
      <c r="I279" s="3"/>
      <c r="J279" s="4" t="s">
        <v>1757</v>
      </c>
    </row>
    <row r="280">
      <c r="A280" s="4" t="s">
        <v>4812</v>
      </c>
      <c r="B280" s="13" t="s">
        <v>48</v>
      </c>
      <c r="C280" s="4">
        <v>1.0</v>
      </c>
      <c r="D280" s="3"/>
      <c r="E280" s="3"/>
      <c r="F280" s="3"/>
      <c r="G280" s="3"/>
      <c r="H280" s="4">
        <v>13.0</v>
      </c>
      <c r="I280" s="3"/>
      <c r="J280" s="4" t="s">
        <v>1757</v>
      </c>
    </row>
    <row r="281">
      <c r="A281" s="4" t="s">
        <v>4813</v>
      </c>
      <c r="B281" s="13" t="s">
        <v>48</v>
      </c>
      <c r="C281" s="4">
        <v>1.0</v>
      </c>
      <c r="D281" s="3"/>
      <c r="E281" s="3"/>
      <c r="F281" s="3"/>
      <c r="G281" s="3"/>
      <c r="H281" s="4">
        <v>13.0</v>
      </c>
      <c r="I281" s="3"/>
      <c r="J281" s="4" t="s">
        <v>1757</v>
      </c>
    </row>
    <row r="282">
      <c r="A282" s="4" t="s">
        <v>4814</v>
      </c>
      <c r="B282" s="13" t="s">
        <v>48</v>
      </c>
      <c r="C282" s="4">
        <v>1.0</v>
      </c>
      <c r="D282" s="3"/>
      <c r="E282" s="3"/>
      <c r="F282" s="3"/>
      <c r="G282" s="3"/>
      <c r="H282" s="4">
        <v>13.0</v>
      </c>
      <c r="I282" s="3"/>
    </row>
    <row r="283">
      <c r="A283" s="4" t="s">
        <v>4815</v>
      </c>
      <c r="B283" s="13" t="s">
        <v>48</v>
      </c>
      <c r="C283" s="4">
        <v>1.0</v>
      </c>
      <c r="D283" s="3"/>
      <c r="E283" s="3"/>
      <c r="F283" s="3"/>
      <c r="G283" s="3"/>
      <c r="H283" s="4">
        <v>13.0</v>
      </c>
      <c r="I283" s="3"/>
    </row>
    <row r="284">
      <c r="A284" s="4" t="s">
        <v>4816</v>
      </c>
      <c r="B284" s="13" t="s">
        <v>48</v>
      </c>
      <c r="C284" s="4">
        <v>1.0</v>
      </c>
      <c r="D284" s="3"/>
      <c r="E284" s="3"/>
      <c r="F284" s="3"/>
      <c r="G284" s="3"/>
      <c r="H284" s="4">
        <v>13.0</v>
      </c>
      <c r="I284" s="3"/>
    </row>
    <row r="285">
      <c r="A285" s="4" t="s">
        <v>4817</v>
      </c>
      <c r="B285" s="13" t="s">
        <v>48</v>
      </c>
      <c r="C285" s="4">
        <v>1.0</v>
      </c>
      <c r="D285" s="3"/>
      <c r="E285" s="3"/>
      <c r="F285" s="3"/>
      <c r="G285" s="3"/>
      <c r="H285" s="4">
        <v>13.0</v>
      </c>
      <c r="I285" s="3"/>
    </row>
    <row r="286">
      <c r="A286" s="4" t="s">
        <v>4818</v>
      </c>
      <c r="B286" s="13" t="s">
        <v>48</v>
      </c>
      <c r="C286" s="4">
        <v>1.0</v>
      </c>
      <c r="D286" s="3"/>
      <c r="E286" s="3"/>
      <c r="F286" s="3"/>
      <c r="G286" s="3"/>
      <c r="H286" s="4">
        <v>13.0</v>
      </c>
      <c r="I286" s="3"/>
    </row>
    <row r="287">
      <c r="A287" s="4" t="s">
        <v>4819</v>
      </c>
      <c r="B287" s="13" t="s">
        <v>48</v>
      </c>
      <c r="C287" s="4">
        <v>1.0</v>
      </c>
      <c r="D287" s="3"/>
      <c r="E287" s="3"/>
      <c r="F287" s="3"/>
      <c r="G287" s="3"/>
      <c r="H287" s="4">
        <v>13.0</v>
      </c>
      <c r="I287" s="3"/>
    </row>
    <row r="288">
      <c r="A288" s="4" t="s">
        <v>4820</v>
      </c>
      <c r="B288" s="13" t="s">
        <v>48</v>
      </c>
      <c r="C288" s="4">
        <v>1.0</v>
      </c>
      <c r="D288" s="3"/>
      <c r="E288" s="3"/>
      <c r="F288" s="3"/>
      <c r="G288" s="3"/>
      <c r="H288" s="4">
        <v>13.0</v>
      </c>
      <c r="I288" s="3"/>
    </row>
    <row r="289">
      <c r="A289" s="4" t="s">
        <v>4821</v>
      </c>
      <c r="B289" s="13" t="s">
        <v>48</v>
      </c>
      <c r="C289" s="4">
        <v>2.0</v>
      </c>
      <c r="D289" s="3"/>
      <c r="E289" s="4">
        <v>2.0</v>
      </c>
      <c r="F289" s="3"/>
      <c r="G289" s="3"/>
      <c r="H289" s="4">
        <v>13.0</v>
      </c>
      <c r="I289" s="3"/>
    </row>
    <row r="290">
      <c r="A290" s="4" t="s">
        <v>4822</v>
      </c>
      <c r="B290" s="13" t="s">
        <v>48</v>
      </c>
      <c r="C290" s="4">
        <v>2.0</v>
      </c>
      <c r="D290" s="3"/>
      <c r="E290" s="4">
        <v>2.0</v>
      </c>
      <c r="F290" s="3"/>
      <c r="G290" s="3"/>
      <c r="H290" s="4">
        <v>13.0</v>
      </c>
      <c r="I290" s="3"/>
    </row>
    <row r="291">
      <c r="A291" s="4" t="s">
        <v>4823</v>
      </c>
      <c r="B291" s="13" t="s">
        <v>48</v>
      </c>
      <c r="C291" s="4">
        <v>2.0</v>
      </c>
      <c r="D291" s="3"/>
      <c r="E291" s="4">
        <v>2.0</v>
      </c>
      <c r="F291" s="3"/>
      <c r="G291" s="3"/>
      <c r="H291" s="4">
        <v>13.0</v>
      </c>
      <c r="I291" s="3"/>
    </row>
    <row r="292">
      <c r="A292" s="4" t="s">
        <v>4824</v>
      </c>
      <c r="B292" s="13" t="s">
        <v>48</v>
      </c>
      <c r="C292" s="4">
        <v>2.0</v>
      </c>
      <c r="D292" s="3"/>
      <c r="E292" s="4">
        <v>2.0</v>
      </c>
      <c r="F292" s="3"/>
      <c r="G292" s="3"/>
      <c r="H292" s="4">
        <v>13.0</v>
      </c>
      <c r="I292" s="3"/>
    </row>
    <row r="293">
      <c r="A293" s="4" t="s">
        <v>4825</v>
      </c>
      <c r="B293" s="13" t="s">
        <v>48</v>
      </c>
      <c r="C293" s="4">
        <v>2.0</v>
      </c>
      <c r="D293" s="3"/>
      <c r="E293" s="4">
        <v>2.0</v>
      </c>
      <c r="F293" s="3"/>
      <c r="G293" s="3"/>
      <c r="H293" s="4">
        <v>13.0</v>
      </c>
      <c r="I293" s="3"/>
    </row>
    <row r="294">
      <c r="A294" s="4" t="s">
        <v>4826</v>
      </c>
      <c r="B294" s="13" t="s">
        <v>48</v>
      </c>
      <c r="C294" s="4">
        <v>1.0</v>
      </c>
      <c r="D294" s="3"/>
      <c r="E294" s="3"/>
      <c r="F294" s="3"/>
      <c r="G294" s="3"/>
      <c r="H294" s="4">
        <v>13.0</v>
      </c>
      <c r="I294" s="3"/>
    </row>
    <row r="295">
      <c r="A295" s="4" t="s">
        <v>4827</v>
      </c>
      <c r="B295" s="13" t="s">
        <v>48</v>
      </c>
      <c r="C295" s="4">
        <v>1.0</v>
      </c>
      <c r="D295" s="3"/>
      <c r="E295" s="3"/>
      <c r="F295" s="3"/>
      <c r="G295" s="3"/>
      <c r="H295" s="4">
        <v>13.0</v>
      </c>
      <c r="I295" s="3"/>
      <c r="J295" s="4" t="s">
        <v>1757</v>
      </c>
    </row>
    <row r="296">
      <c r="A296" s="4" t="s">
        <v>4828</v>
      </c>
      <c r="B296" s="13" t="s">
        <v>48</v>
      </c>
      <c r="C296" s="4">
        <v>1.0</v>
      </c>
      <c r="D296" s="3"/>
      <c r="E296" s="3"/>
      <c r="F296" s="3"/>
      <c r="G296" s="3"/>
      <c r="H296" s="4">
        <v>13.0</v>
      </c>
      <c r="I296" s="3"/>
      <c r="J296" s="4" t="s">
        <v>1757</v>
      </c>
    </row>
    <row r="297">
      <c r="A297" s="4" t="s">
        <v>4829</v>
      </c>
      <c r="B297" s="13" t="s">
        <v>48</v>
      </c>
      <c r="C297" s="4">
        <v>1.0</v>
      </c>
      <c r="D297" s="3"/>
      <c r="E297" s="3"/>
      <c r="F297" s="3"/>
      <c r="G297" s="3"/>
      <c r="H297" s="4">
        <v>13.0</v>
      </c>
      <c r="I297" s="3"/>
      <c r="J297" s="4" t="s">
        <v>1757</v>
      </c>
    </row>
    <row r="298">
      <c r="A298" s="4" t="s">
        <v>4830</v>
      </c>
      <c r="B298" s="13" t="s">
        <v>48</v>
      </c>
      <c r="C298" s="4">
        <v>1.0</v>
      </c>
      <c r="D298" s="3"/>
      <c r="E298" s="3"/>
      <c r="F298" s="3"/>
      <c r="G298" s="3"/>
      <c r="H298" s="4">
        <v>13.0</v>
      </c>
      <c r="I298" s="3"/>
      <c r="J298" s="4" t="s">
        <v>1757</v>
      </c>
    </row>
    <row r="299">
      <c r="A299" s="4" t="s">
        <v>4831</v>
      </c>
      <c r="B299" s="13" t="s">
        <v>48</v>
      </c>
      <c r="C299" s="4">
        <v>1.0</v>
      </c>
      <c r="D299" s="3"/>
      <c r="E299" s="3"/>
      <c r="F299" s="3"/>
      <c r="G299" s="3"/>
      <c r="H299" s="4">
        <v>13.0</v>
      </c>
      <c r="I299" s="3"/>
      <c r="J299" s="4" t="s">
        <v>1757</v>
      </c>
    </row>
    <row r="300">
      <c r="A300" s="4" t="s">
        <v>4832</v>
      </c>
      <c r="B300" s="13" t="s">
        <v>48</v>
      </c>
      <c r="C300" s="4">
        <v>1.0</v>
      </c>
      <c r="D300" s="3"/>
      <c r="E300" s="3"/>
      <c r="F300" s="3"/>
      <c r="G300" s="3"/>
      <c r="H300" s="4">
        <v>13.0</v>
      </c>
      <c r="I300" s="3"/>
      <c r="J300" s="4" t="s">
        <v>1757</v>
      </c>
    </row>
    <row r="301">
      <c r="A301" s="4" t="s">
        <v>4833</v>
      </c>
      <c r="B301" s="13" t="s">
        <v>48</v>
      </c>
      <c r="C301" s="4">
        <v>1.0</v>
      </c>
      <c r="D301" s="3"/>
      <c r="E301" s="3"/>
      <c r="F301" s="3"/>
      <c r="G301" s="3"/>
      <c r="H301" s="4">
        <v>13.0</v>
      </c>
      <c r="I301" s="3"/>
      <c r="J301" s="4" t="s">
        <v>1757</v>
      </c>
    </row>
    <row r="302">
      <c r="A302" s="4" t="s">
        <v>4834</v>
      </c>
      <c r="B302" s="13" t="s">
        <v>48</v>
      </c>
      <c r="C302" s="4">
        <v>1.0</v>
      </c>
      <c r="D302" s="3"/>
      <c r="E302" s="3"/>
      <c r="F302" s="3"/>
      <c r="G302" s="3"/>
      <c r="H302" s="4">
        <v>13.0</v>
      </c>
      <c r="I302" s="3"/>
      <c r="J302" s="4" t="s">
        <v>1757</v>
      </c>
    </row>
    <row r="303">
      <c r="A303" s="4" t="s">
        <v>4835</v>
      </c>
      <c r="B303" s="13" t="s">
        <v>48</v>
      </c>
      <c r="C303" s="4">
        <v>1.0</v>
      </c>
      <c r="D303" s="3"/>
      <c r="E303" s="3"/>
      <c r="F303" s="3"/>
      <c r="G303" s="3"/>
      <c r="H303" s="4">
        <v>13.0</v>
      </c>
      <c r="I303" s="3"/>
      <c r="J303" s="4" t="s">
        <v>1757</v>
      </c>
    </row>
    <row r="304">
      <c r="A304" s="4" t="s">
        <v>4836</v>
      </c>
      <c r="B304" s="13" t="s">
        <v>48</v>
      </c>
      <c r="C304" s="4">
        <v>1.0</v>
      </c>
      <c r="D304" s="3"/>
      <c r="E304" s="3"/>
      <c r="F304" s="3"/>
      <c r="G304" s="3"/>
      <c r="H304" s="4">
        <v>13.0</v>
      </c>
      <c r="I304" s="3"/>
      <c r="J304" s="4" t="s">
        <v>1757</v>
      </c>
    </row>
    <row r="305">
      <c r="A305" s="4" t="s">
        <v>4837</v>
      </c>
      <c r="B305" s="13" t="s">
        <v>48</v>
      </c>
      <c r="C305" s="4">
        <v>1.0</v>
      </c>
      <c r="D305" s="3"/>
      <c r="E305" s="3"/>
      <c r="F305" s="3"/>
      <c r="G305" s="3"/>
      <c r="H305" s="4">
        <v>13.0</v>
      </c>
      <c r="I305" s="3"/>
      <c r="J305" s="4" t="s">
        <v>1757</v>
      </c>
    </row>
    <row r="306">
      <c r="A306" s="4" t="s">
        <v>4838</v>
      </c>
      <c r="B306" s="13" t="s">
        <v>48</v>
      </c>
      <c r="C306" s="4">
        <v>1.0</v>
      </c>
      <c r="D306" s="3"/>
      <c r="E306" s="3"/>
      <c r="F306" s="3"/>
      <c r="G306" s="3"/>
      <c r="H306" s="4">
        <v>13.0</v>
      </c>
      <c r="I306" s="3"/>
      <c r="J306" s="4" t="s">
        <v>1757</v>
      </c>
    </row>
    <row r="307">
      <c r="A307" s="4" t="s">
        <v>4839</v>
      </c>
      <c r="B307" s="13" t="s">
        <v>48</v>
      </c>
      <c r="C307" s="4">
        <v>1.0</v>
      </c>
      <c r="D307" s="3"/>
      <c r="E307" s="3"/>
      <c r="F307" s="3"/>
      <c r="G307" s="3"/>
      <c r="H307" s="4">
        <v>13.0</v>
      </c>
      <c r="I307" s="3"/>
    </row>
    <row r="308">
      <c r="A308" s="4" t="s">
        <v>4840</v>
      </c>
      <c r="B308" s="13" t="s">
        <v>48</v>
      </c>
      <c r="C308" s="4">
        <v>1.0</v>
      </c>
      <c r="D308" s="3"/>
      <c r="E308" s="3"/>
      <c r="F308" s="3"/>
      <c r="G308" s="3"/>
      <c r="H308" s="4">
        <v>13.0</v>
      </c>
      <c r="I308" s="3"/>
    </row>
    <row r="309">
      <c r="A309" s="4" t="s">
        <v>4841</v>
      </c>
      <c r="B309" s="13" t="s">
        <v>48</v>
      </c>
      <c r="C309" s="4">
        <v>1.0</v>
      </c>
      <c r="D309" s="3"/>
      <c r="E309" s="3"/>
      <c r="F309" s="3"/>
      <c r="G309" s="3"/>
      <c r="H309" s="4">
        <v>13.0</v>
      </c>
      <c r="I309" s="3"/>
      <c r="J309" s="4" t="s">
        <v>1757</v>
      </c>
    </row>
    <row r="310">
      <c r="A310" s="4" t="s">
        <v>4842</v>
      </c>
      <c r="B310" s="13" t="s">
        <v>48</v>
      </c>
      <c r="C310" s="4">
        <v>1.0</v>
      </c>
      <c r="D310" s="3"/>
      <c r="E310" s="3"/>
      <c r="F310" s="3"/>
      <c r="G310" s="3"/>
      <c r="H310" s="4">
        <v>13.0</v>
      </c>
      <c r="I310" s="3"/>
      <c r="J310" s="4" t="s">
        <v>1757</v>
      </c>
    </row>
    <row r="311">
      <c r="A311" s="4" t="s">
        <v>4843</v>
      </c>
      <c r="B311" s="13" t="s">
        <v>48</v>
      </c>
      <c r="C311" s="4">
        <v>1.0</v>
      </c>
      <c r="D311" s="3"/>
      <c r="E311" s="3"/>
      <c r="F311" s="3"/>
      <c r="G311" s="3"/>
      <c r="H311" s="4">
        <v>13.0</v>
      </c>
      <c r="I311" s="3"/>
      <c r="J311" s="4" t="s">
        <v>1757</v>
      </c>
    </row>
    <row r="312">
      <c r="A312" s="4" t="s">
        <v>4844</v>
      </c>
      <c r="B312" s="13" t="s">
        <v>48</v>
      </c>
      <c r="C312" s="4">
        <v>1.0</v>
      </c>
      <c r="D312" s="3"/>
      <c r="E312" s="3"/>
      <c r="F312" s="3"/>
      <c r="G312" s="3"/>
      <c r="H312" s="4">
        <v>13.0</v>
      </c>
      <c r="I312" s="3"/>
      <c r="J312" s="4" t="s">
        <v>1757</v>
      </c>
    </row>
    <row r="313">
      <c r="A313" s="4" t="s">
        <v>4845</v>
      </c>
      <c r="B313" s="13" t="s">
        <v>48</v>
      </c>
      <c r="C313" s="4">
        <v>1.0</v>
      </c>
      <c r="D313" s="3"/>
      <c r="E313" s="3"/>
      <c r="F313" s="3"/>
      <c r="G313" s="3"/>
      <c r="H313" s="4">
        <v>13.0</v>
      </c>
      <c r="I313" s="3"/>
      <c r="J313" s="4" t="s">
        <v>1757</v>
      </c>
    </row>
    <row r="314">
      <c r="A314" s="4" t="s">
        <v>4846</v>
      </c>
      <c r="B314" s="13" t="s">
        <v>48</v>
      </c>
      <c r="C314" s="4">
        <v>1.0</v>
      </c>
      <c r="D314" s="3"/>
      <c r="E314" s="3"/>
      <c r="F314" s="3"/>
      <c r="G314" s="3"/>
      <c r="H314" s="4">
        <v>13.0</v>
      </c>
      <c r="I314" s="3"/>
      <c r="J314" s="4" t="s">
        <v>1757</v>
      </c>
    </row>
    <row r="315">
      <c r="A315" s="4" t="s">
        <v>4847</v>
      </c>
      <c r="B315" s="13" t="s">
        <v>48</v>
      </c>
      <c r="C315" s="4">
        <v>1.0</v>
      </c>
      <c r="D315" s="3"/>
      <c r="E315" s="3"/>
      <c r="F315" s="3"/>
      <c r="G315" s="3"/>
      <c r="H315" s="4">
        <v>13.0</v>
      </c>
      <c r="I315" s="3"/>
      <c r="J315" s="4" t="s">
        <v>1757</v>
      </c>
    </row>
    <row r="316">
      <c r="A316" s="4" t="s">
        <v>4848</v>
      </c>
      <c r="B316" s="13" t="s">
        <v>48</v>
      </c>
      <c r="C316" s="4">
        <v>1.0</v>
      </c>
      <c r="D316" s="3"/>
      <c r="E316" s="3"/>
      <c r="F316" s="3"/>
      <c r="G316" s="3"/>
      <c r="H316" s="4">
        <v>13.0</v>
      </c>
      <c r="I316" s="3"/>
      <c r="J316" s="4" t="s">
        <v>1757</v>
      </c>
    </row>
    <row r="317">
      <c r="A317" s="4" t="s">
        <v>4849</v>
      </c>
      <c r="B317" s="13" t="s">
        <v>48</v>
      </c>
      <c r="C317" s="4">
        <v>1.0</v>
      </c>
      <c r="D317" s="3"/>
      <c r="E317" s="3"/>
      <c r="F317" s="3"/>
      <c r="G317" s="3"/>
      <c r="H317" s="4">
        <v>13.0</v>
      </c>
      <c r="I317" s="3"/>
      <c r="J317" s="4" t="s">
        <v>1757</v>
      </c>
    </row>
    <row r="318">
      <c r="A318" s="4" t="s">
        <v>4850</v>
      </c>
      <c r="B318" s="13" t="s">
        <v>43</v>
      </c>
      <c r="D318" s="3"/>
      <c r="E318" s="3"/>
      <c r="F318" s="3"/>
      <c r="G318" s="3"/>
      <c r="H318" s="3"/>
      <c r="I318" s="3"/>
      <c r="J318" s="4" t="s">
        <v>1757</v>
      </c>
    </row>
    <row r="319">
      <c r="A319" s="4" t="s">
        <v>4851</v>
      </c>
      <c r="B319" s="13" t="s">
        <v>43</v>
      </c>
      <c r="D319" s="3"/>
      <c r="E319" s="3"/>
      <c r="F319" s="3"/>
      <c r="G319" s="3"/>
      <c r="H319" s="3"/>
      <c r="I319" s="3"/>
      <c r="J319" s="4" t="s">
        <v>1757</v>
      </c>
    </row>
    <row r="320">
      <c r="A320" s="4" t="s">
        <v>4852</v>
      </c>
      <c r="B320" s="13" t="s">
        <v>43</v>
      </c>
      <c r="D320" s="3"/>
      <c r="E320" s="3"/>
      <c r="F320" s="3"/>
      <c r="G320" s="3"/>
      <c r="H320" s="3"/>
      <c r="I320" s="3"/>
      <c r="J320" s="4" t="s">
        <v>1757</v>
      </c>
    </row>
    <row r="321">
      <c r="A321" s="4" t="s">
        <v>4853</v>
      </c>
      <c r="B321" s="13" t="s">
        <v>43</v>
      </c>
      <c r="D321" s="3"/>
      <c r="E321" s="3"/>
      <c r="F321" s="3"/>
      <c r="G321" s="3"/>
      <c r="H321" s="3"/>
      <c r="I321" s="3"/>
      <c r="J321" s="4" t="s">
        <v>1757</v>
      </c>
    </row>
    <row r="322">
      <c r="A322" s="4" t="s">
        <v>4854</v>
      </c>
      <c r="B322" s="13" t="s">
        <v>43</v>
      </c>
      <c r="D322" s="3"/>
      <c r="E322" s="3"/>
      <c r="F322" s="3"/>
      <c r="G322" s="3"/>
      <c r="H322" s="3"/>
      <c r="I322" s="3"/>
      <c r="J322" s="4" t="s">
        <v>1757</v>
      </c>
    </row>
    <row r="323">
      <c r="A323" s="4" t="s">
        <v>4855</v>
      </c>
      <c r="B323" s="13" t="s">
        <v>43</v>
      </c>
      <c r="D323" s="3"/>
      <c r="E323" s="3"/>
      <c r="F323" s="3"/>
      <c r="G323" s="3"/>
      <c r="H323" s="3"/>
      <c r="I323" s="3"/>
      <c r="J323" s="4" t="s">
        <v>1757</v>
      </c>
    </row>
    <row r="324">
      <c r="A324" s="4" t="s">
        <v>4856</v>
      </c>
      <c r="B324" s="13" t="s">
        <v>43</v>
      </c>
      <c r="D324" s="3"/>
      <c r="E324" s="3"/>
      <c r="F324" s="3"/>
      <c r="G324" s="3"/>
      <c r="H324" s="3"/>
      <c r="I324" s="3"/>
      <c r="J324" s="4" t="s">
        <v>1757</v>
      </c>
    </row>
    <row r="325">
      <c r="A325" s="4" t="s">
        <v>4857</v>
      </c>
      <c r="B325" s="13" t="s">
        <v>43</v>
      </c>
      <c r="D325" s="3"/>
      <c r="E325" s="3"/>
      <c r="F325" s="3"/>
      <c r="G325" s="3"/>
      <c r="H325" s="3"/>
      <c r="I325" s="3"/>
      <c r="J325" s="4" t="s">
        <v>1757</v>
      </c>
    </row>
    <row r="326">
      <c r="A326" s="4" t="s">
        <v>4858</v>
      </c>
      <c r="B326" s="13" t="s">
        <v>43</v>
      </c>
      <c r="D326" s="3"/>
      <c r="E326" s="3"/>
      <c r="F326" s="3"/>
      <c r="G326" s="3"/>
      <c r="H326" s="3"/>
      <c r="I326" s="3"/>
      <c r="J326" s="4" t="s">
        <v>1757</v>
      </c>
    </row>
    <row r="327">
      <c r="A327" s="4" t="s">
        <v>4859</v>
      </c>
      <c r="B327" s="13" t="s">
        <v>43</v>
      </c>
      <c r="D327" s="3"/>
      <c r="E327" s="3"/>
      <c r="F327" s="3"/>
      <c r="G327" s="3"/>
      <c r="H327" s="3"/>
      <c r="I327" s="3"/>
      <c r="J327" s="4" t="s">
        <v>1757</v>
      </c>
    </row>
    <row r="328">
      <c r="A328" s="4" t="s">
        <v>4860</v>
      </c>
      <c r="B328" s="13" t="s">
        <v>43</v>
      </c>
      <c r="D328" s="3"/>
      <c r="E328" s="3"/>
      <c r="F328" s="3"/>
      <c r="G328" s="3"/>
      <c r="H328" s="3"/>
      <c r="I328" s="3"/>
      <c r="J328" s="4" t="s">
        <v>1757</v>
      </c>
    </row>
    <row r="329">
      <c r="A329" s="4" t="s">
        <v>4861</v>
      </c>
      <c r="B329" s="13" t="s">
        <v>43</v>
      </c>
      <c r="D329" s="3"/>
      <c r="E329" s="3"/>
      <c r="F329" s="3"/>
      <c r="G329" s="3"/>
      <c r="H329" s="3"/>
      <c r="I329" s="3"/>
      <c r="J329" s="4" t="s">
        <v>1757</v>
      </c>
    </row>
    <row r="330">
      <c r="A330" s="4" t="s">
        <v>4862</v>
      </c>
      <c r="B330" s="13" t="s">
        <v>43</v>
      </c>
      <c r="D330" s="3"/>
      <c r="E330" s="3"/>
      <c r="F330" s="3"/>
      <c r="G330" s="3"/>
      <c r="H330" s="3"/>
      <c r="I330" s="3"/>
      <c r="J330" s="4" t="s">
        <v>1757</v>
      </c>
    </row>
    <row r="331">
      <c r="A331" s="4" t="s">
        <v>4863</v>
      </c>
      <c r="B331" s="13" t="s">
        <v>43</v>
      </c>
      <c r="D331" s="3"/>
      <c r="E331" s="3"/>
      <c r="F331" s="3"/>
      <c r="G331" s="3"/>
      <c r="H331" s="3"/>
      <c r="I331" s="3"/>
      <c r="J331" s="4" t="s">
        <v>1757</v>
      </c>
    </row>
    <row r="332">
      <c r="A332" s="4" t="s">
        <v>4864</v>
      </c>
      <c r="B332" s="13" t="s">
        <v>43</v>
      </c>
      <c r="D332" s="3"/>
      <c r="E332" s="3"/>
      <c r="F332" s="3"/>
      <c r="G332" s="3"/>
      <c r="H332" s="3"/>
      <c r="I332" s="3"/>
      <c r="J332" s="4" t="s">
        <v>1757</v>
      </c>
    </row>
    <row r="333">
      <c r="A333" s="4" t="s">
        <v>4865</v>
      </c>
      <c r="B333" s="13" t="s">
        <v>43</v>
      </c>
      <c r="D333" s="3"/>
      <c r="E333" s="3"/>
      <c r="F333" s="3"/>
      <c r="G333" s="3"/>
      <c r="H333" s="3"/>
      <c r="I333" s="3"/>
      <c r="J333" s="4" t="s">
        <v>1757</v>
      </c>
    </row>
    <row r="334">
      <c r="A334" s="4" t="s">
        <v>4866</v>
      </c>
      <c r="B334" s="13" t="s">
        <v>43</v>
      </c>
      <c r="D334" s="3"/>
      <c r="E334" s="3"/>
      <c r="F334" s="3"/>
      <c r="G334" s="3"/>
      <c r="H334" s="3"/>
      <c r="I334" s="3"/>
      <c r="J334" s="4" t="s">
        <v>1757</v>
      </c>
    </row>
    <row r="335">
      <c r="A335" s="4" t="s">
        <v>4867</v>
      </c>
      <c r="B335" s="13" t="s">
        <v>43</v>
      </c>
      <c r="D335" s="3"/>
      <c r="E335" s="3"/>
      <c r="F335" s="3"/>
      <c r="G335" s="3"/>
      <c r="H335" s="3"/>
      <c r="I335" s="3"/>
      <c r="J335" s="4" t="s">
        <v>1757</v>
      </c>
    </row>
    <row r="336">
      <c r="A336" s="4" t="s">
        <v>4868</v>
      </c>
      <c r="B336" s="13" t="s">
        <v>43</v>
      </c>
      <c r="D336" s="3"/>
      <c r="E336" s="3"/>
      <c r="F336" s="3"/>
      <c r="G336" s="3"/>
      <c r="H336" s="3"/>
      <c r="I336" s="3"/>
      <c r="J336" s="4" t="s">
        <v>1757</v>
      </c>
    </row>
    <row r="337">
      <c r="A337" s="4" t="s">
        <v>4869</v>
      </c>
      <c r="B337" s="13" t="s">
        <v>43</v>
      </c>
      <c r="D337" s="3"/>
      <c r="E337" s="3"/>
      <c r="F337" s="3"/>
      <c r="G337" s="3"/>
      <c r="H337" s="3"/>
      <c r="I337" s="3"/>
      <c r="J337" s="4" t="s">
        <v>1757</v>
      </c>
    </row>
    <row r="338">
      <c r="A338" s="4" t="s">
        <v>4870</v>
      </c>
      <c r="B338" s="13" t="s">
        <v>43</v>
      </c>
      <c r="D338" s="3"/>
      <c r="E338" s="3"/>
      <c r="F338" s="3"/>
      <c r="G338" s="3"/>
      <c r="H338" s="3"/>
      <c r="I338" s="3"/>
      <c r="J338" s="4" t="s">
        <v>1757</v>
      </c>
    </row>
    <row r="339">
      <c r="A339" s="4" t="s">
        <v>4871</v>
      </c>
      <c r="B339" s="13" t="s">
        <v>43</v>
      </c>
      <c r="D339" s="3"/>
      <c r="E339" s="3"/>
      <c r="F339" s="3"/>
      <c r="G339" s="3"/>
      <c r="H339" s="3"/>
      <c r="I339" s="3"/>
      <c r="J339" s="4" t="s">
        <v>1757</v>
      </c>
    </row>
    <row r="340">
      <c r="A340" s="4" t="s">
        <v>4872</v>
      </c>
      <c r="B340" s="13" t="s">
        <v>43</v>
      </c>
      <c r="D340" s="3"/>
      <c r="E340" s="3"/>
      <c r="F340" s="3"/>
      <c r="G340" s="3"/>
      <c r="H340" s="3"/>
      <c r="I340" s="3"/>
      <c r="J340" s="4" t="s">
        <v>1757</v>
      </c>
    </row>
    <row r="341">
      <c r="A341" s="4" t="s">
        <v>4873</v>
      </c>
      <c r="B341" s="13" t="s">
        <v>43</v>
      </c>
      <c r="D341" s="3"/>
      <c r="E341" s="3"/>
      <c r="F341" s="3"/>
      <c r="G341" s="3"/>
      <c r="H341" s="3"/>
      <c r="I341" s="3"/>
      <c r="J341" s="4" t="s">
        <v>1757</v>
      </c>
    </row>
    <row r="342">
      <c r="A342" s="4" t="s">
        <v>4874</v>
      </c>
      <c r="B342" s="13" t="s">
        <v>43</v>
      </c>
      <c r="D342" s="3"/>
      <c r="E342" s="3"/>
      <c r="F342" s="3"/>
      <c r="G342" s="3"/>
      <c r="H342" s="3"/>
      <c r="I342" s="3"/>
      <c r="J342" s="4" t="s">
        <v>1757</v>
      </c>
    </row>
    <row r="343">
      <c r="A343" s="4" t="s">
        <v>4875</v>
      </c>
      <c r="B343" s="13" t="s">
        <v>43</v>
      </c>
      <c r="D343" s="3"/>
      <c r="E343" s="3"/>
      <c r="F343" s="3"/>
      <c r="G343" s="3"/>
      <c r="H343" s="3"/>
      <c r="I343" s="3"/>
      <c r="J343" s="4" t="s">
        <v>1757</v>
      </c>
    </row>
    <row r="344">
      <c r="A344" s="4" t="s">
        <v>4876</v>
      </c>
      <c r="B344" s="13" t="s">
        <v>43</v>
      </c>
      <c r="D344" s="3"/>
      <c r="E344" s="3"/>
      <c r="F344" s="3"/>
      <c r="G344" s="3"/>
      <c r="H344" s="3"/>
      <c r="I344" s="3"/>
      <c r="J344" s="4" t="s">
        <v>1757</v>
      </c>
    </row>
    <row r="345">
      <c r="A345" s="4" t="s">
        <v>4877</v>
      </c>
      <c r="B345" s="13" t="s">
        <v>43</v>
      </c>
      <c r="D345" s="3"/>
      <c r="E345" s="3"/>
      <c r="F345" s="3"/>
      <c r="G345" s="3"/>
      <c r="H345" s="3"/>
      <c r="I345" s="3"/>
      <c r="J345" s="4" t="s">
        <v>1757</v>
      </c>
    </row>
    <row r="346">
      <c r="A346" s="4" t="s">
        <v>4878</v>
      </c>
      <c r="B346" s="13" t="s">
        <v>43</v>
      </c>
      <c r="D346" s="3"/>
      <c r="E346" s="3"/>
      <c r="F346" s="3"/>
      <c r="G346" s="3"/>
      <c r="H346" s="3"/>
      <c r="I346" s="3"/>
      <c r="J346" s="4" t="s">
        <v>1757</v>
      </c>
    </row>
    <row r="347">
      <c r="A347" s="4" t="s">
        <v>4879</v>
      </c>
      <c r="B347" s="13" t="s">
        <v>43</v>
      </c>
      <c r="D347" s="3"/>
      <c r="E347" s="3"/>
      <c r="F347" s="3"/>
      <c r="G347" s="3"/>
      <c r="H347" s="3"/>
      <c r="I347" s="3"/>
      <c r="J347" s="4" t="s">
        <v>1757</v>
      </c>
    </row>
    <row r="348">
      <c r="A348" s="4" t="s">
        <v>4880</v>
      </c>
      <c r="B348" s="13" t="s">
        <v>43</v>
      </c>
      <c r="D348" s="3"/>
      <c r="E348" s="3"/>
      <c r="F348" s="3"/>
      <c r="G348" s="3"/>
      <c r="H348" s="3"/>
      <c r="I348" s="3"/>
      <c r="J348" s="4" t="s">
        <v>1757</v>
      </c>
    </row>
    <row r="349">
      <c r="A349" s="4" t="s">
        <v>4881</v>
      </c>
      <c r="B349" s="13" t="s">
        <v>43</v>
      </c>
      <c r="D349" s="3"/>
      <c r="E349" s="3"/>
      <c r="F349" s="3"/>
      <c r="G349" s="3"/>
      <c r="H349" s="3"/>
      <c r="I349" s="3"/>
      <c r="J349" s="4" t="s">
        <v>1757</v>
      </c>
    </row>
    <row r="350">
      <c r="A350" s="4" t="s">
        <v>4882</v>
      </c>
      <c r="B350" s="13" t="s">
        <v>43</v>
      </c>
      <c r="D350" s="3"/>
      <c r="E350" s="3"/>
      <c r="F350" s="3"/>
      <c r="G350" s="3"/>
      <c r="H350" s="3"/>
      <c r="I350" s="3"/>
      <c r="J350" s="4" t="s">
        <v>1757</v>
      </c>
    </row>
    <row r="351">
      <c r="A351" s="4" t="s">
        <v>4883</v>
      </c>
      <c r="B351" s="13" t="s">
        <v>43</v>
      </c>
      <c r="D351" s="3"/>
      <c r="E351" s="3"/>
      <c r="F351" s="3"/>
      <c r="G351" s="3"/>
      <c r="H351" s="3"/>
      <c r="I351" s="3"/>
      <c r="J351" s="4" t="s">
        <v>1757</v>
      </c>
    </row>
    <row r="352">
      <c r="A352" s="4" t="s">
        <v>4884</v>
      </c>
      <c r="B352" s="13" t="s">
        <v>43</v>
      </c>
      <c r="D352" s="3"/>
      <c r="E352" s="3"/>
      <c r="F352" s="3"/>
      <c r="G352" s="3"/>
      <c r="H352" s="3"/>
      <c r="I352" s="3"/>
      <c r="J352" s="4" t="s">
        <v>1757</v>
      </c>
    </row>
    <row r="353">
      <c r="A353" s="4" t="s">
        <v>4885</v>
      </c>
      <c r="B353" s="13" t="s">
        <v>43</v>
      </c>
      <c r="D353" s="3"/>
      <c r="E353" s="3"/>
      <c r="F353" s="3"/>
      <c r="G353" s="3"/>
      <c r="H353" s="3"/>
      <c r="I353" s="3"/>
      <c r="J353" s="4" t="s">
        <v>1757</v>
      </c>
    </row>
    <row r="354">
      <c r="A354" s="4" t="s">
        <v>4886</v>
      </c>
      <c r="B354" s="13" t="s">
        <v>43</v>
      </c>
      <c r="D354" s="3"/>
      <c r="E354" s="3"/>
      <c r="F354" s="3"/>
      <c r="G354" s="3"/>
      <c r="H354" s="3"/>
      <c r="I354" s="3"/>
      <c r="J354" s="4" t="s">
        <v>1757</v>
      </c>
      <c r="K354" s="4" t="s">
        <v>1757</v>
      </c>
    </row>
    <row r="355">
      <c r="A355" s="4" t="s">
        <v>4887</v>
      </c>
      <c r="B355" s="13" t="s">
        <v>43</v>
      </c>
      <c r="D355" s="3"/>
      <c r="E355" s="3"/>
      <c r="F355" s="3"/>
      <c r="G355" s="3"/>
      <c r="H355" s="3"/>
      <c r="I355" s="3"/>
      <c r="J355" s="4" t="s">
        <v>1757</v>
      </c>
    </row>
    <row r="356">
      <c r="A356" s="4" t="s">
        <v>4888</v>
      </c>
      <c r="B356" s="13" t="s">
        <v>43</v>
      </c>
      <c r="D356" s="3"/>
      <c r="E356" s="3"/>
      <c r="F356" s="3"/>
      <c r="G356" s="3"/>
      <c r="H356" s="3"/>
      <c r="I356" s="3"/>
      <c r="J356" s="4" t="s">
        <v>1757</v>
      </c>
    </row>
    <row r="357">
      <c r="A357" s="4" t="s">
        <v>4889</v>
      </c>
      <c r="B357" s="13" t="s">
        <v>43</v>
      </c>
      <c r="D357" s="3"/>
      <c r="E357" s="3"/>
      <c r="F357" s="3"/>
      <c r="G357" s="3"/>
      <c r="H357" s="3"/>
      <c r="I357" s="3"/>
      <c r="J357" s="4" t="s">
        <v>1757</v>
      </c>
    </row>
    <row r="358">
      <c r="A358" s="4" t="s">
        <v>4890</v>
      </c>
      <c r="B358" s="13" t="s">
        <v>43</v>
      </c>
      <c r="D358" s="3"/>
      <c r="E358" s="3"/>
      <c r="F358" s="3"/>
      <c r="G358" s="3"/>
      <c r="H358" s="3"/>
      <c r="I358" s="3"/>
      <c r="J358" s="4" t="s">
        <v>1757</v>
      </c>
    </row>
    <row r="359">
      <c r="A359" s="4" t="s">
        <v>4891</v>
      </c>
      <c r="B359" s="13" t="s">
        <v>43</v>
      </c>
      <c r="D359" s="3"/>
      <c r="E359" s="3"/>
      <c r="F359" s="3"/>
      <c r="G359" s="3"/>
      <c r="H359" s="3"/>
      <c r="I359" s="3"/>
      <c r="J359" s="4" t="s">
        <v>1757</v>
      </c>
    </row>
    <row r="360">
      <c r="A360" s="4" t="s">
        <v>4892</v>
      </c>
      <c r="B360" s="13" t="s">
        <v>43</v>
      </c>
      <c r="D360" s="3"/>
      <c r="E360" s="3"/>
      <c r="F360" s="3"/>
      <c r="G360" s="3"/>
      <c r="H360" s="3"/>
      <c r="I360" s="3"/>
      <c r="J360" s="4" t="s">
        <v>1757</v>
      </c>
    </row>
    <row r="361">
      <c r="A361" s="4" t="s">
        <v>4893</v>
      </c>
      <c r="B361" s="13" t="s">
        <v>43</v>
      </c>
      <c r="D361" s="3"/>
      <c r="E361" s="3"/>
      <c r="F361" s="3"/>
      <c r="G361" s="3"/>
      <c r="H361" s="3"/>
      <c r="I361" s="3"/>
      <c r="J361" s="4" t="s">
        <v>1757</v>
      </c>
    </row>
    <row r="362">
      <c r="A362" s="4" t="s">
        <v>4894</v>
      </c>
      <c r="B362" s="13" t="s">
        <v>43</v>
      </c>
      <c r="D362" s="3"/>
      <c r="E362" s="3"/>
      <c r="F362" s="3"/>
      <c r="G362" s="3"/>
      <c r="H362" s="3"/>
      <c r="I362" s="3"/>
      <c r="J362" s="4" t="s">
        <v>1757</v>
      </c>
    </row>
    <row r="363">
      <c r="A363" s="4" t="s">
        <v>4895</v>
      </c>
      <c r="B363" s="13" t="s">
        <v>43</v>
      </c>
      <c r="D363" s="3"/>
      <c r="E363" s="3"/>
      <c r="F363" s="3"/>
      <c r="G363" s="3"/>
      <c r="H363" s="3"/>
      <c r="I363" s="3"/>
      <c r="J363" s="4" t="s">
        <v>1757</v>
      </c>
    </row>
    <row r="364">
      <c r="A364" s="4" t="s">
        <v>4896</v>
      </c>
      <c r="B364" s="13" t="s">
        <v>43</v>
      </c>
      <c r="D364" s="3"/>
      <c r="E364" s="3"/>
      <c r="F364" s="3"/>
      <c r="G364" s="3"/>
      <c r="H364" s="3"/>
      <c r="I364" s="3"/>
      <c r="J364" s="4" t="s">
        <v>1757</v>
      </c>
    </row>
    <row r="365">
      <c r="A365" s="4" t="s">
        <v>4897</v>
      </c>
      <c r="B365" s="13" t="s">
        <v>43</v>
      </c>
      <c r="D365" s="3"/>
      <c r="E365" s="3"/>
      <c r="F365" s="3"/>
      <c r="G365" s="3"/>
      <c r="H365" s="3"/>
      <c r="I365" s="3"/>
      <c r="J365" s="4" t="s">
        <v>1757</v>
      </c>
    </row>
    <row r="366">
      <c r="A366" s="4" t="s">
        <v>4898</v>
      </c>
      <c r="B366" s="13" t="s">
        <v>43</v>
      </c>
      <c r="D366" s="3"/>
      <c r="E366" s="3"/>
      <c r="F366" s="3"/>
      <c r="G366" s="3"/>
      <c r="H366" s="3"/>
      <c r="I366" s="3"/>
      <c r="J366" s="4" t="s">
        <v>1757</v>
      </c>
    </row>
    <row r="367">
      <c r="A367" s="4" t="s">
        <v>4899</v>
      </c>
      <c r="B367" s="13" t="s">
        <v>43</v>
      </c>
      <c r="D367" s="3"/>
      <c r="E367" s="3"/>
      <c r="F367" s="3"/>
      <c r="G367" s="3"/>
      <c r="H367" s="3"/>
      <c r="I367" s="3"/>
      <c r="J367" s="4" t="s">
        <v>1757</v>
      </c>
    </row>
    <row r="368">
      <c r="A368" s="4" t="s">
        <v>4900</v>
      </c>
      <c r="B368" s="13" t="s">
        <v>43</v>
      </c>
      <c r="D368" s="3"/>
      <c r="E368" s="3"/>
      <c r="F368" s="3"/>
      <c r="G368" s="3"/>
      <c r="H368" s="3"/>
      <c r="I368" s="3"/>
      <c r="J368" s="4" t="s">
        <v>1757</v>
      </c>
    </row>
    <row r="369">
      <c r="A369" s="4" t="s">
        <v>4901</v>
      </c>
      <c r="B369" s="13" t="s">
        <v>43</v>
      </c>
      <c r="D369" s="3"/>
      <c r="E369" s="3"/>
      <c r="F369" s="3"/>
      <c r="G369" s="3"/>
      <c r="H369" s="3"/>
      <c r="I369" s="3"/>
      <c r="J369" s="4" t="s">
        <v>1757</v>
      </c>
    </row>
    <row r="370">
      <c r="A370" s="4" t="s">
        <v>4902</v>
      </c>
      <c r="B370" s="13" t="s">
        <v>43</v>
      </c>
      <c r="D370" s="3"/>
      <c r="E370" s="3"/>
      <c r="F370" s="3"/>
      <c r="G370" s="3"/>
      <c r="H370" s="3"/>
      <c r="I370" s="3"/>
      <c r="J370" s="4" t="s">
        <v>1757</v>
      </c>
    </row>
    <row r="371">
      <c r="A371" s="4" t="s">
        <v>4903</v>
      </c>
      <c r="B371" s="13" t="s">
        <v>43</v>
      </c>
      <c r="D371" s="3"/>
      <c r="E371" s="3"/>
      <c r="F371" s="3"/>
      <c r="G371" s="3"/>
      <c r="H371" s="3"/>
      <c r="I371" s="3"/>
      <c r="J371" s="4" t="s">
        <v>1757</v>
      </c>
    </row>
    <row r="372">
      <c r="A372" s="4" t="s">
        <v>4904</v>
      </c>
      <c r="B372" s="13" t="s">
        <v>43</v>
      </c>
      <c r="D372" s="3"/>
      <c r="E372" s="3"/>
      <c r="F372" s="3"/>
      <c r="G372" s="3"/>
      <c r="H372" s="3"/>
      <c r="I372" s="3"/>
      <c r="J372" s="4" t="s">
        <v>1757</v>
      </c>
    </row>
    <row r="373">
      <c r="A373" s="4" t="s">
        <v>4905</v>
      </c>
      <c r="B373" s="13" t="s">
        <v>43</v>
      </c>
      <c r="D373" s="3"/>
      <c r="E373" s="3"/>
      <c r="F373" s="3"/>
      <c r="G373" s="3"/>
      <c r="H373" s="3"/>
      <c r="I373" s="3"/>
      <c r="J373" s="4" t="s">
        <v>1757</v>
      </c>
    </row>
    <row r="374">
      <c r="A374" s="4" t="s">
        <v>4906</v>
      </c>
      <c r="B374" s="13" t="s">
        <v>43</v>
      </c>
      <c r="D374" s="3"/>
      <c r="E374" s="3"/>
      <c r="F374" s="3"/>
      <c r="G374" s="3"/>
      <c r="H374" s="3"/>
      <c r="I374" s="3"/>
      <c r="J374" s="4" t="s">
        <v>1757</v>
      </c>
    </row>
    <row r="375">
      <c r="A375" s="4" t="s">
        <v>4907</v>
      </c>
      <c r="B375" s="13" t="s">
        <v>43</v>
      </c>
      <c r="D375" s="3"/>
      <c r="E375" s="3"/>
      <c r="F375" s="3"/>
      <c r="G375" s="3"/>
      <c r="H375" s="3"/>
      <c r="I375" s="3"/>
      <c r="J375" s="4" t="s">
        <v>1757</v>
      </c>
    </row>
    <row r="376">
      <c r="A376" s="4" t="s">
        <v>4908</v>
      </c>
      <c r="B376" s="13" t="s">
        <v>43</v>
      </c>
      <c r="D376" s="3"/>
      <c r="E376" s="3"/>
      <c r="F376" s="3"/>
      <c r="G376" s="3"/>
      <c r="H376" s="3"/>
      <c r="I376" s="3"/>
      <c r="J376" s="4" t="s">
        <v>1757</v>
      </c>
    </row>
    <row r="377">
      <c r="A377" s="4" t="s">
        <v>4909</v>
      </c>
      <c r="B377" s="13" t="s">
        <v>43</v>
      </c>
      <c r="D377" s="3"/>
      <c r="E377" s="3"/>
      <c r="F377" s="3"/>
      <c r="G377" s="3"/>
      <c r="H377" s="3"/>
      <c r="I377" s="3"/>
      <c r="J377" s="4" t="s">
        <v>1757</v>
      </c>
    </row>
    <row r="378">
      <c r="A378" s="4" t="s">
        <v>4910</v>
      </c>
      <c r="B378" s="13" t="s">
        <v>43</v>
      </c>
      <c r="D378" s="3"/>
      <c r="E378" s="3"/>
      <c r="F378" s="3"/>
      <c r="G378" s="3"/>
      <c r="H378" s="3"/>
      <c r="I378" s="3"/>
      <c r="J378" s="4" t="s">
        <v>1757</v>
      </c>
    </row>
    <row r="379">
      <c r="A379" s="4" t="s">
        <v>4911</v>
      </c>
      <c r="B379" s="13" t="s">
        <v>43</v>
      </c>
      <c r="D379" s="3"/>
      <c r="E379" s="3"/>
      <c r="F379" s="3"/>
      <c r="G379" s="3"/>
      <c r="H379" s="3"/>
      <c r="I379" s="3"/>
      <c r="J379" s="4" t="s">
        <v>1757</v>
      </c>
    </row>
    <row r="380">
      <c r="A380" s="4" t="s">
        <v>4912</v>
      </c>
      <c r="B380" s="13" t="s">
        <v>43</v>
      </c>
      <c r="D380" s="3"/>
      <c r="E380" s="3"/>
      <c r="F380" s="3"/>
      <c r="G380" s="3"/>
      <c r="H380" s="3"/>
      <c r="I380" s="3"/>
      <c r="J380" s="4" t="s">
        <v>1757</v>
      </c>
    </row>
    <row r="381">
      <c r="A381" s="4" t="s">
        <v>4913</v>
      </c>
      <c r="B381" s="13" t="s">
        <v>43</v>
      </c>
      <c r="D381" s="3"/>
      <c r="E381" s="3"/>
      <c r="F381" s="3"/>
      <c r="G381" s="3"/>
      <c r="H381" s="3"/>
      <c r="I381" s="3"/>
      <c r="J381" s="4" t="s">
        <v>1757</v>
      </c>
    </row>
    <row r="382">
      <c r="A382" s="4" t="s">
        <v>4914</v>
      </c>
      <c r="B382" s="13" t="s">
        <v>43</v>
      </c>
      <c r="D382" s="3"/>
      <c r="E382" s="3"/>
      <c r="F382" s="3"/>
      <c r="G382" s="3"/>
      <c r="H382" s="3"/>
      <c r="I382" s="3"/>
      <c r="J382" s="4" t="s">
        <v>1757</v>
      </c>
    </row>
    <row r="383">
      <c r="A383" s="4" t="s">
        <v>4915</v>
      </c>
      <c r="B383" s="13" t="s">
        <v>43</v>
      </c>
      <c r="D383" s="3"/>
      <c r="E383" s="3"/>
      <c r="F383" s="3"/>
      <c r="G383" s="3"/>
      <c r="H383" s="3"/>
      <c r="I383" s="3"/>
      <c r="J383" s="4" t="s">
        <v>1757</v>
      </c>
    </row>
    <row r="384">
      <c r="A384" s="4" t="s">
        <v>4916</v>
      </c>
      <c r="B384" s="13" t="s">
        <v>43</v>
      </c>
      <c r="D384" s="3"/>
      <c r="E384" s="3"/>
      <c r="F384" s="3"/>
      <c r="G384" s="3"/>
      <c r="H384" s="3"/>
      <c r="I384" s="3"/>
      <c r="J384" s="4" t="s">
        <v>1757</v>
      </c>
    </row>
    <row r="385">
      <c r="A385" s="4" t="s">
        <v>4917</v>
      </c>
      <c r="B385" s="13" t="s">
        <v>43</v>
      </c>
      <c r="D385" s="3"/>
      <c r="E385" s="3"/>
      <c r="F385" s="3"/>
      <c r="G385" s="3"/>
      <c r="H385" s="3"/>
      <c r="I385" s="3"/>
      <c r="J385" s="4" t="s">
        <v>1757</v>
      </c>
    </row>
    <row r="386">
      <c r="A386" s="4" t="s">
        <v>4918</v>
      </c>
      <c r="B386" s="13" t="s">
        <v>43</v>
      </c>
      <c r="D386" s="3"/>
      <c r="E386" s="3"/>
      <c r="F386" s="3"/>
      <c r="G386" s="3"/>
      <c r="H386" s="3"/>
      <c r="I386" s="3"/>
      <c r="J386" s="4" t="s">
        <v>1757</v>
      </c>
    </row>
    <row r="387">
      <c r="A387" s="4" t="s">
        <v>4919</v>
      </c>
      <c r="B387" s="13" t="s">
        <v>43</v>
      </c>
      <c r="D387" s="3"/>
      <c r="E387" s="3"/>
      <c r="F387" s="3"/>
      <c r="G387" s="3"/>
      <c r="H387" s="3"/>
      <c r="I387" s="3"/>
      <c r="J387" s="4" t="s">
        <v>1757</v>
      </c>
    </row>
    <row r="388">
      <c r="A388" s="4" t="s">
        <v>4920</v>
      </c>
      <c r="B388" s="13" t="s">
        <v>43</v>
      </c>
      <c r="D388" s="3"/>
      <c r="E388" s="3"/>
      <c r="F388" s="3"/>
      <c r="G388" s="3"/>
      <c r="H388" s="3"/>
      <c r="I388" s="3"/>
      <c r="J388" s="4" t="s">
        <v>1757</v>
      </c>
    </row>
    <row r="389">
      <c r="A389" s="4" t="s">
        <v>4921</v>
      </c>
      <c r="B389" s="13" t="s">
        <v>43</v>
      </c>
      <c r="D389" s="3"/>
      <c r="E389" s="3"/>
      <c r="F389" s="3"/>
      <c r="G389" s="3"/>
      <c r="H389" s="3"/>
      <c r="I389" s="3"/>
      <c r="J389" s="4" t="s">
        <v>1757</v>
      </c>
    </row>
    <row r="390">
      <c r="A390" s="4" t="s">
        <v>4922</v>
      </c>
      <c r="B390" s="13" t="s">
        <v>43</v>
      </c>
      <c r="D390" s="3"/>
      <c r="E390" s="3"/>
      <c r="F390" s="3"/>
      <c r="G390" s="3"/>
      <c r="H390" s="3"/>
      <c r="I390" s="3"/>
      <c r="J390" s="4" t="s">
        <v>1757</v>
      </c>
    </row>
    <row r="391">
      <c r="A391" s="4" t="s">
        <v>4923</v>
      </c>
      <c r="B391" s="13" t="s">
        <v>43</v>
      </c>
      <c r="D391" s="3"/>
      <c r="E391" s="3"/>
      <c r="F391" s="3"/>
      <c r="G391" s="3"/>
      <c r="H391" s="3"/>
      <c r="I391" s="3"/>
      <c r="J391" s="4" t="s">
        <v>1757</v>
      </c>
    </row>
    <row r="392">
      <c r="A392" s="4" t="s">
        <v>4924</v>
      </c>
      <c r="B392" s="13" t="s">
        <v>43</v>
      </c>
      <c r="D392" s="3"/>
      <c r="E392" s="3"/>
      <c r="F392" s="3"/>
      <c r="G392" s="3"/>
      <c r="H392" s="3"/>
      <c r="I392" s="3"/>
      <c r="J392" s="4" t="s">
        <v>1757</v>
      </c>
    </row>
    <row r="393">
      <c r="A393" s="4" t="s">
        <v>4925</v>
      </c>
      <c r="B393" s="13" t="s">
        <v>43</v>
      </c>
      <c r="D393" s="3"/>
      <c r="E393" s="3"/>
      <c r="F393" s="3"/>
      <c r="G393" s="3"/>
      <c r="H393" s="3"/>
      <c r="I393" s="3"/>
      <c r="J393" s="4" t="s">
        <v>1757</v>
      </c>
    </row>
    <row r="394">
      <c r="A394" s="4" t="s">
        <v>4926</v>
      </c>
      <c r="B394" s="13" t="s">
        <v>43</v>
      </c>
      <c r="D394" s="3"/>
      <c r="E394" s="3"/>
      <c r="F394" s="3"/>
      <c r="G394" s="3"/>
      <c r="H394" s="3"/>
      <c r="I394" s="3"/>
      <c r="J394" s="4" t="s">
        <v>1757</v>
      </c>
    </row>
    <row r="395">
      <c r="A395" s="4" t="s">
        <v>4927</v>
      </c>
      <c r="B395" s="13" t="s">
        <v>43</v>
      </c>
      <c r="D395" s="3"/>
      <c r="E395" s="3"/>
      <c r="F395" s="3"/>
      <c r="G395" s="3"/>
      <c r="H395" s="3"/>
      <c r="I395" s="3"/>
      <c r="J395" s="4" t="s">
        <v>1757</v>
      </c>
    </row>
    <row r="396">
      <c r="A396" s="4" t="s">
        <v>4928</v>
      </c>
      <c r="B396" s="13" t="s">
        <v>43</v>
      </c>
      <c r="D396" s="3"/>
      <c r="E396" s="3"/>
      <c r="F396" s="3"/>
      <c r="G396" s="3"/>
      <c r="H396" s="3"/>
      <c r="I396" s="3"/>
      <c r="J396" s="4" t="s">
        <v>1757</v>
      </c>
    </row>
    <row r="397">
      <c r="A397" s="4" t="s">
        <v>4929</v>
      </c>
      <c r="B397" s="13" t="s">
        <v>43</v>
      </c>
      <c r="D397" s="3"/>
      <c r="E397" s="3"/>
      <c r="F397" s="3"/>
      <c r="G397" s="3"/>
      <c r="H397" s="3"/>
      <c r="I397" s="3"/>
      <c r="J397" s="4" t="s">
        <v>1757</v>
      </c>
    </row>
    <row r="398">
      <c r="A398" s="4" t="s">
        <v>4930</v>
      </c>
      <c r="B398" s="13" t="s">
        <v>43</v>
      </c>
      <c r="D398" s="3"/>
      <c r="E398" s="3"/>
      <c r="F398" s="3"/>
      <c r="G398" s="3"/>
      <c r="H398" s="3"/>
      <c r="I398" s="3"/>
      <c r="J398" s="4" t="s">
        <v>1757</v>
      </c>
    </row>
    <row r="399">
      <c r="A399" s="4" t="s">
        <v>4931</v>
      </c>
      <c r="B399" s="13" t="s">
        <v>43</v>
      </c>
      <c r="D399" s="3"/>
      <c r="E399" s="3"/>
      <c r="F399" s="3"/>
      <c r="G399" s="3"/>
      <c r="H399" s="3"/>
      <c r="I399" s="3"/>
      <c r="J399" s="4" t="s">
        <v>1757</v>
      </c>
    </row>
    <row r="400">
      <c r="A400" s="4" t="s">
        <v>4932</v>
      </c>
      <c r="B400" s="13" t="s">
        <v>43</v>
      </c>
      <c r="D400" s="3"/>
      <c r="E400" s="3"/>
      <c r="F400" s="3"/>
      <c r="G400" s="3"/>
      <c r="H400" s="3"/>
      <c r="I400" s="3"/>
      <c r="J400" s="4" t="s">
        <v>1757</v>
      </c>
    </row>
    <row r="401">
      <c r="A401" s="4" t="s">
        <v>4933</v>
      </c>
      <c r="B401" s="13" t="s">
        <v>43</v>
      </c>
      <c r="D401" s="3"/>
      <c r="E401" s="3"/>
      <c r="F401" s="3"/>
      <c r="G401" s="3"/>
      <c r="H401" s="3"/>
      <c r="I401" s="3"/>
      <c r="J401" s="4" t="s">
        <v>1757</v>
      </c>
    </row>
    <row r="402">
      <c r="A402" s="4" t="s">
        <v>4934</v>
      </c>
      <c r="B402" s="13" t="s">
        <v>43</v>
      </c>
      <c r="D402" s="3"/>
      <c r="E402" s="3"/>
      <c r="F402" s="3"/>
      <c r="G402" s="3"/>
      <c r="H402" s="3"/>
      <c r="I402" s="3"/>
    </row>
    <row r="403">
      <c r="A403" s="4" t="s">
        <v>4935</v>
      </c>
      <c r="B403" s="13" t="s">
        <v>43</v>
      </c>
      <c r="D403" s="3"/>
      <c r="E403" s="3"/>
      <c r="F403" s="3"/>
      <c r="G403" s="3"/>
      <c r="H403" s="3"/>
      <c r="I403" s="3"/>
    </row>
    <row r="404">
      <c r="A404" s="4" t="s">
        <v>4936</v>
      </c>
      <c r="B404" s="13" t="s">
        <v>43</v>
      </c>
      <c r="D404" s="3"/>
      <c r="E404" s="3"/>
      <c r="F404" s="3"/>
      <c r="G404" s="3"/>
      <c r="H404" s="3"/>
      <c r="I404" s="3"/>
    </row>
    <row r="405">
      <c r="A405" s="4" t="s">
        <v>4937</v>
      </c>
      <c r="B405" s="13" t="s">
        <v>43</v>
      </c>
      <c r="D405" s="3"/>
      <c r="E405" s="3"/>
      <c r="F405" s="3"/>
      <c r="G405" s="3"/>
      <c r="H405" s="3"/>
      <c r="I405" s="3"/>
    </row>
    <row r="406">
      <c r="A406" s="4" t="s">
        <v>4938</v>
      </c>
      <c r="B406" s="13" t="s">
        <v>43</v>
      </c>
      <c r="D406" s="3"/>
      <c r="E406" s="3"/>
      <c r="F406" s="3"/>
      <c r="G406" s="3"/>
      <c r="H406" s="3"/>
      <c r="I406" s="3"/>
    </row>
    <row r="407">
      <c r="A407" s="4" t="s">
        <v>4939</v>
      </c>
      <c r="B407" s="13" t="s">
        <v>43</v>
      </c>
      <c r="D407" s="3"/>
      <c r="E407" s="3"/>
      <c r="F407" s="3"/>
      <c r="G407" s="3"/>
      <c r="H407" s="3"/>
      <c r="I407" s="3"/>
    </row>
    <row r="408">
      <c r="A408" s="4" t="s">
        <v>4940</v>
      </c>
      <c r="B408" s="13" t="s">
        <v>43</v>
      </c>
      <c r="D408" s="3"/>
      <c r="E408" s="3"/>
      <c r="F408" s="3"/>
      <c r="G408" s="3"/>
      <c r="H408" s="3"/>
      <c r="I408" s="3"/>
    </row>
    <row r="409">
      <c r="A409" s="4" t="s">
        <v>4941</v>
      </c>
      <c r="B409" s="13" t="s">
        <v>43</v>
      </c>
      <c r="D409" s="3"/>
      <c r="E409" s="3"/>
      <c r="F409" s="3"/>
      <c r="G409" s="3"/>
      <c r="H409" s="3"/>
      <c r="I409" s="3"/>
    </row>
    <row r="410">
      <c r="A410" s="4" t="s">
        <v>4942</v>
      </c>
      <c r="B410" s="13" t="s">
        <v>43</v>
      </c>
      <c r="D410" s="3"/>
      <c r="E410" s="3"/>
      <c r="F410" s="3"/>
      <c r="G410" s="3"/>
      <c r="H410" s="3"/>
      <c r="I410" s="3"/>
    </row>
    <row r="411">
      <c r="A411" s="4" t="s">
        <v>4943</v>
      </c>
      <c r="B411" s="13" t="s">
        <v>43</v>
      </c>
      <c r="D411" s="3"/>
      <c r="E411" s="3"/>
      <c r="F411" s="3"/>
      <c r="G411" s="3"/>
      <c r="H411" s="3"/>
      <c r="I411" s="3"/>
    </row>
    <row r="412">
      <c r="A412" s="4" t="s">
        <v>4944</v>
      </c>
      <c r="B412" s="13" t="s">
        <v>43</v>
      </c>
      <c r="D412" s="3"/>
      <c r="E412" s="3"/>
      <c r="F412" s="3"/>
      <c r="G412" s="3"/>
      <c r="H412" s="3"/>
      <c r="I412" s="3"/>
    </row>
    <row r="413">
      <c r="A413" s="4" t="s">
        <v>4945</v>
      </c>
      <c r="B413" s="13" t="s">
        <v>43</v>
      </c>
      <c r="D413" s="3"/>
      <c r="E413" s="3"/>
      <c r="F413" s="3"/>
      <c r="G413" s="3"/>
      <c r="H413" s="3"/>
      <c r="I413" s="3"/>
    </row>
    <row r="414">
      <c r="A414" s="4" t="s">
        <v>4946</v>
      </c>
      <c r="B414" s="13" t="s">
        <v>43</v>
      </c>
      <c r="D414" s="3"/>
      <c r="E414" s="3"/>
      <c r="F414" s="3"/>
      <c r="G414" s="3"/>
      <c r="H414" s="3"/>
      <c r="I414" s="3"/>
    </row>
    <row r="415">
      <c r="A415" s="4" t="s">
        <v>4947</v>
      </c>
      <c r="B415" s="13" t="s">
        <v>43</v>
      </c>
      <c r="D415" s="3"/>
      <c r="E415" s="3"/>
      <c r="F415" s="3"/>
      <c r="G415" s="3"/>
      <c r="H415" s="3"/>
      <c r="I415" s="3"/>
    </row>
    <row r="416">
      <c r="A416" s="4" t="s">
        <v>4948</v>
      </c>
      <c r="B416" s="13" t="s">
        <v>43</v>
      </c>
      <c r="D416" s="3"/>
      <c r="E416" s="3"/>
      <c r="F416" s="3"/>
      <c r="G416" s="3"/>
      <c r="H416" s="3"/>
      <c r="I416" s="3"/>
    </row>
    <row r="417">
      <c r="A417" s="4" t="s">
        <v>4949</v>
      </c>
      <c r="B417" s="13" t="s">
        <v>43</v>
      </c>
      <c r="D417" s="3"/>
      <c r="E417" s="3"/>
      <c r="F417" s="3"/>
      <c r="G417" s="3"/>
      <c r="H417" s="3"/>
      <c r="I417" s="3"/>
    </row>
    <row r="418">
      <c r="A418" s="4" t="s">
        <v>4950</v>
      </c>
      <c r="B418" s="13" t="s">
        <v>43</v>
      </c>
      <c r="D418" s="3"/>
      <c r="E418" s="3"/>
      <c r="F418" s="3"/>
      <c r="G418" s="3"/>
      <c r="H418" s="3"/>
      <c r="I418" s="3"/>
    </row>
    <row r="419">
      <c r="A419" s="4" t="s">
        <v>4951</v>
      </c>
      <c r="B419" s="13" t="s">
        <v>43</v>
      </c>
      <c r="D419" s="3"/>
      <c r="E419" s="3"/>
      <c r="F419" s="3"/>
      <c r="G419" s="3"/>
      <c r="H419" s="3"/>
      <c r="I419" s="3"/>
    </row>
    <row r="420">
      <c r="A420" s="4" t="s">
        <v>4952</v>
      </c>
      <c r="B420" s="13" t="s">
        <v>43</v>
      </c>
      <c r="D420" s="3"/>
      <c r="E420" s="3"/>
      <c r="F420" s="3"/>
      <c r="G420" s="3"/>
      <c r="H420" s="3"/>
      <c r="I420" s="3"/>
    </row>
    <row r="421">
      <c r="A421" s="4" t="s">
        <v>4953</v>
      </c>
      <c r="B421" s="13" t="s">
        <v>43</v>
      </c>
      <c r="D421" s="3"/>
      <c r="E421" s="3"/>
      <c r="F421" s="3"/>
      <c r="G421" s="3"/>
      <c r="H421" s="3"/>
      <c r="I421" s="3"/>
    </row>
    <row r="422">
      <c r="A422" s="4" t="s">
        <v>4954</v>
      </c>
      <c r="B422" s="13" t="s">
        <v>43</v>
      </c>
      <c r="D422" s="3"/>
      <c r="E422" s="3"/>
      <c r="F422" s="3"/>
      <c r="G422" s="3"/>
      <c r="H422" s="3"/>
      <c r="I422" s="3"/>
    </row>
    <row r="423">
      <c r="A423" s="4" t="s">
        <v>4955</v>
      </c>
      <c r="B423" s="13" t="s">
        <v>43</v>
      </c>
      <c r="D423" s="3"/>
      <c r="E423" s="3"/>
      <c r="F423" s="3"/>
      <c r="G423" s="3"/>
      <c r="H423" s="3"/>
      <c r="I423" s="3"/>
    </row>
    <row r="424">
      <c r="A424" s="4" t="s">
        <v>4956</v>
      </c>
      <c r="B424" s="13" t="s">
        <v>43</v>
      </c>
      <c r="D424" s="3"/>
      <c r="E424" s="3"/>
      <c r="F424" s="3"/>
      <c r="G424" s="3"/>
      <c r="H424" s="3"/>
      <c r="I424" s="3"/>
    </row>
    <row r="425">
      <c r="A425" s="4" t="s">
        <v>4957</v>
      </c>
      <c r="B425" s="13" t="s">
        <v>43</v>
      </c>
      <c r="D425" s="3"/>
      <c r="E425" s="3"/>
      <c r="F425" s="3"/>
      <c r="G425" s="3"/>
      <c r="H425" s="3"/>
      <c r="I425" s="3"/>
    </row>
    <row r="426">
      <c r="A426" s="4" t="s">
        <v>4958</v>
      </c>
      <c r="B426" s="13" t="s">
        <v>43</v>
      </c>
      <c r="D426" s="3"/>
      <c r="E426" s="3"/>
      <c r="F426" s="3"/>
      <c r="G426" s="3"/>
      <c r="H426" s="3"/>
      <c r="I426" s="3"/>
    </row>
    <row r="427">
      <c r="A427" s="4" t="s">
        <v>4959</v>
      </c>
      <c r="B427" s="13" t="s">
        <v>43</v>
      </c>
      <c r="D427" s="3"/>
      <c r="E427" s="3"/>
      <c r="F427" s="3"/>
      <c r="G427" s="3"/>
      <c r="H427" s="3"/>
      <c r="I427" s="3"/>
    </row>
    <row r="428">
      <c r="A428" s="4" t="s">
        <v>4960</v>
      </c>
      <c r="B428" s="13" t="s">
        <v>43</v>
      </c>
      <c r="D428" s="3"/>
      <c r="E428" s="3"/>
      <c r="F428" s="3"/>
      <c r="G428" s="3"/>
      <c r="H428" s="3"/>
      <c r="I428" s="3"/>
    </row>
    <row r="429">
      <c r="A429" s="4" t="s">
        <v>4961</v>
      </c>
      <c r="B429" s="13" t="s">
        <v>43</v>
      </c>
      <c r="D429" s="3"/>
      <c r="E429" s="3"/>
      <c r="F429" s="3"/>
      <c r="G429" s="3"/>
      <c r="H429" s="3"/>
      <c r="I429" s="3"/>
    </row>
    <row r="430">
      <c r="A430" s="4" t="s">
        <v>4962</v>
      </c>
      <c r="B430" s="13" t="s">
        <v>43</v>
      </c>
      <c r="D430" s="3"/>
      <c r="E430" s="3"/>
      <c r="F430" s="3"/>
      <c r="G430" s="3"/>
      <c r="H430" s="3"/>
      <c r="I430" s="3"/>
    </row>
    <row r="431">
      <c r="A431" s="4" t="s">
        <v>4963</v>
      </c>
      <c r="B431" s="13" t="s">
        <v>43</v>
      </c>
      <c r="D431" s="3"/>
      <c r="E431" s="3"/>
      <c r="F431" s="3"/>
      <c r="G431" s="3"/>
      <c r="H431" s="3"/>
      <c r="I431" s="3"/>
    </row>
    <row r="432">
      <c r="A432" s="4" t="s">
        <v>4964</v>
      </c>
      <c r="B432" s="13" t="s">
        <v>43</v>
      </c>
      <c r="D432" s="3"/>
      <c r="E432" s="3"/>
      <c r="F432" s="3"/>
      <c r="G432" s="3"/>
      <c r="H432" s="3"/>
      <c r="I432" s="3"/>
    </row>
    <row r="433">
      <c r="A433" s="4" t="s">
        <v>4965</v>
      </c>
      <c r="B433" s="13" t="s">
        <v>43</v>
      </c>
      <c r="D433" s="3"/>
      <c r="E433" s="3"/>
      <c r="F433" s="3"/>
      <c r="G433" s="3"/>
      <c r="H433" s="3"/>
      <c r="I433" s="3"/>
    </row>
    <row r="434">
      <c r="A434" s="4" t="s">
        <v>4966</v>
      </c>
      <c r="B434" s="13" t="s">
        <v>43</v>
      </c>
      <c r="D434" s="3"/>
      <c r="E434" s="3"/>
      <c r="F434" s="3"/>
      <c r="G434" s="3"/>
      <c r="H434" s="3"/>
      <c r="I434" s="3"/>
    </row>
    <row r="435">
      <c r="A435" s="4" t="s">
        <v>4967</v>
      </c>
      <c r="B435" s="13" t="s">
        <v>43</v>
      </c>
      <c r="D435" s="3"/>
      <c r="E435" s="3"/>
      <c r="F435" s="3"/>
      <c r="G435" s="3"/>
      <c r="H435" s="3"/>
      <c r="I435" s="3"/>
    </row>
    <row r="436">
      <c r="A436" s="4" t="s">
        <v>4968</v>
      </c>
      <c r="B436" s="13" t="s">
        <v>43</v>
      </c>
      <c r="D436" s="3"/>
      <c r="E436" s="3"/>
      <c r="F436" s="3"/>
      <c r="G436" s="3"/>
      <c r="H436" s="3"/>
      <c r="I436" s="3"/>
    </row>
    <row r="437">
      <c r="A437" s="4" t="s">
        <v>4969</v>
      </c>
      <c r="B437" s="13" t="s">
        <v>43</v>
      </c>
      <c r="D437" s="3"/>
      <c r="E437" s="3"/>
      <c r="F437" s="3"/>
      <c r="G437" s="3"/>
      <c r="H437" s="3"/>
      <c r="I437" s="3"/>
    </row>
    <row r="438">
      <c r="A438" s="4" t="s">
        <v>4970</v>
      </c>
      <c r="B438" s="13" t="s">
        <v>43</v>
      </c>
      <c r="D438" s="3"/>
      <c r="E438" s="3"/>
      <c r="F438" s="3"/>
      <c r="G438" s="3"/>
      <c r="H438" s="3"/>
      <c r="I438" s="3"/>
    </row>
    <row r="439">
      <c r="A439" s="4" t="s">
        <v>4971</v>
      </c>
      <c r="B439" s="13" t="s">
        <v>43</v>
      </c>
      <c r="D439" s="3"/>
      <c r="E439" s="3"/>
      <c r="F439" s="3"/>
      <c r="G439" s="3"/>
      <c r="H439" s="3"/>
      <c r="I439" s="3"/>
    </row>
    <row r="440">
      <c r="A440" s="4" t="s">
        <v>4972</v>
      </c>
      <c r="B440" s="13" t="s">
        <v>43</v>
      </c>
      <c r="D440" s="3"/>
      <c r="E440" s="3"/>
      <c r="F440" s="3"/>
      <c r="G440" s="3"/>
      <c r="H440" s="3"/>
      <c r="I440" s="3"/>
    </row>
    <row r="441">
      <c r="A441" s="4" t="s">
        <v>4973</v>
      </c>
      <c r="B441" s="13" t="s">
        <v>43</v>
      </c>
      <c r="D441" s="3"/>
      <c r="E441" s="3"/>
      <c r="F441" s="3"/>
      <c r="G441" s="3"/>
      <c r="H441" s="3"/>
      <c r="I441" s="3"/>
    </row>
    <row r="442">
      <c r="A442" s="4" t="s">
        <v>4974</v>
      </c>
      <c r="B442" s="13" t="s">
        <v>43</v>
      </c>
      <c r="D442" s="3"/>
      <c r="E442" s="3"/>
      <c r="F442" s="3"/>
      <c r="G442" s="3"/>
      <c r="H442" s="3"/>
      <c r="I442" s="3"/>
    </row>
    <row r="443">
      <c r="A443" s="4" t="s">
        <v>4975</v>
      </c>
      <c r="B443" s="13" t="s">
        <v>43</v>
      </c>
      <c r="D443" s="3"/>
      <c r="E443" s="3"/>
      <c r="F443" s="3"/>
      <c r="G443" s="3"/>
      <c r="H443" s="3"/>
      <c r="I443" s="3"/>
    </row>
    <row r="444">
      <c r="A444" s="4" t="s">
        <v>4976</v>
      </c>
      <c r="B444" s="13" t="s">
        <v>43</v>
      </c>
      <c r="D444" s="3"/>
      <c r="E444" s="3"/>
      <c r="F444" s="3"/>
      <c r="G444" s="3"/>
      <c r="H444" s="3"/>
      <c r="I444" s="3"/>
    </row>
    <row r="445">
      <c r="A445" s="4" t="s">
        <v>4977</v>
      </c>
      <c r="B445" s="13" t="s">
        <v>43</v>
      </c>
      <c r="D445" s="3"/>
      <c r="E445" s="3"/>
      <c r="F445" s="3"/>
      <c r="G445" s="3"/>
      <c r="H445" s="3"/>
      <c r="I445" s="3"/>
    </row>
    <row r="446">
      <c r="A446" s="4" t="s">
        <v>4978</v>
      </c>
      <c r="B446" s="13" t="s">
        <v>43</v>
      </c>
      <c r="D446" s="3"/>
      <c r="E446" s="3"/>
      <c r="F446" s="3"/>
      <c r="G446" s="3"/>
      <c r="H446" s="3"/>
      <c r="I446" s="3"/>
    </row>
    <row r="447">
      <c r="A447" s="4" t="s">
        <v>4979</v>
      </c>
      <c r="B447" s="13" t="s">
        <v>43</v>
      </c>
      <c r="D447" s="3"/>
      <c r="E447" s="3"/>
      <c r="F447" s="3"/>
      <c r="G447" s="3"/>
      <c r="H447" s="3"/>
      <c r="I447" s="3"/>
    </row>
    <row r="448">
      <c r="A448" s="4" t="s">
        <v>4980</v>
      </c>
      <c r="B448" s="13" t="s">
        <v>43</v>
      </c>
      <c r="D448" s="3"/>
      <c r="E448" s="3"/>
      <c r="F448" s="3"/>
      <c r="G448" s="3"/>
      <c r="H448" s="3"/>
      <c r="I448" s="3"/>
    </row>
    <row r="449">
      <c r="A449" s="4" t="s">
        <v>4981</v>
      </c>
      <c r="B449" s="13" t="s">
        <v>43</v>
      </c>
      <c r="D449" s="3"/>
      <c r="E449" s="3"/>
      <c r="F449" s="3"/>
      <c r="G449" s="3"/>
      <c r="H449" s="3"/>
      <c r="I449" s="3"/>
    </row>
    <row r="450">
      <c r="A450" s="4" t="s">
        <v>4982</v>
      </c>
      <c r="B450" s="13" t="s">
        <v>43</v>
      </c>
      <c r="D450" s="3"/>
      <c r="E450" s="3"/>
      <c r="F450" s="3"/>
      <c r="G450" s="3"/>
      <c r="H450" s="3"/>
      <c r="I450" s="3"/>
    </row>
    <row r="451">
      <c r="A451" s="4" t="s">
        <v>4983</v>
      </c>
      <c r="B451" s="13" t="s">
        <v>43</v>
      </c>
      <c r="D451" s="3"/>
      <c r="E451" s="3"/>
      <c r="F451" s="3"/>
      <c r="G451" s="3"/>
      <c r="H451" s="3"/>
      <c r="I451" s="3"/>
    </row>
    <row r="452">
      <c r="A452" s="4" t="s">
        <v>4984</v>
      </c>
      <c r="B452" s="13" t="s">
        <v>43</v>
      </c>
      <c r="D452" s="3"/>
      <c r="E452" s="3"/>
      <c r="F452" s="3"/>
      <c r="G452" s="3"/>
      <c r="H452" s="3"/>
      <c r="I452" s="3"/>
    </row>
    <row r="453">
      <c r="A453" s="4" t="s">
        <v>4985</v>
      </c>
      <c r="B453" s="13" t="s">
        <v>43</v>
      </c>
      <c r="D453" s="3"/>
      <c r="E453" s="3"/>
      <c r="F453" s="3"/>
      <c r="G453" s="3"/>
      <c r="H453" s="3"/>
      <c r="I453" s="3"/>
    </row>
    <row r="454">
      <c r="A454" s="4" t="s">
        <v>4986</v>
      </c>
      <c r="B454" s="13" t="s">
        <v>43</v>
      </c>
      <c r="D454" s="3"/>
      <c r="E454" s="3"/>
      <c r="F454" s="3"/>
      <c r="G454" s="3"/>
      <c r="H454" s="3"/>
      <c r="I454" s="3"/>
    </row>
    <row r="455">
      <c r="A455" s="4" t="s">
        <v>4987</v>
      </c>
      <c r="B455" s="13" t="s">
        <v>43</v>
      </c>
      <c r="D455" s="3"/>
      <c r="E455" s="3"/>
      <c r="F455" s="3"/>
      <c r="G455" s="3"/>
      <c r="H455" s="3"/>
      <c r="I455" s="3"/>
      <c r="J455" s="4" t="s">
        <v>1757</v>
      </c>
    </row>
    <row r="456">
      <c r="A456" s="4" t="s">
        <v>4988</v>
      </c>
      <c r="B456" s="13" t="s">
        <v>43</v>
      </c>
      <c r="D456" s="3"/>
      <c r="E456" s="3"/>
      <c r="F456" s="3"/>
      <c r="G456" s="3"/>
      <c r="H456" s="3"/>
      <c r="I456" s="3"/>
      <c r="J456" s="4" t="s">
        <v>1757</v>
      </c>
    </row>
    <row r="457">
      <c r="A457" s="4" t="s">
        <v>4989</v>
      </c>
      <c r="B457" s="13" t="s">
        <v>43</v>
      </c>
      <c r="D457" s="3"/>
      <c r="E457" s="3"/>
      <c r="F457" s="3"/>
      <c r="G457" s="3"/>
      <c r="H457" s="3"/>
      <c r="I457" s="3"/>
      <c r="J457" s="4" t="s">
        <v>1757</v>
      </c>
    </row>
    <row r="458">
      <c r="A458" s="4" t="s">
        <v>4990</v>
      </c>
      <c r="B458" s="13" t="s">
        <v>43</v>
      </c>
      <c r="D458" s="3"/>
      <c r="E458" s="3"/>
      <c r="F458" s="3"/>
      <c r="G458" s="3"/>
      <c r="H458" s="3"/>
      <c r="I458" s="3"/>
      <c r="J458" s="4" t="s">
        <v>1757</v>
      </c>
    </row>
    <row r="459">
      <c r="A459" s="4" t="s">
        <v>4991</v>
      </c>
      <c r="B459" s="13" t="s">
        <v>43</v>
      </c>
      <c r="D459" s="3"/>
      <c r="E459" s="3"/>
      <c r="F459" s="3"/>
      <c r="G459" s="3"/>
      <c r="H459" s="3"/>
      <c r="I459" s="3"/>
      <c r="J459" s="4" t="s">
        <v>1757</v>
      </c>
    </row>
    <row r="460">
      <c r="A460" s="4" t="s">
        <v>4992</v>
      </c>
      <c r="B460" s="13" t="s">
        <v>43</v>
      </c>
      <c r="D460" s="3"/>
      <c r="E460" s="3"/>
      <c r="F460" s="3"/>
      <c r="G460" s="3"/>
      <c r="H460" s="3"/>
      <c r="I460" s="3"/>
      <c r="J460" s="4" t="s">
        <v>1757</v>
      </c>
    </row>
    <row r="461">
      <c r="A461" s="4" t="s">
        <v>4993</v>
      </c>
      <c r="B461" s="13" t="s">
        <v>43</v>
      </c>
      <c r="D461" s="3"/>
      <c r="E461" s="3"/>
      <c r="F461" s="3"/>
      <c r="G461" s="3"/>
      <c r="H461" s="3"/>
      <c r="I461" s="3"/>
      <c r="J461" s="4" t="s">
        <v>1757</v>
      </c>
    </row>
    <row r="462">
      <c r="A462" s="4" t="s">
        <v>4994</v>
      </c>
      <c r="B462" s="13" t="s">
        <v>43</v>
      </c>
      <c r="D462" s="3"/>
      <c r="E462" s="3"/>
      <c r="F462" s="3"/>
      <c r="G462" s="3"/>
      <c r="H462" s="3"/>
      <c r="I462" s="3"/>
      <c r="J462" s="4" t="s">
        <v>1757</v>
      </c>
    </row>
    <row r="463">
      <c r="A463" s="4" t="s">
        <v>4995</v>
      </c>
      <c r="B463" s="13" t="s">
        <v>43</v>
      </c>
      <c r="D463" s="3"/>
      <c r="E463" s="3"/>
      <c r="F463" s="3"/>
      <c r="G463" s="3"/>
      <c r="H463" s="3"/>
      <c r="I463" s="3"/>
      <c r="J463" s="4" t="s">
        <v>1757</v>
      </c>
    </row>
    <row r="464">
      <c r="A464" s="4" t="s">
        <v>4996</v>
      </c>
      <c r="B464" s="13" t="s">
        <v>43</v>
      </c>
      <c r="D464" s="3"/>
      <c r="E464" s="3"/>
      <c r="F464" s="3"/>
      <c r="G464" s="3"/>
      <c r="H464" s="3"/>
      <c r="I464" s="3"/>
      <c r="J464" s="4" t="s">
        <v>1757</v>
      </c>
    </row>
    <row r="465">
      <c r="A465" s="4" t="s">
        <v>4997</v>
      </c>
      <c r="B465" s="13" t="s">
        <v>43</v>
      </c>
      <c r="D465" s="3"/>
      <c r="E465" s="3"/>
      <c r="F465" s="3"/>
      <c r="G465" s="3"/>
      <c r="H465" s="3"/>
      <c r="I465" s="3"/>
      <c r="J465" s="4" t="s">
        <v>1757</v>
      </c>
    </row>
    <row r="466">
      <c r="A466" s="4" t="s">
        <v>4998</v>
      </c>
      <c r="B466" s="13" t="s">
        <v>43</v>
      </c>
      <c r="D466" s="3"/>
      <c r="E466" s="3"/>
      <c r="F466" s="3"/>
      <c r="G466" s="3"/>
      <c r="H466" s="3"/>
      <c r="I466" s="3"/>
      <c r="J466" s="4" t="s">
        <v>1757</v>
      </c>
    </row>
    <row r="467">
      <c r="A467" s="4" t="s">
        <v>4999</v>
      </c>
      <c r="B467" s="13" t="s">
        <v>43</v>
      </c>
      <c r="D467" s="3"/>
      <c r="E467" s="3"/>
      <c r="F467" s="3"/>
      <c r="G467" s="3"/>
      <c r="H467" s="3"/>
      <c r="I467" s="3"/>
      <c r="J467" s="4" t="s">
        <v>1757</v>
      </c>
    </row>
    <row r="468">
      <c r="A468" s="4" t="s">
        <v>5000</v>
      </c>
      <c r="B468" s="13" t="s">
        <v>43</v>
      </c>
      <c r="D468" s="3"/>
      <c r="E468" s="3"/>
      <c r="F468" s="3"/>
      <c r="G468" s="3"/>
      <c r="H468" s="3"/>
      <c r="I468" s="3"/>
      <c r="J468" s="4" t="s">
        <v>1757</v>
      </c>
    </row>
    <row r="469">
      <c r="A469" s="4" t="s">
        <v>5001</v>
      </c>
      <c r="B469" s="13" t="s">
        <v>43</v>
      </c>
      <c r="D469" s="3"/>
      <c r="E469" s="3"/>
      <c r="F469" s="3"/>
      <c r="G469" s="3"/>
      <c r="H469" s="3"/>
      <c r="I469" s="3"/>
      <c r="J469" s="4" t="s">
        <v>1757</v>
      </c>
    </row>
    <row r="470">
      <c r="A470" s="4" t="s">
        <v>5002</v>
      </c>
      <c r="B470" s="13" t="s">
        <v>43</v>
      </c>
      <c r="D470" s="3"/>
      <c r="E470" s="3"/>
      <c r="F470" s="3"/>
      <c r="G470" s="3"/>
      <c r="H470" s="3"/>
      <c r="I470" s="3"/>
      <c r="J470" s="4" t="s">
        <v>1757</v>
      </c>
    </row>
    <row r="471">
      <c r="A471" s="4" t="s">
        <v>5003</v>
      </c>
      <c r="B471" s="13" t="s">
        <v>43</v>
      </c>
      <c r="D471" s="3"/>
      <c r="E471" s="3"/>
      <c r="F471" s="3"/>
      <c r="G471" s="3"/>
      <c r="H471" s="3"/>
      <c r="I471" s="3"/>
      <c r="J471" s="4" t="s">
        <v>1757</v>
      </c>
    </row>
    <row r="472">
      <c r="A472" s="4" t="s">
        <v>5004</v>
      </c>
      <c r="B472" s="13" t="s">
        <v>43</v>
      </c>
      <c r="D472" s="3"/>
      <c r="E472" s="3"/>
      <c r="F472" s="3"/>
      <c r="G472" s="3"/>
      <c r="H472" s="3"/>
      <c r="I472" s="3"/>
      <c r="J472" s="4" t="s">
        <v>1757</v>
      </c>
    </row>
    <row r="473">
      <c r="A473" s="4" t="s">
        <v>5005</v>
      </c>
      <c r="B473" s="13" t="s">
        <v>43</v>
      </c>
      <c r="D473" s="3"/>
      <c r="E473" s="3"/>
      <c r="F473" s="3"/>
      <c r="G473" s="3"/>
      <c r="H473" s="3"/>
      <c r="I473" s="3"/>
      <c r="J473" s="4" t="s">
        <v>1757</v>
      </c>
    </row>
    <row r="474">
      <c r="A474" s="4" t="s">
        <v>5006</v>
      </c>
      <c r="B474" s="13" t="s">
        <v>43</v>
      </c>
      <c r="D474" s="3"/>
      <c r="E474" s="3"/>
      <c r="F474" s="3"/>
      <c r="G474" s="3"/>
      <c r="H474" s="3"/>
      <c r="I474" s="3"/>
      <c r="J474" s="4" t="s">
        <v>1757</v>
      </c>
    </row>
    <row r="475">
      <c r="A475" s="4" t="s">
        <v>5007</v>
      </c>
      <c r="B475" s="13" t="s">
        <v>43</v>
      </c>
      <c r="D475" s="3"/>
      <c r="E475" s="3"/>
      <c r="F475" s="3"/>
      <c r="G475" s="3"/>
      <c r="H475" s="3"/>
      <c r="I475" s="3"/>
      <c r="J475" s="4" t="s">
        <v>1757</v>
      </c>
    </row>
    <row r="476">
      <c r="A476" s="4" t="s">
        <v>5008</v>
      </c>
      <c r="B476" s="13" t="s">
        <v>43</v>
      </c>
      <c r="D476" s="3"/>
      <c r="E476" s="3"/>
      <c r="F476" s="3"/>
      <c r="G476" s="3"/>
      <c r="H476" s="3"/>
      <c r="I476" s="3"/>
      <c r="J476" s="4" t="s">
        <v>1757</v>
      </c>
    </row>
    <row r="477">
      <c r="A477" s="4" t="s">
        <v>5009</v>
      </c>
      <c r="B477" s="13" t="s">
        <v>43</v>
      </c>
      <c r="D477" s="3"/>
      <c r="E477" s="3"/>
      <c r="F477" s="3"/>
      <c r="G477" s="3"/>
      <c r="H477" s="3"/>
      <c r="I477" s="3"/>
      <c r="J477" s="4" t="s">
        <v>1757</v>
      </c>
    </row>
    <row r="478">
      <c r="A478" s="4" t="s">
        <v>5010</v>
      </c>
      <c r="B478" s="13" t="s">
        <v>43</v>
      </c>
      <c r="D478" s="3"/>
      <c r="E478" s="3"/>
      <c r="F478" s="3"/>
      <c r="G478" s="3"/>
      <c r="H478" s="3"/>
      <c r="I478" s="3"/>
      <c r="J478" s="4" t="s">
        <v>1757</v>
      </c>
    </row>
    <row r="479">
      <c r="A479" s="4" t="s">
        <v>5011</v>
      </c>
      <c r="B479" s="13" t="s">
        <v>43</v>
      </c>
      <c r="D479" s="3"/>
      <c r="E479" s="3"/>
      <c r="F479" s="3"/>
      <c r="G479" s="3"/>
      <c r="H479" s="3"/>
      <c r="I479" s="3"/>
      <c r="J479" s="4" t="s">
        <v>1757</v>
      </c>
    </row>
    <row r="480">
      <c r="A480" s="4" t="s">
        <v>5012</v>
      </c>
      <c r="B480" s="13" t="s">
        <v>43</v>
      </c>
      <c r="D480" s="3"/>
      <c r="E480" s="3"/>
      <c r="F480" s="3"/>
      <c r="G480" s="3"/>
      <c r="H480" s="3"/>
      <c r="I480" s="3"/>
      <c r="J480" s="4" t="s">
        <v>1757</v>
      </c>
    </row>
    <row r="481">
      <c r="A481" s="4" t="s">
        <v>5013</v>
      </c>
      <c r="B481" s="13" t="s">
        <v>43</v>
      </c>
      <c r="D481" s="3"/>
      <c r="E481" s="3"/>
      <c r="F481" s="3"/>
      <c r="G481" s="3"/>
      <c r="H481" s="3"/>
      <c r="I481" s="3"/>
      <c r="J481" s="4" t="s">
        <v>1757</v>
      </c>
    </row>
    <row r="482">
      <c r="A482" s="4" t="s">
        <v>5014</v>
      </c>
      <c r="B482" s="13" t="s">
        <v>43</v>
      </c>
      <c r="D482" s="3"/>
      <c r="E482" s="3"/>
      <c r="F482" s="3"/>
      <c r="G482" s="3"/>
      <c r="H482" s="3"/>
      <c r="I482" s="3"/>
      <c r="J482" s="4" t="s">
        <v>1757</v>
      </c>
    </row>
    <row r="483">
      <c r="A483" s="4" t="s">
        <v>5015</v>
      </c>
      <c r="B483" s="13" t="s">
        <v>43</v>
      </c>
      <c r="D483" s="3"/>
      <c r="E483" s="3"/>
      <c r="F483" s="3"/>
      <c r="G483" s="3"/>
      <c r="H483" s="3"/>
      <c r="I483" s="3"/>
      <c r="J483" s="4" t="s">
        <v>1757</v>
      </c>
    </row>
    <row r="484">
      <c r="A484" s="4" t="s">
        <v>5016</v>
      </c>
      <c r="B484" s="13" t="s">
        <v>43</v>
      </c>
      <c r="D484" s="3"/>
      <c r="E484" s="3"/>
      <c r="F484" s="3"/>
      <c r="G484" s="3"/>
      <c r="H484" s="3"/>
      <c r="I484" s="3"/>
      <c r="J484" s="4" t="s">
        <v>1757</v>
      </c>
    </row>
    <row r="485">
      <c r="A485" s="4" t="s">
        <v>5017</v>
      </c>
      <c r="B485" s="13" t="s">
        <v>43</v>
      </c>
      <c r="D485" s="3"/>
      <c r="E485" s="3"/>
      <c r="F485" s="3"/>
      <c r="G485" s="3"/>
      <c r="H485" s="3"/>
      <c r="I485" s="3"/>
      <c r="J485" s="4" t="s">
        <v>1757</v>
      </c>
    </row>
    <row r="486">
      <c r="A486" s="4" t="s">
        <v>5018</v>
      </c>
      <c r="B486" s="13" t="s">
        <v>43</v>
      </c>
      <c r="D486" s="3"/>
      <c r="E486" s="3"/>
      <c r="F486" s="3"/>
      <c r="G486" s="3"/>
      <c r="H486" s="3"/>
      <c r="I486" s="3"/>
      <c r="J486" s="4" t="s">
        <v>1757</v>
      </c>
    </row>
    <row r="487">
      <c r="A487" s="4" t="s">
        <v>5019</v>
      </c>
      <c r="B487" s="13" t="s">
        <v>43</v>
      </c>
      <c r="D487" s="3"/>
      <c r="E487" s="3"/>
      <c r="F487" s="3"/>
      <c r="G487" s="3"/>
      <c r="H487" s="3"/>
      <c r="I487" s="3"/>
      <c r="J487" s="4" t="s">
        <v>1757</v>
      </c>
    </row>
    <row r="488">
      <c r="A488" s="4" t="s">
        <v>5020</v>
      </c>
      <c r="B488" s="13" t="s">
        <v>43</v>
      </c>
      <c r="D488" s="3"/>
      <c r="E488" s="3"/>
      <c r="F488" s="3"/>
      <c r="G488" s="3"/>
      <c r="H488" s="3"/>
      <c r="I488" s="3"/>
      <c r="J488" s="4" t="s">
        <v>1757</v>
      </c>
    </row>
    <row r="489">
      <c r="A489" s="4" t="s">
        <v>5021</v>
      </c>
      <c r="B489" s="13" t="s">
        <v>43</v>
      </c>
      <c r="D489" s="3"/>
      <c r="E489" s="3"/>
      <c r="F489" s="3"/>
      <c r="G489" s="3"/>
      <c r="H489" s="3"/>
      <c r="I489" s="3"/>
      <c r="J489" s="4" t="s">
        <v>1757</v>
      </c>
    </row>
    <row r="490">
      <c r="A490" s="4" t="s">
        <v>5022</v>
      </c>
      <c r="B490" s="13" t="s">
        <v>43</v>
      </c>
      <c r="D490" s="3"/>
      <c r="E490" s="3"/>
      <c r="F490" s="3"/>
      <c r="G490" s="3"/>
      <c r="H490" s="3"/>
      <c r="I490" s="3"/>
      <c r="J490" s="4" t="s">
        <v>1757</v>
      </c>
    </row>
    <row r="491">
      <c r="A491" s="4" t="s">
        <v>5023</v>
      </c>
      <c r="B491" s="13" t="s">
        <v>43</v>
      </c>
      <c r="D491" s="3"/>
      <c r="E491" s="3"/>
      <c r="F491" s="3"/>
      <c r="G491" s="3"/>
      <c r="H491" s="3"/>
      <c r="I491" s="3"/>
      <c r="J491" s="4" t="s">
        <v>1757</v>
      </c>
    </row>
    <row r="492">
      <c r="A492" s="4" t="s">
        <v>5024</v>
      </c>
      <c r="B492" s="13" t="s">
        <v>43</v>
      </c>
      <c r="D492" s="3"/>
      <c r="E492" s="3"/>
      <c r="F492" s="3"/>
      <c r="G492" s="3"/>
      <c r="H492" s="3"/>
      <c r="I492" s="3"/>
      <c r="J492" s="4" t="s">
        <v>1757</v>
      </c>
    </row>
    <row r="493">
      <c r="A493" s="4" t="s">
        <v>5025</v>
      </c>
      <c r="B493" s="13" t="s">
        <v>43</v>
      </c>
      <c r="D493" s="3"/>
      <c r="E493" s="3"/>
      <c r="F493" s="3"/>
      <c r="G493" s="3"/>
      <c r="H493" s="3"/>
      <c r="I493" s="3"/>
      <c r="J493" s="4" t="s">
        <v>1757</v>
      </c>
    </row>
    <row r="494">
      <c r="A494" s="4" t="s">
        <v>5026</v>
      </c>
      <c r="B494" s="13" t="s">
        <v>43</v>
      </c>
      <c r="D494" s="3"/>
      <c r="E494" s="3"/>
      <c r="F494" s="3"/>
      <c r="G494" s="3"/>
      <c r="H494" s="3"/>
      <c r="I494" s="3"/>
      <c r="J494" s="4" t="s">
        <v>1757</v>
      </c>
    </row>
    <row r="495">
      <c r="A495" s="4" t="s">
        <v>5027</v>
      </c>
      <c r="B495" s="13" t="s">
        <v>43</v>
      </c>
      <c r="D495" s="3"/>
      <c r="E495" s="3"/>
      <c r="F495" s="3"/>
      <c r="G495" s="3"/>
      <c r="H495" s="3"/>
      <c r="I495" s="3"/>
      <c r="J495" s="4" t="s">
        <v>1757</v>
      </c>
    </row>
    <row r="496">
      <c r="A496" s="4" t="s">
        <v>5028</v>
      </c>
      <c r="B496" s="13" t="s">
        <v>43</v>
      </c>
      <c r="D496" s="3"/>
      <c r="E496" s="3"/>
      <c r="F496" s="3"/>
      <c r="G496" s="3"/>
      <c r="H496" s="3"/>
      <c r="I496" s="3"/>
      <c r="J496" s="4" t="s">
        <v>1757</v>
      </c>
    </row>
    <row r="497">
      <c r="A497" s="4" t="s">
        <v>5029</v>
      </c>
      <c r="B497" s="13" t="s">
        <v>43</v>
      </c>
      <c r="D497" s="3"/>
      <c r="E497" s="3"/>
      <c r="F497" s="3"/>
      <c r="G497" s="3"/>
      <c r="H497" s="3"/>
      <c r="I497" s="3"/>
    </row>
    <row r="498">
      <c r="A498" s="4" t="s">
        <v>5030</v>
      </c>
      <c r="B498" s="13" t="s">
        <v>43</v>
      </c>
      <c r="D498" s="3"/>
      <c r="E498" s="3"/>
      <c r="F498" s="3"/>
      <c r="G498" s="3"/>
      <c r="H498" s="3"/>
      <c r="I498" s="3"/>
    </row>
    <row r="499">
      <c r="A499" s="4" t="s">
        <v>5031</v>
      </c>
      <c r="B499" s="13" t="s">
        <v>43</v>
      </c>
      <c r="D499" s="3"/>
      <c r="E499" s="3"/>
      <c r="F499" s="3"/>
      <c r="G499" s="3"/>
      <c r="H499" s="3"/>
      <c r="I499" s="3"/>
    </row>
    <row r="500">
      <c r="A500" s="4" t="s">
        <v>5032</v>
      </c>
      <c r="B500" s="13" t="s">
        <v>43</v>
      </c>
      <c r="D500" s="3"/>
      <c r="E500" s="3"/>
      <c r="F500" s="3"/>
      <c r="G500" s="3"/>
      <c r="H500" s="3"/>
      <c r="I500" s="3"/>
    </row>
    <row r="501">
      <c r="A501" s="4" t="s">
        <v>5033</v>
      </c>
      <c r="B501" s="13" t="s">
        <v>48</v>
      </c>
      <c r="C501" s="4">
        <v>1.0</v>
      </c>
      <c r="D501" s="3"/>
      <c r="E501" s="3"/>
      <c r="F501" s="3"/>
      <c r="G501" s="3"/>
      <c r="H501" s="4">
        <v>13.0</v>
      </c>
      <c r="I501" s="3"/>
    </row>
    <row r="502">
      <c r="A502" s="4" t="s">
        <v>5034</v>
      </c>
      <c r="B502" s="19" t="s">
        <v>43</v>
      </c>
      <c r="D502" s="3"/>
      <c r="E502" s="3"/>
      <c r="F502" s="3"/>
      <c r="G502" s="3"/>
      <c r="H502" s="3"/>
      <c r="I502" s="3"/>
    </row>
    <row r="503">
      <c r="A503" s="4" t="s">
        <v>5035</v>
      </c>
      <c r="B503" s="13" t="s">
        <v>48</v>
      </c>
      <c r="C503" s="4">
        <v>1.0</v>
      </c>
      <c r="D503" s="3"/>
      <c r="E503" s="3"/>
      <c r="F503" s="3"/>
      <c r="G503" s="3"/>
      <c r="H503" s="4">
        <v>13.0</v>
      </c>
      <c r="I503" s="3"/>
    </row>
    <row r="504">
      <c r="A504" s="4" t="s">
        <v>5036</v>
      </c>
      <c r="B504" s="13" t="s">
        <v>48</v>
      </c>
      <c r="C504" s="4">
        <v>1.0</v>
      </c>
      <c r="D504" s="3"/>
      <c r="E504" s="3"/>
      <c r="F504" s="3"/>
      <c r="G504" s="3"/>
      <c r="H504" s="4">
        <v>13.0</v>
      </c>
      <c r="I504" s="3"/>
    </row>
    <row r="505">
      <c r="A505" s="4" t="s">
        <v>5037</v>
      </c>
      <c r="B505" s="13" t="s">
        <v>48</v>
      </c>
      <c r="C505" s="4">
        <v>1.0</v>
      </c>
      <c r="D505" s="3"/>
      <c r="E505" s="3"/>
      <c r="F505" s="3"/>
      <c r="G505" s="3"/>
      <c r="H505" s="4">
        <v>13.0</v>
      </c>
      <c r="I505" s="3"/>
    </row>
    <row r="506">
      <c r="A506" s="4" t="s">
        <v>5038</v>
      </c>
      <c r="B506" s="13" t="s">
        <v>48</v>
      </c>
      <c r="C506" s="4">
        <v>1.0</v>
      </c>
      <c r="D506" s="3"/>
      <c r="E506" s="3"/>
      <c r="F506" s="3"/>
      <c r="G506" s="3"/>
      <c r="H506" s="4">
        <v>13.0</v>
      </c>
      <c r="I506" s="3"/>
    </row>
    <row r="507">
      <c r="A507" s="4" t="s">
        <v>5039</v>
      </c>
      <c r="B507" s="19" t="s">
        <v>43</v>
      </c>
      <c r="D507" s="3"/>
      <c r="E507" s="3"/>
      <c r="F507" s="3"/>
      <c r="G507" s="3"/>
      <c r="H507" s="3"/>
      <c r="I507" s="3"/>
    </row>
    <row r="508">
      <c r="A508" s="4" t="s">
        <v>5040</v>
      </c>
      <c r="B508" s="13" t="s">
        <v>48</v>
      </c>
      <c r="C508" s="4">
        <v>1.0</v>
      </c>
      <c r="D508" s="3"/>
      <c r="E508" s="3"/>
      <c r="F508" s="3"/>
      <c r="G508" s="3"/>
      <c r="H508" s="4">
        <v>13.0</v>
      </c>
      <c r="I508" s="3"/>
    </row>
    <row r="509">
      <c r="A509" s="4" t="s">
        <v>5041</v>
      </c>
      <c r="B509" s="13" t="s">
        <v>48</v>
      </c>
      <c r="C509" s="4">
        <v>1.0</v>
      </c>
      <c r="D509" s="3"/>
      <c r="E509" s="3"/>
      <c r="F509" s="3"/>
      <c r="G509" s="3"/>
      <c r="H509" s="4">
        <v>13.0</v>
      </c>
      <c r="I509" s="3"/>
    </row>
    <row r="510">
      <c r="A510" s="4" t="s">
        <v>5042</v>
      </c>
      <c r="B510" s="13" t="s">
        <v>48</v>
      </c>
      <c r="C510" s="4">
        <v>1.0</v>
      </c>
      <c r="D510" s="3"/>
      <c r="E510" s="3"/>
      <c r="F510" s="3"/>
      <c r="G510" s="3"/>
      <c r="H510" s="4">
        <v>13.0</v>
      </c>
      <c r="I510" s="3"/>
      <c r="J510" s="4" t="s">
        <v>1757</v>
      </c>
    </row>
    <row r="511">
      <c r="A511" s="4" t="s">
        <v>5043</v>
      </c>
      <c r="B511" s="13" t="s">
        <v>48</v>
      </c>
      <c r="C511" s="4">
        <v>1.0</v>
      </c>
      <c r="D511" s="3"/>
      <c r="E511" s="3"/>
      <c r="F511" s="3"/>
      <c r="G511" s="3"/>
      <c r="H511" s="4">
        <v>13.0</v>
      </c>
      <c r="I511" s="3"/>
      <c r="J511" s="4" t="s">
        <v>1757</v>
      </c>
    </row>
    <row r="512">
      <c r="A512" s="4" t="s">
        <v>5044</v>
      </c>
      <c r="B512" s="13" t="s">
        <v>48</v>
      </c>
      <c r="C512" s="4">
        <v>1.0</v>
      </c>
      <c r="D512" s="3"/>
      <c r="E512" s="3"/>
      <c r="F512" s="3"/>
      <c r="G512" s="3"/>
      <c r="H512" s="4">
        <v>13.0</v>
      </c>
      <c r="I512" s="3"/>
      <c r="J512" s="4" t="s">
        <v>1757</v>
      </c>
    </row>
    <row r="513">
      <c r="A513" s="4" t="s">
        <v>5045</v>
      </c>
      <c r="B513" s="13" t="s">
        <v>48</v>
      </c>
      <c r="C513" s="4">
        <v>1.0</v>
      </c>
      <c r="D513" s="3"/>
      <c r="E513" s="3"/>
      <c r="F513" s="3"/>
      <c r="G513" s="3"/>
      <c r="H513" s="4">
        <v>13.0</v>
      </c>
      <c r="I513" s="3"/>
      <c r="J513" s="4" t="s">
        <v>1757</v>
      </c>
    </row>
    <row r="514">
      <c r="A514" s="4" t="s">
        <v>5046</v>
      </c>
      <c r="B514" s="13" t="s">
        <v>48</v>
      </c>
      <c r="C514" s="4">
        <v>3.0</v>
      </c>
      <c r="D514" s="3"/>
      <c r="E514" s="4">
        <v>2.0</v>
      </c>
      <c r="F514" s="4">
        <v>9.0</v>
      </c>
      <c r="G514" s="3"/>
      <c r="H514" s="4">
        <v>13.0</v>
      </c>
      <c r="I514" s="3"/>
      <c r="J514" s="4" t="s">
        <v>1757</v>
      </c>
    </row>
    <row r="515">
      <c r="A515" s="4" t="s">
        <v>5047</v>
      </c>
      <c r="B515" s="13" t="s">
        <v>48</v>
      </c>
      <c r="C515" s="4">
        <v>3.0</v>
      </c>
      <c r="D515" s="3"/>
      <c r="E515" s="4">
        <v>2.0</v>
      </c>
      <c r="F515" s="4">
        <v>9.0</v>
      </c>
      <c r="G515" s="3"/>
      <c r="H515" s="4">
        <v>13.0</v>
      </c>
      <c r="I515" s="3"/>
      <c r="J515" s="4" t="s">
        <v>1757</v>
      </c>
    </row>
    <row r="516">
      <c r="A516" s="4" t="s">
        <v>5048</v>
      </c>
      <c r="B516" s="13" t="s">
        <v>48</v>
      </c>
      <c r="C516" s="4">
        <v>3.0</v>
      </c>
      <c r="D516" s="3"/>
      <c r="E516" s="4">
        <v>2.0</v>
      </c>
      <c r="F516" s="4">
        <v>9.0</v>
      </c>
      <c r="G516" s="3"/>
      <c r="H516" s="4">
        <v>13.0</v>
      </c>
      <c r="I516" s="3"/>
      <c r="J516" s="4" t="s">
        <v>1757</v>
      </c>
    </row>
    <row r="517">
      <c r="A517" s="4" t="s">
        <v>5049</v>
      </c>
      <c r="B517" s="13" t="s">
        <v>48</v>
      </c>
      <c r="C517" s="4">
        <v>3.0</v>
      </c>
      <c r="D517" s="3"/>
      <c r="E517" s="4">
        <v>2.0</v>
      </c>
      <c r="F517" s="4">
        <v>9.0</v>
      </c>
      <c r="G517" s="3"/>
      <c r="H517" s="4">
        <v>13.0</v>
      </c>
      <c r="I517" s="3"/>
      <c r="J517" s="4" t="s">
        <v>1757</v>
      </c>
    </row>
    <row r="518">
      <c r="A518" s="4" t="s">
        <v>5050</v>
      </c>
      <c r="B518" s="13" t="s">
        <v>48</v>
      </c>
      <c r="C518" s="4">
        <v>3.0</v>
      </c>
      <c r="D518" s="3"/>
      <c r="E518" s="4">
        <v>2.0</v>
      </c>
      <c r="F518" s="4">
        <v>9.0</v>
      </c>
      <c r="G518" s="3"/>
      <c r="H518" s="4">
        <v>13.0</v>
      </c>
      <c r="I518" s="3"/>
      <c r="J518" s="4" t="s">
        <v>1757</v>
      </c>
    </row>
    <row r="519">
      <c r="A519" s="4" t="s">
        <v>5051</v>
      </c>
      <c r="B519" s="13" t="s">
        <v>48</v>
      </c>
      <c r="C519" s="4">
        <v>3.0</v>
      </c>
      <c r="D519" s="3"/>
      <c r="E519" s="4">
        <v>2.0</v>
      </c>
      <c r="F519" s="4">
        <v>9.0</v>
      </c>
      <c r="G519" s="3"/>
      <c r="H519" s="4">
        <v>13.0</v>
      </c>
      <c r="I519" s="3"/>
      <c r="J519" s="4" t="s">
        <v>1757</v>
      </c>
    </row>
    <row r="520">
      <c r="A520" s="4" t="s">
        <v>5052</v>
      </c>
      <c r="B520" s="13" t="s">
        <v>48</v>
      </c>
      <c r="C520" s="4">
        <v>3.0</v>
      </c>
      <c r="D520" s="3"/>
      <c r="E520" s="4">
        <v>2.0</v>
      </c>
      <c r="F520" s="4">
        <v>9.0</v>
      </c>
      <c r="G520" s="3"/>
      <c r="H520" s="4">
        <v>13.0</v>
      </c>
      <c r="I520" s="3"/>
      <c r="J520" s="4" t="s">
        <v>1757</v>
      </c>
    </row>
    <row r="521">
      <c r="A521" s="4" t="s">
        <v>5053</v>
      </c>
      <c r="B521" s="13" t="s">
        <v>48</v>
      </c>
      <c r="C521" s="4">
        <v>3.0</v>
      </c>
      <c r="D521" s="3"/>
      <c r="E521" s="4">
        <v>2.0</v>
      </c>
      <c r="F521" s="4">
        <v>9.0</v>
      </c>
      <c r="G521" s="3"/>
      <c r="H521" s="4">
        <v>13.0</v>
      </c>
      <c r="I521" s="3"/>
      <c r="J521" s="4" t="s">
        <v>1757</v>
      </c>
    </row>
    <row r="522">
      <c r="A522" s="4" t="s">
        <v>5054</v>
      </c>
      <c r="B522" s="13" t="s">
        <v>48</v>
      </c>
      <c r="C522" s="4">
        <v>3.0</v>
      </c>
      <c r="D522" s="3"/>
      <c r="E522" s="4">
        <v>2.0</v>
      </c>
      <c r="F522" s="4">
        <v>9.0</v>
      </c>
      <c r="G522" s="3"/>
      <c r="H522" s="4">
        <v>13.0</v>
      </c>
      <c r="I522" s="3"/>
      <c r="J522" s="4" t="s">
        <v>1757</v>
      </c>
    </row>
    <row r="523">
      <c r="A523" s="4" t="s">
        <v>5055</v>
      </c>
      <c r="B523" s="13" t="s">
        <v>48</v>
      </c>
      <c r="C523" s="4">
        <v>3.0</v>
      </c>
      <c r="D523" s="3"/>
      <c r="E523" s="4">
        <v>2.0</v>
      </c>
      <c r="F523" s="4">
        <v>9.0</v>
      </c>
      <c r="G523" s="3"/>
      <c r="H523" s="4">
        <v>13.0</v>
      </c>
      <c r="I523" s="3"/>
      <c r="J523" s="4" t="s">
        <v>1757</v>
      </c>
    </row>
    <row r="524">
      <c r="A524" s="4" t="s">
        <v>5056</v>
      </c>
      <c r="B524" s="13" t="s">
        <v>48</v>
      </c>
      <c r="C524" s="4">
        <v>3.0</v>
      </c>
      <c r="D524" s="3"/>
      <c r="E524" s="4">
        <v>2.0</v>
      </c>
      <c r="F524" s="4">
        <v>9.0</v>
      </c>
      <c r="G524" s="3"/>
      <c r="H524" s="4">
        <v>13.0</v>
      </c>
      <c r="I524" s="3"/>
      <c r="J524" s="4" t="s">
        <v>1757</v>
      </c>
      <c r="K524" s="4" t="s">
        <v>1757</v>
      </c>
    </row>
    <row r="525">
      <c r="A525" s="4" t="s">
        <v>5057</v>
      </c>
      <c r="B525" s="13" t="s">
        <v>48</v>
      </c>
      <c r="C525" s="4">
        <v>3.0</v>
      </c>
      <c r="D525" s="3"/>
      <c r="E525" s="4">
        <v>2.0</v>
      </c>
      <c r="F525" s="4">
        <v>9.0</v>
      </c>
      <c r="G525" s="3"/>
      <c r="H525" s="4">
        <v>13.0</v>
      </c>
      <c r="I525" s="3"/>
      <c r="J525" s="4" t="s">
        <v>1757</v>
      </c>
      <c r="K525" s="4" t="s">
        <v>1757</v>
      </c>
      <c r="L525" s="4" t="s">
        <v>1757</v>
      </c>
    </row>
    <row r="526">
      <c r="A526" s="4" t="s">
        <v>5058</v>
      </c>
      <c r="B526" s="13" t="s">
        <v>48</v>
      </c>
      <c r="C526" s="4">
        <v>3.0</v>
      </c>
      <c r="D526" s="3"/>
      <c r="E526" s="4">
        <v>2.0</v>
      </c>
      <c r="F526" s="4">
        <v>9.0</v>
      </c>
      <c r="G526" s="3"/>
      <c r="H526" s="4">
        <v>13.0</v>
      </c>
      <c r="I526" s="3"/>
      <c r="J526" s="4" t="s">
        <v>1757</v>
      </c>
      <c r="K526" s="4" t="s">
        <v>1757</v>
      </c>
      <c r="L526" s="4" t="s">
        <v>1757</v>
      </c>
    </row>
    <row r="527">
      <c r="A527" s="4" t="s">
        <v>5059</v>
      </c>
      <c r="B527" s="13" t="s">
        <v>48</v>
      </c>
      <c r="C527" s="4">
        <v>3.0</v>
      </c>
      <c r="D527" s="3"/>
      <c r="E527" s="4">
        <v>2.0</v>
      </c>
      <c r="F527" s="4">
        <v>9.0</v>
      </c>
      <c r="G527" s="3"/>
      <c r="H527" s="4">
        <v>13.0</v>
      </c>
      <c r="I527" s="3"/>
      <c r="J527" s="4" t="s">
        <v>1757</v>
      </c>
      <c r="K527" s="4" t="s">
        <v>1757</v>
      </c>
      <c r="L527" s="4" t="s">
        <v>1757</v>
      </c>
    </row>
    <row r="528">
      <c r="A528" s="4" t="s">
        <v>5060</v>
      </c>
      <c r="B528" s="13" t="s">
        <v>48</v>
      </c>
      <c r="C528" s="4">
        <v>3.0</v>
      </c>
      <c r="D528" s="3"/>
      <c r="E528" s="4">
        <v>2.0</v>
      </c>
      <c r="F528" s="4">
        <v>9.0</v>
      </c>
      <c r="G528" s="3"/>
      <c r="H528" s="4">
        <v>13.0</v>
      </c>
      <c r="I528" s="3"/>
      <c r="J528" s="4" t="s">
        <v>1757</v>
      </c>
      <c r="K528" s="4" t="s">
        <v>1757</v>
      </c>
      <c r="L528" s="4" t="s">
        <v>1757</v>
      </c>
    </row>
    <row r="529">
      <c r="A529" s="4" t="s">
        <v>5061</v>
      </c>
      <c r="B529" s="13" t="s">
        <v>48</v>
      </c>
      <c r="C529" s="4">
        <v>3.0</v>
      </c>
      <c r="D529" s="3"/>
      <c r="E529" s="4">
        <v>2.0</v>
      </c>
      <c r="F529" s="4">
        <v>9.0</v>
      </c>
      <c r="G529" s="3"/>
      <c r="H529" s="4">
        <v>13.0</v>
      </c>
      <c r="I529" s="3"/>
      <c r="J529" s="4" t="s">
        <v>1757</v>
      </c>
      <c r="K529" s="4" t="s">
        <v>1757</v>
      </c>
      <c r="L529" s="4" t="s">
        <v>1757</v>
      </c>
    </row>
    <row r="530">
      <c r="A530" s="4" t="s">
        <v>5062</v>
      </c>
      <c r="B530" s="13" t="s">
        <v>48</v>
      </c>
      <c r="C530" s="4">
        <v>3.0</v>
      </c>
      <c r="D530" s="3"/>
      <c r="E530" s="4">
        <v>2.0</v>
      </c>
      <c r="F530" s="4">
        <v>9.0</v>
      </c>
      <c r="G530" s="3"/>
      <c r="H530" s="4">
        <v>13.0</v>
      </c>
      <c r="I530" s="3"/>
      <c r="J530" s="4" t="s">
        <v>1757</v>
      </c>
      <c r="K530" s="4" t="s">
        <v>1757</v>
      </c>
      <c r="L530" s="4" t="s">
        <v>1757</v>
      </c>
    </row>
    <row r="531">
      <c r="A531" s="4" t="s">
        <v>5063</v>
      </c>
      <c r="B531" s="13" t="s">
        <v>48</v>
      </c>
      <c r="C531" s="4">
        <v>3.0</v>
      </c>
      <c r="D531" s="3"/>
      <c r="E531" s="4">
        <v>2.0</v>
      </c>
      <c r="F531" s="4">
        <v>9.0</v>
      </c>
      <c r="G531" s="3"/>
      <c r="H531" s="4">
        <v>13.0</v>
      </c>
      <c r="I531" s="3"/>
      <c r="J531" s="4" t="s">
        <v>1757</v>
      </c>
      <c r="K531" s="4" t="s">
        <v>1757</v>
      </c>
      <c r="L531" s="4" t="s">
        <v>1757</v>
      </c>
    </row>
    <row r="532">
      <c r="A532" s="4" t="s">
        <v>5064</v>
      </c>
      <c r="B532" s="13" t="s">
        <v>48</v>
      </c>
      <c r="C532" s="4">
        <v>3.0</v>
      </c>
      <c r="D532" s="3"/>
      <c r="E532" s="4">
        <v>2.0</v>
      </c>
      <c r="F532" s="4">
        <v>9.0</v>
      </c>
      <c r="G532" s="3"/>
      <c r="H532" s="4">
        <v>13.0</v>
      </c>
      <c r="I532" s="3"/>
      <c r="J532" s="4" t="s">
        <v>1757</v>
      </c>
      <c r="K532" s="4" t="s">
        <v>1757</v>
      </c>
      <c r="L532" s="4" t="s">
        <v>1757</v>
      </c>
    </row>
    <row r="533">
      <c r="A533" s="4" t="s">
        <v>5065</v>
      </c>
      <c r="B533" s="13" t="s">
        <v>48</v>
      </c>
      <c r="C533" s="4">
        <v>3.0</v>
      </c>
      <c r="D533" s="3"/>
      <c r="E533" s="4">
        <v>2.0</v>
      </c>
      <c r="F533" s="4">
        <v>9.0</v>
      </c>
      <c r="G533" s="3"/>
      <c r="H533" s="4">
        <v>13.0</v>
      </c>
      <c r="I533" s="3"/>
      <c r="J533" s="4" t="s">
        <v>1757</v>
      </c>
      <c r="K533" s="4" t="s">
        <v>1757</v>
      </c>
      <c r="L533" s="4" t="s">
        <v>1757</v>
      </c>
    </row>
    <row r="534">
      <c r="A534" s="4" t="s">
        <v>5066</v>
      </c>
      <c r="B534" s="13" t="s">
        <v>48</v>
      </c>
      <c r="C534" s="4">
        <v>3.0</v>
      </c>
      <c r="D534" s="3"/>
      <c r="E534" s="4">
        <v>2.0</v>
      </c>
      <c r="F534" s="4">
        <v>9.0</v>
      </c>
      <c r="G534" s="3"/>
      <c r="H534" s="4">
        <v>13.0</v>
      </c>
      <c r="I534" s="3"/>
      <c r="J534" s="4" t="s">
        <v>1757</v>
      </c>
      <c r="K534" s="4" t="s">
        <v>1757</v>
      </c>
      <c r="L534" s="4" t="s">
        <v>1757</v>
      </c>
    </row>
    <row r="535">
      <c r="A535" s="4" t="s">
        <v>5067</v>
      </c>
      <c r="B535" s="13" t="s">
        <v>48</v>
      </c>
      <c r="C535" s="4">
        <v>3.0</v>
      </c>
      <c r="D535" s="3"/>
      <c r="E535" s="4">
        <v>2.0</v>
      </c>
      <c r="F535" s="4">
        <v>9.0</v>
      </c>
      <c r="G535" s="3"/>
      <c r="H535" s="4">
        <v>13.0</v>
      </c>
      <c r="I535" s="3"/>
      <c r="J535" s="4" t="s">
        <v>1757</v>
      </c>
      <c r="K535" s="4" t="s">
        <v>1757</v>
      </c>
      <c r="L535" s="4" t="s">
        <v>1757</v>
      </c>
    </row>
    <row r="536">
      <c r="A536" s="4" t="s">
        <v>5068</v>
      </c>
      <c r="B536" s="13" t="s">
        <v>48</v>
      </c>
      <c r="C536" s="4">
        <v>3.0</v>
      </c>
      <c r="D536" s="3"/>
      <c r="E536" s="4">
        <v>2.0</v>
      </c>
      <c r="F536" s="4">
        <v>9.0</v>
      </c>
      <c r="G536" s="3"/>
      <c r="H536" s="4">
        <v>13.0</v>
      </c>
      <c r="I536" s="3"/>
      <c r="J536" s="4" t="s">
        <v>1757</v>
      </c>
      <c r="K536" s="4" t="s">
        <v>1757</v>
      </c>
      <c r="L536" s="4" t="s">
        <v>1757</v>
      </c>
    </row>
    <row r="537">
      <c r="A537" s="4" t="s">
        <v>5069</v>
      </c>
      <c r="B537" s="13" t="s">
        <v>48</v>
      </c>
      <c r="C537" s="4">
        <v>3.0</v>
      </c>
      <c r="D537" s="3"/>
      <c r="E537" s="4">
        <v>2.0</v>
      </c>
      <c r="F537" s="4">
        <v>9.0</v>
      </c>
      <c r="G537" s="3"/>
      <c r="H537" s="4">
        <v>13.0</v>
      </c>
      <c r="I537" s="3"/>
      <c r="J537" s="4" t="s">
        <v>1757</v>
      </c>
      <c r="K537" s="4" t="s">
        <v>1757</v>
      </c>
      <c r="L537" s="4" t="s">
        <v>1757</v>
      </c>
    </row>
    <row r="538">
      <c r="A538" s="4" t="s">
        <v>5070</v>
      </c>
      <c r="B538" s="13" t="s">
        <v>48</v>
      </c>
      <c r="C538" s="4">
        <v>3.0</v>
      </c>
      <c r="D538" s="3"/>
      <c r="E538" s="4">
        <v>2.0</v>
      </c>
      <c r="F538" s="4">
        <v>9.0</v>
      </c>
      <c r="G538" s="3"/>
      <c r="H538" s="4">
        <v>13.0</v>
      </c>
      <c r="I538" s="3"/>
      <c r="J538" s="4" t="s">
        <v>1757</v>
      </c>
      <c r="K538" s="4" t="s">
        <v>1757</v>
      </c>
      <c r="L538" s="4" t="s">
        <v>1757</v>
      </c>
    </row>
    <row r="539">
      <c r="A539" s="4" t="s">
        <v>5071</v>
      </c>
      <c r="B539" s="13" t="s">
        <v>48</v>
      </c>
      <c r="C539" s="4">
        <v>3.0</v>
      </c>
      <c r="D539" s="3"/>
      <c r="E539" s="4">
        <v>2.0</v>
      </c>
      <c r="F539" s="4">
        <v>9.0</v>
      </c>
      <c r="G539" s="3"/>
      <c r="H539" s="4">
        <v>13.0</v>
      </c>
      <c r="I539" s="3"/>
      <c r="J539" s="4" t="s">
        <v>1757</v>
      </c>
      <c r="K539" s="4" t="s">
        <v>1757</v>
      </c>
      <c r="L539" s="4" t="s">
        <v>1757</v>
      </c>
    </row>
    <row r="540">
      <c r="A540" s="4" t="s">
        <v>5072</v>
      </c>
      <c r="B540" s="13" t="s">
        <v>48</v>
      </c>
      <c r="C540" s="4">
        <v>3.0</v>
      </c>
      <c r="D540" s="3"/>
      <c r="E540" s="4">
        <v>2.0</v>
      </c>
      <c r="F540" s="4">
        <v>9.0</v>
      </c>
      <c r="G540" s="3"/>
      <c r="H540" s="4">
        <v>13.0</v>
      </c>
      <c r="I540" s="3"/>
      <c r="J540" s="4" t="s">
        <v>1757</v>
      </c>
      <c r="K540" s="4" t="s">
        <v>1757</v>
      </c>
      <c r="L540" s="4" t="s">
        <v>1757</v>
      </c>
    </row>
    <row r="541">
      <c r="A541" s="4" t="s">
        <v>5073</v>
      </c>
      <c r="B541" s="13" t="s">
        <v>48</v>
      </c>
      <c r="C541" s="4">
        <v>3.0</v>
      </c>
      <c r="D541" s="3"/>
      <c r="E541" s="4">
        <v>2.0</v>
      </c>
      <c r="F541" s="4">
        <v>9.0</v>
      </c>
      <c r="G541" s="3"/>
      <c r="H541" s="4">
        <v>13.0</v>
      </c>
      <c r="I541" s="3"/>
      <c r="J541" s="4" t="s">
        <v>1757</v>
      </c>
      <c r="K541" s="4" t="s">
        <v>1757</v>
      </c>
      <c r="L541" s="4" t="s">
        <v>1757</v>
      </c>
    </row>
    <row r="542">
      <c r="A542" s="4" t="s">
        <v>5074</v>
      </c>
      <c r="B542" s="13" t="s">
        <v>48</v>
      </c>
      <c r="C542" s="4">
        <v>3.0</v>
      </c>
      <c r="D542" s="3"/>
      <c r="E542" s="4">
        <v>2.0</v>
      </c>
      <c r="F542" s="4">
        <v>9.0</v>
      </c>
      <c r="G542" s="3"/>
      <c r="H542" s="4">
        <v>13.0</v>
      </c>
      <c r="I542" s="3"/>
      <c r="J542" s="4" t="s">
        <v>1757</v>
      </c>
      <c r="K542" s="4" t="s">
        <v>1757</v>
      </c>
    </row>
    <row r="543">
      <c r="A543" s="4" t="s">
        <v>5075</v>
      </c>
      <c r="B543" s="13" t="s">
        <v>48</v>
      </c>
      <c r="C543" s="4">
        <v>3.0</v>
      </c>
      <c r="D543" s="3"/>
      <c r="E543" s="4">
        <v>2.0</v>
      </c>
      <c r="F543" s="4">
        <v>9.0</v>
      </c>
      <c r="G543" s="3"/>
      <c r="H543" s="4">
        <v>13.0</v>
      </c>
      <c r="I543" s="3"/>
      <c r="J543" s="4" t="s">
        <v>1757</v>
      </c>
      <c r="K543" s="4" t="s">
        <v>1757</v>
      </c>
    </row>
    <row r="544">
      <c r="A544" s="4" t="s">
        <v>5076</v>
      </c>
      <c r="B544" s="13" t="s">
        <v>48</v>
      </c>
      <c r="C544" s="4">
        <v>3.0</v>
      </c>
      <c r="D544" s="3"/>
      <c r="E544" s="4">
        <v>2.0</v>
      </c>
      <c r="F544" s="4">
        <v>9.0</v>
      </c>
      <c r="G544" s="3"/>
      <c r="H544" s="4">
        <v>13.0</v>
      </c>
      <c r="I544" s="3"/>
      <c r="J544" s="4" t="s">
        <v>1757</v>
      </c>
      <c r="K544" s="4" t="s">
        <v>1757</v>
      </c>
    </row>
    <row r="545">
      <c r="A545" s="4" t="s">
        <v>5077</v>
      </c>
      <c r="B545" s="13" t="s">
        <v>48</v>
      </c>
      <c r="C545" s="4">
        <v>3.0</v>
      </c>
      <c r="D545" s="3"/>
      <c r="E545" s="4">
        <v>2.0</v>
      </c>
      <c r="F545" s="4">
        <v>9.0</v>
      </c>
      <c r="G545" s="3"/>
      <c r="H545" s="4">
        <v>13.0</v>
      </c>
      <c r="I545" s="3"/>
      <c r="J545" s="4" t="s">
        <v>1757</v>
      </c>
      <c r="K545" s="4" t="s">
        <v>1757</v>
      </c>
    </row>
    <row r="546">
      <c r="A546" s="4" t="s">
        <v>5078</v>
      </c>
      <c r="B546" s="13" t="s">
        <v>48</v>
      </c>
      <c r="C546" s="4">
        <v>3.0</v>
      </c>
      <c r="D546" s="3"/>
      <c r="E546" s="4">
        <v>2.0</v>
      </c>
      <c r="F546" s="4">
        <v>9.0</v>
      </c>
      <c r="G546" s="3"/>
      <c r="H546" s="4">
        <v>13.0</v>
      </c>
      <c r="I546" s="3"/>
      <c r="J546" s="4" t="s">
        <v>1757</v>
      </c>
      <c r="K546" s="4" t="s">
        <v>1757</v>
      </c>
    </row>
    <row r="547">
      <c r="A547" s="4" t="s">
        <v>5079</v>
      </c>
      <c r="B547" s="13" t="s">
        <v>48</v>
      </c>
      <c r="C547" s="4">
        <v>3.0</v>
      </c>
      <c r="D547" s="3"/>
      <c r="E547" s="4">
        <v>2.0</v>
      </c>
      <c r="F547" s="4">
        <v>9.0</v>
      </c>
      <c r="G547" s="3"/>
      <c r="H547" s="4">
        <v>13.0</v>
      </c>
      <c r="I547" s="3"/>
      <c r="J547" s="4" t="s">
        <v>1757</v>
      </c>
      <c r="K547" s="4" t="s">
        <v>1757</v>
      </c>
    </row>
    <row r="548">
      <c r="A548" s="4" t="s">
        <v>5080</v>
      </c>
      <c r="B548" s="13" t="s">
        <v>48</v>
      </c>
      <c r="C548" s="4">
        <v>3.0</v>
      </c>
      <c r="D548" s="3"/>
      <c r="E548" s="4">
        <v>2.0</v>
      </c>
      <c r="F548" s="4">
        <v>9.0</v>
      </c>
      <c r="G548" s="3"/>
      <c r="H548" s="4">
        <v>13.0</v>
      </c>
      <c r="I548" s="3"/>
      <c r="J548" s="4" t="s">
        <v>1757</v>
      </c>
      <c r="K548" s="4" t="s">
        <v>1757</v>
      </c>
    </row>
    <row r="549">
      <c r="A549" s="4" t="s">
        <v>5081</v>
      </c>
      <c r="B549" s="13" t="s">
        <v>48</v>
      </c>
      <c r="C549" s="4">
        <v>3.0</v>
      </c>
      <c r="D549" s="3"/>
      <c r="E549" s="4">
        <v>2.0</v>
      </c>
      <c r="F549" s="4">
        <v>9.0</v>
      </c>
      <c r="G549" s="3"/>
      <c r="H549" s="4">
        <v>13.0</v>
      </c>
      <c r="I549" s="3"/>
      <c r="J549" s="4" t="s">
        <v>1757</v>
      </c>
      <c r="K549" s="4" t="s">
        <v>1757</v>
      </c>
    </row>
    <row r="550">
      <c r="A550" s="4" t="s">
        <v>5082</v>
      </c>
      <c r="B550" s="13" t="s">
        <v>48</v>
      </c>
      <c r="C550" s="4">
        <v>3.0</v>
      </c>
      <c r="D550" s="3"/>
      <c r="E550" s="4">
        <v>2.0</v>
      </c>
      <c r="F550" s="4">
        <v>9.0</v>
      </c>
      <c r="G550" s="3"/>
      <c r="H550" s="4">
        <v>13.0</v>
      </c>
      <c r="I550" s="3"/>
      <c r="J550" s="4" t="s">
        <v>1757</v>
      </c>
      <c r="K550" s="4" t="s">
        <v>1757</v>
      </c>
    </row>
    <row r="551">
      <c r="A551" s="4" t="s">
        <v>5083</v>
      </c>
      <c r="B551" s="13" t="s">
        <v>48</v>
      </c>
      <c r="C551" s="4">
        <v>3.0</v>
      </c>
      <c r="D551" s="3"/>
      <c r="E551" s="4">
        <v>2.0</v>
      </c>
      <c r="F551" s="4">
        <v>9.0</v>
      </c>
      <c r="G551" s="3"/>
      <c r="H551" s="4">
        <v>13.0</v>
      </c>
      <c r="I551" s="3"/>
      <c r="J551" s="4" t="s">
        <v>1757</v>
      </c>
      <c r="K551" s="4" t="s">
        <v>1757</v>
      </c>
    </row>
    <row r="552">
      <c r="A552" s="4" t="s">
        <v>5084</v>
      </c>
      <c r="B552" s="13" t="s">
        <v>48</v>
      </c>
      <c r="C552" s="4">
        <v>3.0</v>
      </c>
      <c r="D552" s="3"/>
      <c r="E552" s="4">
        <v>2.0</v>
      </c>
      <c r="F552" s="4">
        <v>9.0</v>
      </c>
      <c r="G552" s="3"/>
      <c r="H552" s="4">
        <v>13.0</v>
      </c>
      <c r="I552" s="3"/>
      <c r="J552" s="4" t="s">
        <v>1757</v>
      </c>
      <c r="K552" s="4" t="s">
        <v>1757</v>
      </c>
    </row>
    <row r="553">
      <c r="A553" s="4" t="s">
        <v>5085</v>
      </c>
      <c r="B553" s="13" t="s">
        <v>48</v>
      </c>
      <c r="C553" s="4">
        <v>2.0</v>
      </c>
      <c r="D553" s="3"/>
      <c r="E553" s="3"/>
      <c r="F553" s="4">
        <v>9.0</v>
      </c>
      <c r="G553" s="3"/>
      <c r="H553" s="4">
        <v>13.0</v>
      </c>
      <c r="I553" s="3"/>
      <c r="J553" s="4" t="s">
        <v>1757</v>
      </c>
      <c r="K553" s="4" t="s">
        <v>1757</v>
      </c>
    </row>
    <row r="554">
      <c r="A554" s="4" t="s">
        <v>5086</v>
      </c>
      <c r="B554" s="13" t="s">
        <v>48</v>
      </c>
      <c r="C554" s="4">
        <v>2.0</v>
      </c>
      <c r="D554" s="3"/>
      <c r="E554" s="3"/>
      <c r="F554" s="4">
        <v>9.0</v>
      </c>
      <c r="G554" s="3"/>
      <c r="H554" s="4">
        <v>13.0</v>
      </c>
      <c r="I554" s="3"/>
      <c r="J554" s="4" t="s">
        <v>1757</v>
      </c>
      <c r="K554" s="4" t="s">
        <v>1757</v>
      </c>
    </row>
    <row r="555">
      <c r="A555" s="4" t="s">
        <v>5087</v>
      </c>
      <c r="B555" s="13" t="s">
        <v>48</v>
      </c>
      <c r="C555" s="4">
        <v>2.0</v>
      </c>
      <c r="D555" s="3"/>
      <c r="E555" s="3"/>
      <c r="F555" s="4">
        <v>9.0</v>
      </c>
      <c r="G555" s="3"/>
      <c r="H555" s="4">
        <v>13.0</v>
      </c>
      <c r="I555" s="3"/>
      <c r="J555" s="4" t="s">
        <v>1757</v>
      </c>
      <c r="K555" s="4" t="s">
        <v>1757</v>
      </c>
    </row>
    <row r="556">
      <c r="A556" s="4" t="s">
        <v>5088</v>
      </c>
      <c r="B556" s="13" t="s">
        <v>48</v>
      </c>
      <c r="C556" s="4">
        <v>2.0</v>
      </c>
      <c r="D556" s="3"/>
      <c r="E556" s="3"/>
      <c r="F556" s="4">
        <v>9.0</v>
      </c>
      <c r="G556" s="3"/>
      <c r="H556" s="4">
        <v>13.0</v>
      </c>
      <c r="I556" s="3"/>
      <c r="J556" s="4" t="s">
        <v>1757</v>
      </c>
      <c r="K556" s="4" t="s">
        <v>1757</v>
      </c>
    </row>
    <row r="557">
      <c r="A557" s="4" t="s">
        <v>5089</v>
      </c>
      <c r="B557" s="13" t="s">
        <v>48</v>
      </c>
      <c r="C557" s="4">
        <v>2.0</v>
      </c>
      <c r="D557" s="3"/>
      <c r="E557" s="3"/>
      <c r="F557" s="4">
        <v>9.0</v>
      </c>
      <c r="G557" s="3"/>
      <c r="H557" s="4">
        <v>13.0</v>
      </c>
      <c r="I557" s="3"/>
      <c r="J557" s="4" t="s">
        <v>1757</v>
      </c>
      <c r="K557" s="4" t="s">
        <v>1757</v>
      </c>
    </row>
    <row r="558">
      <c r="A558" s="4" t="s">
        <v>5090</v>
      </c>
      <c r="B558" s="13" t="s">
        <v>48</v>
      </c>
      <c r="C558" s="4">
        <v>2.0</v>
      </c>
      <c r="D558" s="3"/>
      <c r="E558" s="3"/>
      <c r="F558" s="4">
        <v>9.0</v>
      </c>
      <c r="G558" s="3"/>
      <c r="H558" s="4">
        <v>13.0</v>
      </c>
      <c r="I558" s="3"/>
      <c r="J558" s="4" t="s">
        <v>1757</v>
      </c>
      <c r="K558" s="4" t="s">
        <v>1757</v>
      </c>
    </row>
    <row r="559">
      <c r="A559" s="4" t="s">
        <v>5091</v>
      </c>
      <c r="B559" s="13" t="s">
        <v>48</v>
      </c>
      <c r="C559" s="4">
        <v>3.0</v>
      </c>
      <c r="D559" s="3"/>
      <c r="E559" s="4">
        <v>2.0</v>
      </c>
      <c r="F559" s="4">
        <v>9.0</v>
      </c>
      <c r="G559" s="3"/>
      <c r="H559" s="4">
        <v>13.0</v>
      </c>
      <c r="I559" s="3"/>
      <c r="J559" s="4" t="s">
        <v>1757</v>
      </c>
      <c r="K559" s="4" t="s">
        <v>1757</v>
      </c>
    </row>
    <row r="560">
      <c r="A560" s="4" t="s">
        <v>5092</v>
      </c>
      <c r="B560" s="13" t="s">
        <v>48</v>
      </c>
      <c r="C560" s="4">
        <v>3.0</v>
      </c>
      <c r="D560" s="3"/>
      <c r="E560" s="4">
        <v>2.0</v>
      </c>
      <c r="F560" s="4">
        <v>9.0</v>
      </c>
      <c r="G560" s="3"/>
      <c r="H560" s="4">
        <v>13.0</v>
      </c>
      <c r="I560" s="3"/>
      <c r="J560" s="4" t="s">
        <v>1757</v>
      </c>
      <c r="K560" s="4" t="s">
        <v>1757</v>
      </c>
    </row>
    <row r="561">
      <c r="A561" s="4" t="s">
        <v>5093</v>
      </c>
      <c r="B561" s="13" t="s">
        <v>48</v>
      </c>
      <c r="C561" s="4">
        <v>3.0</v>
      </c>
      <c r="D561" s="3"/>
      <c r="E561" s="4">
        <v>2.0</v>
      </c>
      <c r="F561" s="4">
        <v>9.0</v>
      </c>
      <c r="G561" s="3"/>
      <c r="H561" s="4">
        <v>13.0</v>
      </c>
      <c r="I561" s="3"/>
      <c r="J561" s="4" t="s">
        <v>1757</v>
      </c>
      <c r="K561" s="4" t="s">
        <v>1757</v>
      </c>
    </row>
    <row r="562">
      <c r="A562" s="4" t="s">
        <v>5094</v>
      </c>
      <c r="B562" s="13" t="s">
        <v>48</v>
      </c>
      <c r="C562" s="4">
        <v>3.0</v>
      </c>
      <c r="D562" s="3"/>
      <c r="E562" s="4">
        <v>2.0</v>
      </c>
      <c r="F562" s="4">
        <v>9.0</v>
      </c>
      <c r="G562" s="3"/>
      <c r="H562" s="4">
        <v>13.0</v>
      </c>
      <c r="I562" s="3"/>
      <c r="J562" s="4" t="s">
        <v>1757</v>
      </c>
      <c r="K562" s="4" t="s">
        <v>1757</v>
      </c>
    </row>
    <row r="563">
      <c r="A563" s="4" t="s">
        <v>5095</v>
      </c>
      <c r="B563" s="13" t="s">
        <v>48</v>
      </c>
      <c r="C563" s="4">
        <v>3.0</v>
      </c>
      <c r="D563" s="3"/>
      <c r="E563" s="4">
        <v>2.0</v>
      </c>
      <c r="F563" s="4">
        <v>9.0</v>
      </c>
      <c r="G563" s="3"/>
      <c r="H563" s="4">
        <v>13.0</v>
      </c>
      <c r="I563" s="3"/>
      <c r="J563" s="4" t="s">
        <v>1757</v>
      </c>
      <c r="K563" s="4" t="s">
        <v>1757</v>
      </c>
    </row>
    <row r="564">
      <c r="A564" s="4" t="s">
        <v>5096</v>
      </c>
      <c r="B564" s="13" t="s">
        <v>48</v>
      </c>
      <c r="C564" s="4">
        <v>3.0</v>
      </c>
      <c r="D564" s="3"/>
      <c r="E564" s="4">
        <v>2.0</v>
      </c>
      <c r="F564" s="4">
        <v>9.0</v>
      </c>
      <c r="G564" s="3"/>
      <c r="H564" s="4">
        <v>13.0</v>
      </c>
      <c r="I564" s="3"/>
      <c r="J564" s="4" t="s">
        <v>1757</v>
      </c>
      <c r="K564" s="4" t="s">
        <v>1757</v>
      </c>
    </row>
    <row r="565">
      <c r="A565" s="4" t="s">
        <v>5097</v>
      </c>
      <c r="B565" s="13" t="s">
        <v>48</v>
      </c>
      <c r="C565" s="4">
        <v>3.0</v>
      </c>
      <c r="D565" s="3"/>
      <c r="E565" s="4">
        <v>2.0</v>
      </c>
      <c r="F565" s="4">
        <v>9.0</v>
      </c>
      <c r="G565" s="3"/>
      <c r="H565" s="4">
        <v>13.0</v>
      </c>
      <c r="I565" s="3"/>
      <c r="J565" s="4" t="s">
        <v>1757</v>
      </c>
      <c r="K565" s="4" t="s">
        <v>1757</v>
      </c>
    </row>
    <row r="566">
      <c r="A566" s="4" t="s">
        <v>5098</v>
      </c>
      <c r="B566" s="13" t="s">
        <v>48</v>
      </c>
      <c r="C566" s="4">
        <v>3.0</v>
      </c>
      <c r="D566" s="3"/>
      <c r="E566" s="4">
        <v>2.0</v>
      </c>
      <c r="F566" s="4">
        <v>9.0</v>
      </c>
      <c r="G566" s="3"/>
      <c r="H566" s="4">
        <v>13.0</v>
      </c>
      <c r="I566" s="3"/>
      <c r="J566" s="4" t="s">
        <v>1757</v>
      </c>
      <c r="K566" s="4" t="s">
        <v>1757</v>
      </c>
    </row>
    <row r="567">
      <c r="A567" s="4" t="s">
        <v>5099</v>
      </c>
      <c r="B567" s="13" t="s">
        <v>48</v>
      </c>
      <c r="C567" s="4">
        <v>2.0</v>
      </c>
      <c r="D567" s="3"/>
      <c r="E567" s="3"/>
      <c r="F567" s="4">
        <v>9.0</v>
      </c>
      <c r="G567" s="3"/>
      <c r="H567" s="4">
        <v>13.0</v>
      </c>
      <c r="I567" s="3"/>
      <c r="J567" s="4" t="s">
        <v>1757</v>
      </c>
      <c r="K567" s="4" t="s">
        <v>1757</v>
      </c>
    </row>
    <row r="568">
      <c r="A568" s="4" t="s">
        <v>5100</v>
      </c>
      <c r="B568" s="13" t="s">
        <v>48</v>
      </c>
      <c r="C568" s="4">
        <v>2.0</v>
      </c>
      <c r="D568" s="3"/>
      <c r="E568" s="3"/>
      <c r="F568" s="4">
        <v>9.0</v>
      </c>
      <c r="G568" s="3"/>
      <c r="H568" s="4">
        <v>13.0</v>
      </c>
      <c r="I568" s="3"/>
      <c r="J568" s="4" t="s">
        <v>1757</v>
      </c>
      <c r="K568" s="4" t="s">
        <v>1757</v>
      </c>
    </row>
    <row r="569">
      <c r="A569" s="4" t="s">
        <v>5101</v>
      </c>
      <c r="B569" s="13" t="s">
        <v>48</v>
      </c>
      <c r="C569" s="4">
        <v>2.0</v>
      </c>
      <c r="D569" s="3"/>
      <c r="E569" s="3"/>
      <c r="F569" s="4">
        <v>9.0</v>
      </c>
      <c r="G569" s="3"/>
      <c r="H569" s="4">
        <v>13.0</v>
      </c>
      <c r="I569" s="3"/>
      <c r="J569" s="4" t="s">
        <v>1757</v>
      </c>
      <c r="K569" s="4" t="s">
        <v>1757</v>
      </c>
    </row>
    <row r="570">
      <c r="A570" s="4" t="s">
        <v>5102</v>
      </c>
      <c r="B570" s="13" t="s">
        <v>48</v>
      </c>
      <c r="C570" s="4">
        <v>2.0</v>
      </c>
      <c r="D570" s="3"/>
      <c r="E570" s="3"/>
      <c r="F570" s="4">
        <v>9.0</v>
      </c>
      <c r="G570" s="3"/>
      <c r="H570" s="4">
        <v>13.0</v>
      </c>
      <c r="I570" s="3"/>
      <c r="J570" s="4" t="s">
        <v>1757</v>
      </c>
      <c r="K570" s="4" t="s">
        <v>1757</v>
      </c>
    </row>
    <row r="571">
      <c r="A571" s="4" t="s">
        <v>5103</v>
      </c>
      <c r="B571" s="13" t="s">
        <v>48</v>
      </c>
      <c r="C571" s="4">
        <v>2.0</v>
      </c>
      <c r="D571" s="3"/>
      <c r="E571" s="3"/>
      <c r="F571" s="4">
        <v>9.0</v>
      </c>
      <c r="G571" s="3"/>
      <c r="H571" s="4">
        <v>13.0</v>
      </c>
      <c r="I571" s="3"/>
      <c r="J571" s="4" t="s">
        <v>1757</v>
      </c>
      <c r="K571" s="4" t="s">
        <v>1757</v>
      </c>
    </row>
    <row r="572">
      <c r="A572" s="4" t="s">
        <v>5104</v>
      </c>
      <c r="B572" s="13" t="s">
        <v>48</v>
      </c>
      <c r="C572" s="4">
        <v>2.0</v>
      </c>
      <c r="D572" s="3"/>
      <c r="E572" s="3"/>
      <c r="F572" s="4">
        <v>9.0</v>
      </c>
      <c r="G572" s="3"/>
      <c r="H572" s="4">
        <v>13.0</v>
      </c>
      <c r="I572" s="3"/>
      <c r="J572" s="4" t="s">
        <v>1757</v>
      </c>
      <c r="K572" s="4" t="s">
        <v>1757</v>
      </c>
    </row>
    <row r="573">
      <c r="A573" s="4" t="s">
        <v>5105</v>
      </c>
      <c r="B573" s="13" t="s">
        <v>48</v>
      </c>
      <c r="C573" s="4">
        <v>2.0</v>
      </c>
      <c r="D573" s="3"/>
      <c r="E573" s="3"/>
      <c r="F573" s="4">
        <v>9.0</v>
      </c>
      <c r="G573" s="3"/>
      <c r="H573" s="4">
        <v>13.0</v>
      </c>
      <c r="I573" s="3"/>
      <c r="J573" s="4" t="s">
        <v>1757</v>
      </c>
      <c r="K573" s="4" t="s">
        <v>1757</v>
      </c>
    </row>
    <row r="574">
      <c r="A574" s="4" t="s">
        <v>5106</v>
      </c>
      <c r="B574" s="13" t="s">
        <v>48</v>
      </c>
      <c r="C574" s="4">
        <v>2.0</v>
      </c>
      <c r="D574" s="3"/>
      <c r="E574" s="3"/>
      <c r="F574" s="4">
        <v>9.0</v>
      </c>
      <c r="G574" s="3"/>
      <c r="H574" s="4">
        <v>13.0</v>
      </c>
      <c r="I574" s="3"/>
      <c r="J574" s="4" t="s">
        <v>1757</v>
      </c>
      <c r="K574" s="4" t="s">
        <v>1757</v>
      </c>
    </row>
    <row r="575">
      <c r="A575" s="4" t="s">
        <v>5107</v>
      </c>
      <c r="B575" s="13" t="s">
        <v>48</v>
      </c>
      <c r="C575" s="4">
        <v>2.0</v>
      </c>
      <c r="D575" s="3"/>
      <c r="E575" s="3"/>
      <c r="F575" s="4">
        <v>9.0</v>
      </c>
      <c r="G575" s="3"/>
      <c r="H575" s="4">
        <v>13.0</v>
      </c>
      <c r="I575" s="3"/>
      <c r="J575" s="4" t="s">
        <v>1757</v>
      </c>
      <c r="K575" s="4" t="s">
        <v>1757</v>
      </c>
    </row>
    <row r="576">
      <c r="A576" s="4" t="s">
        <v>5108</v>
      </c>
      <c r="B576" s="13" t="s">
        <v>48</v>
      </c>
      <c r="C576" s="4">
        <v>2.0</v>
      </c>
      <c r="D576" s="3"/>
      <c r="E576" s="3"/>
      <c r="F576" s="4">
        <v>9.0</v>
      </c>
      <c r="G576" s="3"/>
      <c r="H576" s="4">
        <v>13.0</v>
      </c>
      <c r="I576" s="3"/>
      <c r="J576" s="4" t="s">
        <v>1757</v>
      </c>
      <c r="K576" s="4" t="s">
        <v>1757</v>
      </c>
    </row>
    <row r="577">
      <c r="A577" s="4" t="s">
        <v>5109</v>
      </c>
      <c r="B577" s="13" t="s">
        <v>48</v>
      </c>
      <c r="C577" s="4">
        <v>2.0</v>
      </c>
      <c r="D577" s="3"/>
      <c r="E577" s="3"/>
      <c r="F577" s="4">
        <v>9.0</v>
      </c>
      <c r="G577" s="3"/>
      <c r="H577" s="4">
        <v>13.0</v>
      </c>
      <c r="I577" s="3"/>
      <c r="J577" s="4" t="s">
        <v>1757</v>
      </c>
      <c r="K577" s="4" t="s">
        <v>1757</v>
      </c>
    </row>
    <row r="578">
      <c r="A578" s="4" t="s">
        <v>5110</v>
      </c>
      <c r="B578" s="13" t="s">
        <v>48</v>
      </c>
      <c r="C578" s="4">
        <v>2.0</v>
      </c>
      <c r="D578" s="3"/>
      <c r="E578" s="3"/>
      <c r="F578" s="4">
        <v>9.0</v>
      </c>
      <c r="G578" s="3"/>
      <c r="H578" s="4">
        <v>13.0</v>
      </c>
      <c r="I578" s="3"/>
      <c r="J578" s="4" t="s">
        <v>1757</v>
      </c>
      <c r="K578" s="4" t="s">
        <v>1757</v>
      </c>
    </row>
    <row r="579">
      <c r="A579" s="4" t="s">
        <v>5111</v>
      </c>
      <c r="B579" s="13" t="s">
        <v>48</v>
      </c>
      <c r="C579" s="4">
        <v>2.0</v>
      </c>
      <c r="D579" s="3"/>
      <c r="E579" s="3"/>
      <c r="F579" s="4">
        <v>9.0</v>
      </c>
      <c r="G579" s="3"/>
      <c r="H579" s="4">
        <v>13.0</v>
      </c>
      <c r="I579" s="3"/>
      <c r="J579" s="4" t="s">
        <v>1757</v>
      </c>
      <c r="K579" s="4" t="s">
        <v>1757</v>
      </c>
    </row>
    <row r="580">
      <c r="A580" s="4" t="s">
        <v>5112</v>
      </c>
      <c r="B580" s="13" t="s">
        <v>48</v>
      </c>
      <c r="C580" s="4">
        <v>2.0</v>
      </c>
      <c r="D580" s="3"/>
      <c r="E580" s="3"/>
      <c r="F580" s="4">
        <v>9.0</v>
      </c>
      <c r="G580" s="3"/>
      <c r="H580" s="4">
        <v>13.0</v>
      </c>
      <c r="I580" s="3"/>
      <c r="J580" s="4" t="s">
        <v>1757</v>
      </c>
      <c r="K580" s="4" t="s">
        <v>1757</v>
      </c>
    </row>
    <row r="581">
      <c r="A581" s="4" t="s">
        <v>5113</v>
      </c>
      <c r="B581" s="13" t="s">
        <v>48</v>
      </c>
      <c r="C581" s="4">
        <v>1.0</v>
      </c>
      <c r="D581" s="3"/>
      <c r="E581" s="3"/>
      <c r="F581" s="4">
        <v>9.0</v>
      </c>
      <c r="G581" s="3"/>
      <c r="H581" s="3"/>
      <c r="I581" s="3"/>
      <c r="J581" s="4" t="s">
        <v>1757</v>
      </c>
      <c r="K581" s="4" t="s">
        <v>1757</v>
      </c>
    </row>
    <row r="582">
      <c r="A582" s="4" t="s">
        <v>5114</v>
      </c>
      <c r="B582" s="13" t="s">
        <v>48</v>
      </c>
      <c r="C582" s="4">
        <v>1.0</v>
      </c>
      <c r="D582" s="3"/>
      <c r="E582" s="3"/>
      <c r="F582" s="4">
        <v>9.0</v>
      </c>
      <c r="G582" s="3"/>
      <c r="H582" s="3"/>
      <c r="I582" s="3"/>
      <c r="J582" s="4" t="s">
        <v>1757</v>
      </c>
      <c r="K582" s="4" t="s">
        <v>1757</v>
      </c>
    </row>
    <row r="583">
      <c r="A583" s="4" t="s">
        <v>5115</v>
      </c>
      <c r="B583" s="13" t="s">
        <v>48</v>
      </c>
      <c r="C583" s="4">
        <v>1.0</v>
      </c>
      <c r="D583" s="3"/>
      <c r="E583" s="3"/>
      <c r="F583" s="4">
        <v>9.0</v>
      </c>
      <c r="G583" s="3"/>
      <c r="H583" s="3"/>
      <c r="I583" s="3"/>
      <c r="J583" s="4" t="s">
        <v>1757</v>
      </c>
    </row>
    <row r="584">
      <c r="A584" s="4" t="s">
        <v>5116</v>
      </c>
      <c r="B584" s="13" t="s">
        <v>48</v>
      </c>
      <c r="C584" s="4">
        <v>1.0</v>
      </c>
      <c r="D584" s="3"/>
      <c r="E584" s="3"/>
      <c r="F584" s="4">
        <v>9.0</v>
      </c>
      <c r="G584" s="3"/>
      <c r="H584" s="3"/>
      <c r="I584" s="3"/>
      <c r="J584" s="4" t="s">
        <v>1757</v>
      </c>
    </row>
    <row r="585">
      <c r="A585" s="4" t="s">
        <v>5117</v>
      </c>
      <c r="B585" s="13" t="s">
        <v>48</v>
      </c>
      <c r="C585" s="4">
        <v>1.0</v>
      </c>
      <c r="D585" s="3"/>
      <c r="E585" s="3"/>
      <c r="F585" s="4">
        <v>9.0</v>
      </c>
      <c r="G585" s="3"/>
      <c r="H585" s="3"/>
      <c r="I585" s="3"/>
      <c r="J585" s="4" t="s">
        <v>1757</v>
      </c>
    </row>
    <row r="586">
      <c r="A586" s="4" t="s">
        <v>5118</v>
      </c>
      <c r="B586" s="13" t="s">
        <v>48</v>
      </c>
      <c r="C586" s="4">
        <v>1.0</v>
      </c>
      <c r="D586" s="3"/>
      <c r="E586" s="3"/>
      <c r="F586" s="4">
        <v>9.0</v>
      </c>
      <c r="G586" s="3"/>
      <c r="H586" s="3"/>
      <c r="I586" s="3"/>
      <c r="J586" s="4" t="s">
        <v>1757</v>
      </c>
    </row>
    <row r="587">
      <c r="A587" s="4" t="s">
        <v>5119</v>
      </c>
      <c r="B587" s="13" t="s">
        <v>48</v>
      </c>
      <c r="C587" s="4">
        <v>1.0</v>
      </c>
      <c r="D587" s="3"/>
      <c r="E587" s="3"/>
      <c r="F587" s="4">
        <v>9.0</v>
      </c>
      <c r="G587" s="3"/>
      <c r="H587" s="3"/>
      <c r="I587" s="3"/>
      <c r="J587" s="4" t="s">
        <v>1757</v>
      </c>
    </row>
    <row r="588">
      <c r="A588" s="4" t="s">
        <v>5120</v>
      </c>
      <c r="B588" s="13" t="s">
        <v>48</v>
      </c>
      <c r="C588" s="4">
        <v>1.0</v>
      </c>
      <c r="D588" s="3"/>
      <c r="E588" s="3"/>
      <c r="F588" s="4">
        <v>9.0</v>
      </c>
      <c r="G588" s="3"/>
      <c r="H588" s="3"/>
      <c r="I588" s="3"/>
      <c r="J588" s="4" t="s">
        <v>1757</v>
      </c>
    </row>
    <row r="589">
      <c r="A589" s="4" t="s">
        <v>5121</v>
      </c>
      <c r="B589" s="13" t="s">
        <v>48</v>
      </c>
      <c r="C589" s="4">
        <v>1.0</v>
      </c>
      <c r="D589" s="3"/>
      <c r="E589" s="3"/>
      <c r="F589" s="4">
        <v>9.0</v>
      </c>
      <c r="G589" s="3"/>
      <c r="H589" s="3"/>
      <c r="I589" s="3"/>
      <c r="J589" s="4" t="s">
        <v>1757</v>
      </c>
    </row>
    <row r="590">
      <c r="A590" s="4" t="s">
        <v>5122</v>
      </c>
      <c r="B590" s="13" t="s">
        <v>48</v>
      </c>
      <c r="C590" s="4">
        <v>1.0</v>
      </c>
      <c r="D590" s="3"/>
      <c r="E590" s="3"/>
      <c r="F590" s="4">
        <v>9.0</v>
      </c>
      <c r="G590" s="3"/>
      <c r="H590" s="3"/>
      <c r="I590" s="3"/>
      <c r="J590" s="4" t="s">
        <v>1757</v>
      </c>
    </row>
    <row r="591">
      <c r="A591" s="4" t="s">
        <v>5123</v>
      </c>
      <c r="B591" s="13" t="s">
        <v>48</v>
      </c>
      <c r="C591" s="4">
        <v>1.0</v>
      </c>
      <c r="D591" s="3"/>
      <c r="E591" s="3"/>
      <c r="F591" s="4">
        <v>9.0</v>
      </c>
      <c r="G591" s="3"/>
      <c r="H591" s="3"/>
      <c r="I591" s="3"/>
      <c r="J591" s="4" t="s">
        <v>1757</v>
      </c>
    </row>
    <row r="592">
      <c r="A592" s="4" t="s">
        <v>5124</v>
      </c>
      <c r="B592" s="13" t="s">
        <v>48</v>
      </c>
      <c r="C592" s="4">
        <v>1.0</v>
      </c>
      <c r="D592" s="3"/>
      <c r="E592" s="3"/>
      <c r="F592" s="4">
        <v>9.0</v>
      </c>
      <c r="G592" s="3"/>
      <c r="H592" s="3"/>
      <c r="I592" s="3"/>
      <c r="J592" s="4" t="s">
        <v>1757</v>
      </c>
    </row>
    <row r="593">
      <c r="A593" s="4" t="s">
        <v>5125</v>
      </c>
      <c r="B593" s="13" t="s">
        <v>48</v>
      </c>
      <c r="C593" s="4">
        <v>1.0</v>
      </c>
      <c r="D593" s="3"/>
      <c r="E593" s="3"/>
      <c r="F593" s="4">
        <v>9.0</v>
      </c>
      <c r="G593" s="3"/>
      <c r="H593" s="3"/>
      <c r="I593" s="3"/>
      <c r="J593" s="4" t="s">
        <v>1757</v>
      </c>
    </row>
    <row r="594">
      <c r="A594" s="4" t="s">
        <v>5126</v>
      </c>
      <c r="B594" s="13" t="s">
        <v>48</v>
      </c>
      <c r="C594" s="4">
        <v>1.0</v>
      </c>
      <c r="D594" s="3"/>
      <c r="E594" s="3"/>
      <c r="F594" s="4">
        <v>9.0</v>
      </c>
      <c r="G594" s="3"/>
      <c r="H594" s="3"/>
      <c r="I594" s="3"/>
      <c r="J594" s="4" t="s">
        <v>1757</v>
      </c>
    </row>
    <row r="595">
      <c r="A595" s="4" t="s">
        <v>5127</v>
      </c>
      <c r="B595" s="13" t="s">
        <v>48</v>
      </c>
      <c r="C595" s="4">
        <v>1.0</v>
      </c>
      <c r="D595" s="3"/>
      <c r="E595" s="3"/>
      <c r="F595" s="4">
        <v>9.0</v>
      </c>
      <c r="G595" s="3"/>
      <c r="H595" s="3"/>
      <c r="I595" s="3"/>
      <c r="J595" s="4" t="s">
        <v>1757</v>
      </c>
    </row>
    <row r="596">
      <c r="A596" s="4" t="s">
        <v>5128</v>
      </c>
      <c r="B596" s="13" t="s">
        <v>48</v>
      </c>
      <c r="C596" s="4">
        <v>1.0</v>
      </c>
      <c r="D596" s="3"/>
      <c r="E596" s="3"/>
      <c r="F596" s="4">
        <v>9.0</v>
      </c>
      <c r="G596" s="3"/>
      <c r="H596" s="3"/>
      <c r="I596" s="3"/>
      <c r="J596" s="4" t="s">
        <v>1757</v>
      </c>
    </row>
    <row r="597">
      <c r="A597" s="4" t="s">
        <v>5129</v>
      </c>
      <c r="B597" s="13" t="s">
        <v>48</v>
      </c>
      <c r="C597" s="4">
        <v>1.0</v>
      </c>
      <c r="D597" s="3"/>
      <c r="E597" s="3"/>
      <c r="F597" s="4">
        <v>9.0</v>
      </c>
      <c r="G597" s="3"/>
      <c r="H597" s="3"/>
      <c r="I597" s="3"/>
      <c r="J597" s="4" t="s">
        <v>1757</v>
      </c>
    </row>
    <row r="598">
      <c r="A598" s="4" t="s">
        <v>5130</v>
      </c>
      <c r="B598" s="13" t="s">
        <v>48</v>
      </c>
      <c r="C598" s="4">
        <v>1.0</v>
      </c>
      <c r="D598" s="3"/>
      <c r="E598" s="3"/>
      <c r="F598" s="4">
        <v>9.0</v>
      </c>
      <c r="G598" s="3"/>
      <c r="H598" s="3"/>
      <c r="I598" s="3"/>
      <c r="J598" s="4" t="s">
        <v>1757</v>
      </c>
    </row>
    <row r="599">
      <c r="A599" s="4" t="s">
        <v>5131</v>
      </c>
      <c r="B599" s="13" t="s">
        <v>48</v>
      </c>
      <c r="C599" s="4">
        <v>1.0</v>
      </c>
      <c r="D599" s="3"/>
      <c r="E599" s="3"/>
      <c r="F599" s="4">
        <v>9.0</v>
      </c>
      <c r="G599" s="3"/>
      <c r="H599" s="3"/>
      <c r="I599" s="3"/>
      <c r="J599" s="4" t="s">
        <v>1757</v>
      </c>
    </row>
    <row r="600">
      <c r="A600" s="4" t="s">
        <v>5132</v>
      </c>
      <c r="B600" s="13" t="s">
        <v>48</v>
      </c>
      <c r="C600" s="4">
        <v>1.0</v>
      </c>
      <c r="D600" s="3"/>
      <c r="E600" s="3"/>
      <c r="F600" s="4">
        <v>9.0</v>
      </c>
      <c r="G600" s="3"/>
      <c r="H600" s="3"/>
      <c r="I600" s="3"/>
      <c r="J600" s="4" t="s">
        <v>1757</v>
      </c>
    </row>
    <row r="601">
      <c r="A601" s="4" t="s">
        <v>5133</v>
      </c>
      <c r="B601" s="13" t="s">
        <v>48</v>
      </c>
      <c r="C601" s="4">
        <v>1.0</v>
      </c>
      <c r="D601" s="3"/>
      <c r="E601" s="3"/>
      <c r="F601" s="4">
        <v>9.0</v>
      </c>
      <c r="G601" s="3"/>
      <c r="H601" s="3"/>
      <c r="I601" s="3"/>
      <c r="J601" s="4" t="s">
        <v>1757</v>
      </c>
    </row>
    <row r="602">
      <c r="A602" s="4" t="s">
        <v>5134</v>
      </c>
      <c r="B602" s="13" t="s">
        <v>48</v>
      </c>
      <c r="C602" s="4">
        <v>1.0</v>
      </c>
      <c r="D602" s="3"/>
      <c r="E602" s="3"/>
      <c r="F602" s="4">
        <v>9.0</v>
      </c>
      <c r="G602" s="3"/>
      <c r="H602" s="3"/>
      <c r="I602" s="3"/>
      <c r="J602" s="4" t="s">
        <v>1757</v>
      </c>
    </row>
    <row r="603">
      <c r="A603" s="4" t="s">
        <v>5135</v>
      </c>
      <c r="B603" s="13" t="s">
        <v>48</v>
      </c>
      <c r="C603" s="4">
        <v>1.0</v>
      </c>
      <c r="D603" s="3"/>
      <c r="E603" s="3"/>
      <c r="F603" s="4">
        <v>9.0</v>
      </c>
      <c r="G603" s="3"/>
      <c r="H603" s="3"/>
      <c r="I603" s="3"/>
      <c r="J603" s="4" t="s">
        <v>1757</v>
      </c>
    </row>
    <row r="604">
      <c r="A604" s="4" t="s">
        <v>5136</v>
      </c>
      <c r="B604" s="13" t="s">
        <v>48</v>
      </c>
      <c r="C604" s="4">
        <v>1.0</v>
      </c>
      <c r="D604" s="3"/>
      <c r="E604" s="3"/>
      <c r="F604" s="4">
        <v>9.0</v>
      </c>
      <c r="G604" s="3"/>
      <c r="H604" s="3"/>
      <c r="I604" s="3"/>
      <c r="J604" s="4" t="s">
        <v>1757</v>
      </c>
    </row>
    <row r="605">
      <c r="A605" s="4" t="s">
        <v>5137</v>
      </c>
      <c r="B605" s="13" t="s">
        <v>48</v>
      </c>
      <c r="C605" s="4">
        <v>1.0</v>
      </c>
      <c r="D605" s="3"/>
      <c r="E605" s="3"/>
      <c r="F605" s="4">
        <v>9.0</v>
      </c>
      <c r="G605" s="3"/>
      <c r="H605" s="3"/>
      <c r="I605" s="3"/>
      <c r="J605" s="4" t="s">
        <v>1757</v>
      </c>
    </row>
    <row r="606">
      <c r="A606" s="4" t="s">
        <v>5138</v>
      </c>
      <c r="B606" s="13" t="s">
        <v>48</v>
      </c>
      <c r="C606" s="4">
        <v>1.0</v>
      </c>
      <c r="D606" s="3"/>
      <c r="E606" s="3"/>
      <c r="F606" s="4">
        <v>9.0</v>
      </c>
      <c r="G606" s="3"/>
      <c r="H606" s="3"/>
      <c r="I606" s="3"/>
      <c r="J606" s="4" t="s">
        <v>1757</v>
      </c>
    </row>
    <row r="607">
      <c r="A607" s="4" t="s">
        <v>5139</v>
      </c>
      <c r="B607" s="13" t="s">
        <v>48</v>
      </c>
      <c r="C607" s="4">
        <v>1.0</v>
      </c>
      <c r="D607" s="3"/>
      <c r="E607" s="3"/>
      <c r="F607" s="4">
        <v>9.0</v>
      </c>
      <c r="G607" s="3"/>
      <c r="H607" s="3"/>
      <c r="I607" s="3"/>
      <c r="J607" s="4" t="s">
        <v>1757</v>
      </c>
    </row>
    <row r="608">
      <c r="A608" s="4" t="s">
        <v>5140</v>
      </c>
      <c r="B608" s="13" t="s">
        <v>48</v>
      </c>
      <c r="C608" s="4">
        <v>1.0</v>
      </c>
      <c r="D608" s="3"/>
      <c r="E608" s="3"/>
      <c r="F608" s="4">
        <v>9.0</v>
      </c>
      <c r="G608" s="3"/>
      <c r="H608" s="3"/>
      <c r="I608" s="3"/>
      <c r="J608" s="4" t="s">
        <v>1757</v>
      </c>
    </row>
    <row r="609">
      <c r="A609" s="4" t="s">
        <v>5141</v>
      </c>
      <c r="B609" s="13" t="s">
        <v>48</v>
      </c>
      <c r="C609" s="4">
        <v>1.0</v>
      </c>
      <c r="D609" s="3"/>
      <c r="E609" s="3"/>
      <c r="F609" s="4">
        <v>9.0</v>
      </c>
      <c r="G609" s="3"/>
      <c r="H609" s="3"/>
      <c r="I609" s="3"/>
      <c r="J609" s="4" t="s">
        <v>1757</v>
      </c>
    </row>
    <row r="610">
      <c r="A610" s="4" t="s">
        <v>5142</v>
      </c>
      <c r="B610" s="13" t="s">
        <v>48</v>
      </c>
      <c r="C610" s="4">
        <v>1.0</v>
      </c>
      <c r="D610" s="3"/>
      <c r="E610" s="3"/>
      <c r="F610" s="4">
        <v>9.0</v>
      </c>
      <c r="G610" s="3"/>
      <c r="H610" s="3"/>
      <c r="I610" s="3"/>
      <c r="J610" s="4" t="s">
        <v>1757</v>
      </c>
    </row>
    <row r="611">
      <c r="A611" s="4" t="s">
        <v>5143</v>
      </c>
      <c r="B611" s="13" t="s">
        <v>48</v>
      </c>
      <c r="C611" s="4">
        <v>1.0</v>
      </c>
      <c r="D611" s="3"/>
      <c r="E611" s="3"/>
      <c r="F611" s="4">
        <v>9.0</v>
      </c>
      <c r="G611" s="3"/>
      <c r="H611" s="3"/>
      <c r="I611" s="3"/>
      <c r="J611" s="4" t="s">
        <v>1757</v>
      </c>
    </row>
    <row r="612">
      <c r="A612" s="4" t="s">
        <v>5144</v>
      </c>
      <c r="B612" s="13" t="s">
        <v>48</v>
      </c>
      <c r="C612" s="4">
        <v>1.0</v>
      </c>
      <c r="D612" s="3"/>
      <c r="E612" s="3"/>
      <c r="F612" s="4">
        <v>9.0</v>
      </c>
      <c r="G612" s="3"/>
      <c r="H612" s="3"/>
      <c r="I612" s="3"/>
      <c r="J612" s="4" t="s">
        <v>1757</v>
      </c>
    </row>
    <row r="613">
      <c r="A613" s="4" t="s">
        <v>5145</v>
      </c>
      <c r="B613" s="13" t="s">
        <v>43</v>
      </c>
      <c r="D613" s="3"/>
      <c r="E613" s="3"/>
      <c r="F613" s="3"/>
      <c r="G613" s="3"/>
      <c r="H613" s="3"/>
      <c r="I613" s="3"/>
      <c r="J613" s="4" t="s">
        <v>1757</v>
      </c>
    </row>
    <row r="614">
      <c r="A614" s="4" t="s">
        <v>5146</v>
      </c>
      <c r="B614" s="13" t="s">
        <v>43</v>
      </c>
      <c r="D614" s="3"/>
      <c r="E614" s="3"/>
      <c r="F614" s="3"/>
      <c r="G614" s="3"/>
      <c r="H614" s="3"/>
      <c r="I614" s="3"/>
      <c r="J614" s="4" t="s">
        <v>1757</v>
      </c>
    </row>
    <row r="615">
      <c r="A615" s="4" t="s">
        <v>5147</v>
      </c>
      <c r="B615" s="13" t="s">
        <v>43</v>
      </c>
      <c r="D615" s="3"/>
      <c r="E615" s="3"/>
      <c r="F615" s="3"/>
      <c r="G615" s="3"/>
      <c r="H615" s="3"/>
      <c r="I615" s="3"/>
      <c r="J615" s="4" t="s">
        <v>1757</v>
      </c>
    </row>
    <row r="616">
      <c r="A616" s="4" t="s">
        <v>5148</v>
      </c>
      <c r="B616" s="13" t="s">
        <v>43</v>
      </c>
      <c r="D616" s="3"/>
      <c r="E616" s="3"/>
      <c r="F616" s="3"/>
      <c r="G616" s="3"/>
      <c r="H616" s="3"/>
      <c r="I616" s="3"/>
      <c r="J616" s="4" t="s">
        <v>1757</v>
      </c>
    </row>
    <row r="617">
      <c r="A617" s="4" t="s">
        <v>5149</v>
      </c>
      <c r="B617" s="13" t="s">
        <v>43</v>
      </c>
      <c r="D617" s="3"/>
      <c r="E617" s="3"/>
      <c r="F617" s="3"/>
      <c r="G617" s="3"/>
      <c r="H617" s="3"/>
      <c r="I617" s="3"/>
      <c r="J617" s="4" t="s">
        <v>1757</v>
      </c>
    </row>
    <row r="618">
      <c r="A618" s="4" t="s">
        <v>5150</v>
      </c>
      <c r="B618" s="13" t="s">
        <v>43</v>
      </c>
      <c r="D618" s="3"/>
      <c r="E618" s="3"/>
      <c r="F618" s="3"/>
      <c r="G618" s="3"/>
      <c r="H618" s="3"/>
      <c r="I618" s="3"/>
      <c r="J618" s="4" t="s">
        <v>1757</v>
      </c>
    </row>
    <row r="619">
      <c r="A619" s="4" t="s">
        <v>5151</v>
      </c>
      <c r="B619" s="13" t="s">
        <v>43</v>
      </c>
      <c r="D619" s="3"/>
      <c r="E619" s="3"/>
      <c r="F619" s="3"/>
      <c r="G619" s="3"/>
      <c r="H619" s="3"/>
      <c r="I619" s="3"/>
      <c r="J619" s="4" t="s">
        <v>1757</v>
      </c>
    </row>
    <row r="620">
      <c r="A620" s="4" t="s">
        <v>5152</v>
      </c>
      <c r="B620" s="13" t="s">
        <v>43</v>
      </c>
      <c r="D620" s="3"/>
      <c r="E620" s="3"/>
      <c r="F620" s="3"/>
      <c r="G620" s="3"/>
      <c r="H620" s="3"/>
      <c r="I620" s="3"/>
      <c r="J620" s="4" t="s">
        <v>1757</v>
      </c>
    </row>
    <row r="621">
      <c r="A621" s="4" t="s">
        <v>5153</v>
      </c>
      <c r="B621" s="13" t="s">
        <v>43</v>
      </c>
      <c r="D621" s="3"/>
      <c r="E621" s="3"/>
      <c r="F621" s="3"/>
      <c r="G621" s="3"/>
      <c r="H621" s="3"/>
      <c r="I621" s="3"/>
      <c r="J621" s="4" t="s">
        <v>1757</v>
      </c>
    </row>
    <row r="622">
      <c r="A622" s="4" t="s">
        <v>5154</v>
      </c>
      <c r="B622" s="13" t="s">
        <v>43</v>
      </c>
      <c r="D622" s="3"/>
      <c r="E622" s="3"/>
      <c r="F622" s="3"/>
      <c r="G622" s="3"/>
      <c r="H622" s="3"/>
      <c r="I622" s="3"/>
      <c r="J622" s="4" t="s">
        <v>1757</v>
      </c>
    </row>
    <row r="623">
      <c r="A623" s="4" t="s">
        <v>5155</v>
      </c>
      <c r="B623" s="13" t="s">
        <v>43</v>
      </c>
      <c r="D623" s="3"/>
      <c r="E623" s="3"/>
      <c r="F623" s="3"/>
      <c r="G623" s="3"/>
      <c r="H623" s="3"/>
      <c r="I623" s="3"/>
      <c r="J623" s="4" t="s">
        <v>1757</v>
      </c>
    </row>
    <row r="624">
      <c r="A624" s="4" t="s">
        <v>5156</v>
      </c>
      <c r="B624" s="13" t="s">
        <v>43</v>
      </c>
      <c r="D624" s="3"/>
      <c r="E624" s="3"/>
      <c r="F624" s="3"/>
      <c r="G624" s="3"/>
      <c r="H624" s="3"/>
      <c r="I624" s="3"/>
      <c r="J624" s="4" t="s">
        <v>1757</v>
      </c>
    </row>
    <row r="625">
      <c r="A625" s="4" t="s">
        <v>5157</v>
      </c>
      <c r="B625" s="13" t="s">
        <v>43</v>
      </c>
      <c r="D625" s="3"/>
      <c r="E625" s="3"/>
      <c r="F625" s="3"/>
      <c r="G625" s="3"/>
      <c r="H625" s="3"/>
      <c r="I625" s="3"/>
      <c r="J625" s="4" t="s">
        <v>1757</v>
      </c>
    </row>
    <row r="626">
      <c r="A626" s="4" t="s">
        <v>5158</v>
      </c>
      <c r="B626" s="13" t="s">
        <v>43</v>
      </c>
      <c r="D626" s="3"/>
      <c r="E626" s="3"/>
      <c r="F626" s="3"/>
      <c r="G626" s="3"/>
      <c r="H626" s="3"/>
      <c r="I626" s="3"/>
    </row>
    <row r="627">
      <c r="A627" s="4" t="s">
        <v>5159</v>
      </c>
      <c r="B627" s="13" t="s">
        <v>48</v>
      </c>
      <c r="C627" s="4">
        <v>1.0</v>
      </c>
      <c r="D627" s="3"/>
      <c r="E627" s="3"/>
      <c r="F627" s="3"/>
      <c r="G627" s="4">
        <v>10.0</v>
      </c>
      <c r="H627" s="3"/>
      <c r="I627" s="3"/>
    </row>
    <row r="628">
      <c r="A628" s="4" t="s">
        <v>5160</v>
      </c>
      <c r="B628" s="13" t="s">
        <v>48</v>
      </c>
      <c r="C628" s="4">
        <v>1.0</v>
      </c>
      <c r="D628" s="3"/>
      <c r="E628" s="3"/>
      <c r="F628" s="3"/>
      <c r="G628" s="4">
        <v>10.0</v>
      </c>
      <c r="H628" s="3"/>
      <c r="I628" s="3"/>
    </row>
    <row r="629">
      <c r="A629" s="4" t="s">
        <v>5161</v>
      </c>
      <c r="B629" s="13" t="s">
        <v>48</v>
      </c>
      <c r="C629" s="4">
        <v>1.0</v>
      </c>
      <c r="D629" s="3"/>
      <c r="E629" s="3"/>
      <c r="F629" s="3"/>
      <c r="G629" s="4">
        <v>10.0</v>
      </c>
      <c r="H629" s="3"/>
      <c r="I629" s="3"/>
    </row>
    <row r="630">
      <c r="A630" s="4" t="s">
        <v>5162</v>
      </c>
      <c r="B630" s="13" t="s">
        <v>48</v>
      </c>
      <c r="C630" s="4">
        <v>1.0</v>
      </c>
      <c r="D630" s="3"/>
      <c r="E630" s="3"/>
      <c r="F630" s="3"/>
      <c r="G630" s="4">
        <v>10.0</v>
      </c>
      <c r="H630" s="3"/>
      <c r="I630" s="3"/>
    </row>
    <row r="631">
      <c r="A631" s="4" t="s">
        <v>5163</v>
      </c>
      <c r="B631" s="13" t="s">
        <v>48</v>
      </c>
      <c r="C631" s="4">
        <v>1.0</v>
      </c>
      <c r="D631" s="3"/>
      <c r="E631" s="3"/>
      <c r="F631" s="3"/>
      <c r="G631" s="4">
        <v>10.0</v>
      </c>
      <c r="H631" s="3"/>
      <c r="I631" s="3"/>
    </row>
    <row r="632">
      <c r="A632" s="4" t="s">
        <v>5164</v>
      </c>
      <c r="B632" s="13" t="s">
        <v>48</v>
      </c>
      <c r="C632" s="4">
        <v>1.0</v>
      </c>
      <c r="D632" s="3"/>
      <c r="E632" s="3"/>
      <c r="F632" s="3"/>
      <c r="G632" s="4">
        <v>10.0</v>
      </c>
      <c r="H632" s="3"/>
      <c r="I632" s="3"/>
    </row>
    <row r="633">
      <c r="A633" s="4" t="s">
        <v>5165</v>
      </c>
      <c r="B633" s="13" t="s">
        <v>48</v>
      </c>
      <c r="C633" s="4">
        <v>1.0</v>
      </c>
      <c r="D633" s="3"/>
      <c r="E633" s="3"/>
      <c r="F633" s="3"/>
      <c r="G633" s="4">
        <v>10.0</v>
      </c>
      <c r="H633" s="3"/>
      <c r="I633" s="3"/>
    </row>
    <row r="634">
      <c r="A634" s="4" t="s">
        <v>5166</v>
      </c>
      <c r="B634" s="13" t="s">
        <v>48</v>
      </c>
      <c r="C634" s="4">
        <v>1.0</v>
      </c>
      <c r="D634" s="3"/>
      <c r="E634" s="3"/>
      <c r="F634" s="3"/>
      <c r="G634" s="4">
        <v>10.0</v>
      </c>
      <c r="H634" s="3"/>
      <c r="I634" s="3"/>
    </row>
    <row r="635">
      <c r="A635" s="4" t="s">
        <v>5167</v>
      </c>
      <c r="B635" s="13" t="s">
        <v>48</v>
      </c>
      <c r="C635" s="4">
        <v>1.0</v>
      </c>
      <c r="D635" s="3"/>
      <c r="E635" s="3"/>
      <c r="F635" s="3"/>
      <c r="G635" s="4">
        <v>10.0</v>
      </c>
      <c r="H635" s="3"/>
      <c r="I635" s="3"/>
    </row>
    <row r="636">
      <c r="A636" s="4" t="s">
        <v>5168</v>
      </c>
      <c r="B636" s="13" t="s">
        <v>48</v>
      </c>
      <c r="C636" s="4">
        <v>1.0</v>
      </c>
      <c r="D636" s="3"/>
      <c r="E636" s="3"/>
      <c r="F636" s="3"/>
      <c r="G636" s="4">
        <v>10.0</v>
      </c>
      <c r="H636" s="3"/>
      <c r="I636" s="3"/>
    </row>
    <row r="637">
      <c r="A637" s="4" t="s">
        <v>5169</v>
      </c>
      <c r="B637" s="13" t="s">
        <v>48</v>
      </c>
      <c r="C637" s="4">
        <v>1.0</v>
      </c>
      <c r="D637" s="3"/>
      <c r="E637" s="3"/>
      <c r="F637" s="3"/>
      <c r="G637" s="4">
        <v>10.0</v>
      </c>
      <c r="H637" s="3"/>
      <c r="I637" s="3"/>
    </row>
    <row r="638">
      <c r="A638" s="4" t="s">
        <v>5170</v>
      </c>
      <c r="B638" s="13" t="s">
        <v>48</v>
      </c>
      <c r="C638" s="4">
        <v>1.0</v>
      </c>
      <c r="D638" s="3"/>
      <c r="E638" s="3"/>
      <c r="F638" s="3"/>
      <c r="G638" s="4">
        <v>10.0</v>
      </c>
      <c r="H638" s="3"/>
      <c r="I638" s="3"/>
    </row>
    <row r="639">
      <c r="A639" s="4" t="s">
        <v>5171</v>
      </c>
      <c r="B639" s="13" t="s">
        <v>48</v>
      </c>
      <c r="C639" s="4">
        <v>1.0</v>
      </c>
      <c r="D639" s="3"/>
      <c r="E639" s="3"/>
      <c r="F639" s="3"/>
      <c r="G639" s="4">
        <v>10.0</v>
      </c>
      <c r="H639" s="3"/>
      <c r="I639" s="3"/>
    </row>
    <row r="640">
      <c r="A640" s="4" t="s">
        <v>5172</v>
      </c>
      <c r="B640" s="13" t="s">
        <v>48</v>
      </c>
      <c r="C640" s="4">
        <v>1.0</v>
      </c>
      <c r="D640" s="3"/>
      <c r="E640" s="3"/>
      <c r="F640" s="3"/>
      <c r="G640" s="4">
        <v>10.0</v>
      </c>
      <c r="H640" s="3"/>
      <c r="I640" s="3"/>
    </row>
    <row r="641">
      <c r="A641" s="4" t="s">
        <v>5173</v>
      </c>
      <c r="B641" s="13" t="s">
        <v>48</v>
      </c>
      <c r="C641" s="4">
        <v>1.0</v>
      </c>
      <c r="D641" s="3"/>
      <c r="E641" s="3"/>
      <c r="F641" s="3"/>
      <c r="G641" s="4">
        <v>10.0</v>
      </c>
      <c r="H641" s="3"/>
      <c r="I641" s="3"/>
    </row>
    <row r="642">
      <c r="A642" s="4" t="s">
        <v>5174</v>
      </c>
      <c r="B642" s="13" t="s">
        <v>48</v>
      </c>
      <c r="C642" s="4">
        <v>1.0</v>
      </c>
      <c r="D642" s="3"/>
      <c r="E642" s="3"/>
      <c r="F642" s="3"/>
      <c r="G642" s="4">
        <v>10.0</v>
      </c>
      <c r="H642" s="3"/>
      <c r="I642" s="3"/>
    </row>
    <row r="643">
      <c r="A643" s="4" t="s">
        <v>5175</v>
      </c>
      <c r="B643" s="13" t="s">
        <v>48</v>
      </c>
      <c r="C643" s="4">
        <v>1.0</v>
      </c>
      <c r="D643" s="3"/>
      <c r="E643" s="3"/>
      <c r="F643" s="3"/>
      <c r="G643" s="4">
        <v>10.0</v>
      </c>
      <c r="H643" s="3"/>
      <c r="I643" s="3"/>
    </row>
    <row r="644">
      <c r="A644" s="4" t="s">
        <v>5176</v>
      </c>
      <c r="B644" s="13" t="s">
        <v>48</v>
      </c>
      <c r="C644" s="4">
        <v>1.0</v>
      </c>
      <c r="D644" s="3"/>
      <c r="E644" s="3"/>
      <c r="F644" s="3"/>
      <c r="G644" s="4">
        <v>10.0</v>
      </c>
      <c r="H644" s="3"/>
      <c r="I644" s="3"/>
    </row>
    <row r="645">
      <c r="A645" s="4" t="s">
        <v>5177</v>
      </c>
      <c r="B645" s="13" t="s">
        <v>48</v>
      </c>
      <c r="C645" s="4">
        <v>1.0</v>
      </c>
      <c r="D645" s="3"/>
      <c r="E645" s="3"/>
      <c r="F645" s="3"/>
      <c r="G645" s="4">
        <v>10.0</v>
      </c>
      <c r="H645" s="3"/>
      <c r="I645" s="3"/>
    </row>
    <row r="646">
      <c r="A646" s="4" t="s">
        <v>5178</v>
      </c>
      <c r="B646" s="13" t="s">
        <v>48</v>
      </c>
      <c r="C646" s="4">
        <v>1.0</v>
      </c>
      <c r="D646" s="3"/>
      <c r="E646" s="3"/>
      <c r="F646" s="3"/>
      <c r="G646" s="4">
        <v>10.0</v>
      </c>
      <c r="H646" s="3"/>
      <c r="I646" s="3"/>
    </row>
    <row r="647">
      <c r="A647" s="4" t="s">
        <v>5179</v>
      </c>
      <c r="B647" s="13" t="s">
        <v>48</v>
      </c>
      <c r="C647" s="4">
        <v>1.0</v>
      </c>
      <c r="D647" s="3"/>
      <c r="E647" s="3"/>
      <c r="F647" s="3"/>
      <c r="G647" s="4">
        <v>10.0</v>
      </c>
      <c r="H647" s="3"/>
      <c r="I647" s="3"/>
    </row>
    <row r="648">
      <c r="A648" s="4" t="s">
        <v>5180</v>
      </c>
      <c r="B648" s="13" t="s">
        <v>48</v>
      </c>
      <c r="C648" s="4">
        <v>1.0</v>
      </c>
      <c r="D648" s="3"/>
      <c r="E648" s="3"/>
      <c r="F648" s="3"/>
      <c r="G648" s="4">
        <v>10.0</v>
      </c>
      <c r="H648" s="3"/>
      <c r="I648" s="3"/>
    </row>
    <row r="649">
      <c r="A649" s="4" t="s">
        <v>5181</v>
      </c>
      <c r="B649" s="13" t="s">
        <v>48</v>
      </c>
      <c r="C649" s="4">
        <v>1.0</v>
      </c>
      <c r="D649" s="3"/>
      <c r="E649" s="3"/>
      <c r="F649" s="3"/>
      <c r="G649" s="4">
        <v>10.0</v>
      </c>
      <c r="H649" s="3"/>
      <c r="I649" s="3"/>
    </row>
    <row r="650">
      <c r="A650" s="4" t="s">
        <v>5182</v>
      </c>
      <c r="B650" s="13" t="s">
        <v>48</v>
      </c>
      <c r="C650" s="4">
        <v>1.0</v>
      </c>
      <c r="D650" s="3"/>
      <c r="E650" s="3"/>
      <c r="F650" s="3"/>
      <c r="G650" s="4">
        <v>10.0</v>
      </c>
      <c r="H650" s="3"/>
      <c r="I650" s="3"/>
    </row>
    <row r="651">
      <c r="A651" s="4" t="s">
        <v>5183</v>
      </c>
      <c r="B651" s="13" t="s">
        <v>48</v>
      </c>
      <c r="C651" s="4">
        <v>1.0</v>
      </c>
      <c r="D651" s="3"/>
      <c r="E651" s="3"/>
      <c r="F651" s="3"/>
      <c r="G651" s="4">
        <v>10.0</v>
      </c>
      <c r="H651" s="3"/>
      <c r="I651" s="3"/>
    </row>
    <row r="652">
      <c r="A652" s="4" t="s">
        <v>5184</v>
      </c>
      <c r="B652" s="13" t="s">
        <v>48</v>
      </c>
      <c r="C652" s="4">
        <v>1.0</v>
      </c>
      <c r="D652" s="3"/>
      <c r="E652" s="3"/>
      <c r="F652" s="3"/>
      <c r="G652" s="4">
        <v>10.0</v>
      </c>
      <c r="H652" s="3"/>
      <c r="I652" s="3"/>
    </row>
    <row r="653">
      <c r="A653" s="4" t="s">
        <v>5185</v>
      </c>
      <c r="B653" s="13" t="s">
        <v>48</v>
      </c>
      <c r="C653" s="4">
        <v>1.0</v>
      </c>
      <c r="D653" s="3"/>
      <c r="E653" s="3"/>
      <c r="F653" s="3"/>
      <c r="G653" s="4">
        <v>10.0</v>
      </c>
      <c r="H653" s="3"/>
      <c r="I653" s="3"/>
    </row>
    <row r="654">
      <c r="A654" s="4" t="s">
        <v>5186</v>
      </c>
      <c r="B654" s="13" t="s">
        <v>48</v>
      </c>
      <c r="C654" s="4">
        <v>1.0</v>
      </c>
      <c r="D654" s="3"/>
      <c r="E654" s="3"/>
      <c r="F654" s="3"/>
      <c r="G654" s="4">
        <v>10.0</v>
      </c>
      <c r="H654" s="3"/>
      <c r="I654" s="3"/>
    </row>
    <row r="655">
      <c r="A655" s="4" t="s">
        <v>5187</v>
      </c>
      <c r="B655" s="13" t="s">
        <v>48</v>
      </c>
      <c r="C655" s="4">
        <v>1.0</v>
      </c>
      <c r="D655" s="3"/>
      <c r="E655" s="3"/>
      <c r="F655" s="3"/>
      <c r="G655" s="4">
        <v>10.0</v>
      </c>
      <c r="H655" s="3"/>
      <c r="I655" s="3"/>
    </row>
    <row r="656">
      <c r="A656" s="4" t="s">
        <v>5188</v>
      </c>
      <c r="B656" s="13" t="s">
        <v>48</v>
      </c>
      <c r="C656" s="4">
        <v>1.0</v>
      </c>
      <c r="D656" s="3"/>
      <c r="E656" s="3"/>
      <c r="F656" s="3"/>
      <c r="G656" s="4">
        <v>10.0</v>
      </c>
      <c r="H656" s="3"/>
      <c r="I656" s="3"/>
    </row>
    <row r="657">
      <c r="A657" s="4" t="s">
        <v>5189</v>
      </c>
      <c r="B657" s="13" t="s">
        <v>48</v>
      </c>
      <c r="C657" s="4">
        <v>1.0</v>
      </c>
      <c r="D657" s="3"/>
      <c r="E657" s="3"/>
      <c r="F657" s="3"/>
      <c r="G657" s="4">
        <v>10.0</v>
      </c>
      <c r="H657" s="3"/>
      <c r="I657" s="3"/>
    </row>
    <row r="658">
      <c r="A658" s="4" t="s">
        <v>5190</v>
      </c>
      <c r="B658" s="13" t="s">
        <v>48</v>
      </c>
      <c r="C658" s="4">
        <v>1.0</v>
      </c>
      <c r="D658" s="3"/>
      <c r="E658" s="3"/>
      <c r="F658" s="3"/>
      <c r="G658" s="4">
        <v>10.0</v>
      </c>
      <c r="H658" s="3"/>
      <c r="I658" s="3"/>
    </row>
    <row r="659">
      <c r="A659" s="4" t="s">
        <v>5191</v>
      </c>
      <c r="B659" s="13" t="s">
        <v>48</v>
      </c>
      <c r="C659" s="4">
        <v>1.0</v>
      </c>
      <c r="D659" s="3"/>
      <c r="E659" s="3"/>
      <c r="F659" s="3"/>
      <c r="G659" s="4">
        <v>10.0</v>
      </c>
      <c r="H659" s="3"/>
      <c r="I659" s="3"/>
    </row>
    <row r="660">
      <c r="A660" s="4" t="s">
        <v>5192</v>
      </c>
      <c r="B660" s="13" t="s">
        <v>48</v>
      </c>
      <c r="C660" s="4">
        <v>1.0</v>
      </c>
      <c r="D660" s="3"/>
      <c r="E660" s="3"/>
      <c r="F660" s="3"/>
      <c r="G660" s="4">
        <v>10.0</v>
      </c>
      <c r="H660" s="3"/>
      <c r="I660" s="3"/>
    </row>
    <row r="661">
      <c r="A661" s="4" t="s">
        <v>5193</v>
      </c>
      <c r="B661" s="13" t="s">
        <v>48</v>
      </c>
      <c r="C661" s="4">
        <v>1.0</v>
      </c>
      <c r="D661" s="3"/>
      <c r="E661" s="3"/>
      <c r="F661" s="3"/>
      <c r="G661" s="4">
        <v>10.0</v>
      </c>
      <c r="H661" s="3"/>
      <c r="I661" s="3"/>
    </row>
    <row r="662">
      <c r="A662" s="4" t="s">
        <v>5194</v>
      </c>
      <c r="B662" s="13" t="s">
        <v>48</v>
      </c>
      <c r="C662" s="4">
        <v>1.0</v>
      </c>
      <c r="D662" s="3"/>
      <c r="E662" s="3"/>
      <c r="F662" s="3"/>
      <c r="G662" s="4">
        <v>10.0</v>
      </c>
      <c r="H662" s="3"/>
      <c r="I662" s="3"/>
    </row>
    <row r="663">
      <c r="A663" s="4" t="s">
        <v>5195</v>
      </c>
      <c r="B663" s="13" t="s">
        <v>48</v>
      </c>
      <c r="C663" s="4">
        <v>1.0</v>
      </c>
      <c r="D663" s="3"/>
      <c r="E663" s="3"/>
      <c r="F663" s="3"/>
      <c r="G663" s="4">
        <v>10.0</v>
      </c>
      <c r="H663" s="3"/>
      <c r="I663" s="3"/>
    </row>
    <row r="664">
      <c r="A664" s="4" t="s">
        <v>5196</v>
      </c>
      <c r="B664" s="13" t="s">
        <v>48</v>
      </c>
      <c r="C664" s="4">
        <v>1.0</v>
      </c>
      <c r="D664" s="3"/>
      <c r="E664" s="3"/>
      <c r="F664" s="3"/>
      <c r="G664" s="4">
        <v>10.0</v>
      </c>
      <c r="H664" s="3"/>
      <c r="I664" s="3"/>
    </row>
    <row r="665">
      <c r="A665" s="4" t="s">
        <v>5197</v>
      </c>
      <c r="B665" s="13" t="s">
        <v>48</v>
      </c>
      <c r="C665" s="4">
        <v>1.0</v>
      </c>
      <c r="D665" s="3"/>
      <c r="E665" s="3"/>
      <c r="F665" s="3"/>
      <c r="G665" s="4">
        <v>10.0</v>
      </c>
      <c r="H665" s="3"/>
      <c r="I665" s="3"/>
    </row>
    <row r="666">
      <c r="A666" s="4" t="s">
        <v>5198</v>
      </c>
      <c r="B666" s="13" t="s">
        <v>48</v>
      </c>
      <c r="C666" s="4">
        <v>1.0</v>
      </c>
      <c r="D666" s="3"/>
      <c r="E666" s="3"/>
      <c r="F666" s="3"/>
      <c r="G666" s="4">
        <v>10.0</v>
      </c>
      <c r="H666" s="3"/>
      <c r="I666" s="3"/>
    </row>
    <row r="667">
      <c r="A667" s="4" t="s">
        <v>5199</v>
      </c>
      <c r="B667" s="13" t="s">
        <v>48</v>
      </c>
      <c r="C667" s="4">
        <v>1.0</v>
      </c>
      <c r="D667" s="3"/>
      <c r="E667" s="3"/>
      <c r="F667" s="3"/>
      <c r="G667" s="4">
        <v>10.0</v>
      </c>
      <c r="H667" s="3"/>
      <c r="I667" s="3"/>
    </row>
    <row r="668">
      <c r="A668" s="4" t="s">
        <v>5200</v>
      </c>
      <c r="B668" s="13" t="s">
        <v>48</v>
      </c>
      <c r="C668" s="4">
        <v>1.0</v>
      </c>
      <c r="D668" s="3"/>
      <c r="E668" s="3"/>
      <c r="F668" s="3"/>
      <c r="G668" s="4">
        <v>10.0</v>
      </c>
      <c r="H668" s="3"/>
      <c r="I668" s="3"/>
    </row>
    <row r="669">
      <c r="A669" s="4" t="s">
        <v>5201</v>
      </c>
      <c r="B669" s="13" t="s">
        <v>48</v>
      </c>
      <c r="C669" s="4">
        <v>1.0</v>
      </c>
      <c r="D669" s="3"/>
      <c r="E669" s="3"/>
      <c r="F669" s="3"/>
      <c r="G669" s="4">
        <v>10.0</v>
      </c>
      <c r="H669" s="3"/>
      <c r="I669" s="3"/>
    </row>
    <row r="670">
      <c r="A670" s="4" t="s">
        <v>5202</v>
      </c>
      <c r="B670" s="13" t="s">
        <v>48</v>
      </c>
      <c r="C670" s="4">
        <v>1.0</v>
      </c>
      <c r="D670" s="3"/>
      <c r="E670" s="3"/>
      <c r="F670" s="3"/>
      <c r="G670" s="4">
        <v>10.0</v>
      </c>
      <c r="H670" s="3"/>
      <c r="I670" s="3"/>
    </row>
    <row r="671">
      <c r="A671" s="4" t="s">
        <v>5203</v>
      </c>
      <c r="B671" s="13" t="s">
        <v>48</v>
      </c>
      <c r="C671" s="4">
        <v>1.0</v>
      </c>
      <c r="D671" s="3"/>
      <c r="E671" s="3"/>
      <c r="F671" s="3"/>
      <c r="G671" s="4">
        <v>10.0</v>
      </c>
      <c r="H671" s="3"/>
      <c r="I671" s="3"/>
    </row>
    <row r="672">
      <c r="A672" s="4" t="s">
        <v>5204</v>
      </c>
      <c r="B672" s="13" t="s">
        <v>43</v>
      </c>
      <c r="D672" s="3"/>
      <c r="E672" s="3"/>
      <c r="F672" s="3"/>
      <c r="G672" s="3"/>
      <c r="H672" s="3"/>
      <c r="I672" s="3"/>
    </row>
    <row r="673">
      <c r="A673" s="4" t="s">
        <v>5205</v>
      </c>
      <c r="B673" s="13" t="s">
        <v>43</v>
      </c>
      <c r="D673" s="3"/>
      <c r="E673" s="3"/>
      <c r="F673" s="3"/>
      <c r="G673" s="3"/>
      <c r="H673" s="3"/>
      <c r="I673" s="3"/>
    </row>
    <row r="674">
      <c r="A674" s="4" t="s">
        <v>5206</v>
      </c>
      <c r="B674" s="13" t="s">
        <v>43</v>
      </c>
      <c r="D674" s="3"/>
      <c r="E674" s="3"/>
      <c r="F674" s="3"/>
      <c r="G674" s="3"/>
      <c r="H674" s="3"/>
      <c r="I674" s="3"/>
    </row>
    <row r="675">
      <c r="A675" s="4" t="s">
        <v>5207</v>
      </c>
      <c r="B675" s="13" t="s">
        <v>43</v>
      </c>
      <c r="D675" s="3"/>
      <c r="E675" s="3"/>
      <c r="F675" s="3"/>
      <c r="G675" s="3"/>
      <c r="H675" s="3"/>
      <c r="I675" s="3"/>
    </row>
    <row r="676">
      <c r="A676" s="4" t="s">
        <v>5208</v>
      </c>
      <c r="B676" s="13" t="s">
        <v>43</v>
      </c>
      <c r="D676" s="3"/>
      <c r="E676" s="3"/>
      <c r="F676" s="3"/>
      <c r="G676" s="3"/>
      <c r="H676" s="3"/>
      <c r="I676" s="3"/>
    </row>
    <row r="677">
      <c r="A677" s="4" t="s">
        <v>5209</v>
      </c>
      <c r="B677" s="13" t="s">
        <v>43</v>
      </c>
      <c r="D677" s="3"/>
      <c r="E677" s="3"/>
      <c r="F677" s="3"/>
      <c r="G677" s="3"/>
      <c r="H677" s="3"/>
      <c r="I677" s="3"/>
    </row>
    <row r="678">
      <c r="A678" s="4" t="s">
        <v>5210</v>
      </c>
      <c r="B678" s="13" t="s">
        <v>43</v>
      </c>
      <c r="D678" s="3"/>
      <c r="E678" s="3"/>
      <c r="F678" s="3"/>
      <c r="G678" s="3"/>
      <c r="H678" s="3"/>
      <c r="I678" s="3"/>
    </row>
    <row r="679">
      <c r="A679" s="4" t="s">
        <v>5211</v>
      </c>
      <c r="B679" s="13" t="s">
        <v>43</v>
      </c>
      <c r="D679" s="3"/>
      <c r="E679" s="3"/>
      <c r="F679" s="3"/>
      <c r="G679" s="3"/>
      <c r="H679" s="3"/>
      <c r="I679" s="3"/>
    </row>
    <row r="680">
      <c r="A680" s="4" t="s">
        <v>5212</v>
      </c>
      <c r="B680" s="13" t="s">
        <v>43</v>
      </c>
      <c r="D680" s="3"/>
      <c r="E680" s="3"/>
      <c r="F680" s="3"/>
      <c r="G680" s="3"/>
      <c r="H680" s="3"/>
      <c r="I680" s="3"/>
    </row>
    <row r="681">
      <c r="A681" s="4" t="s">
        <v>5213</v>
      </c>
      <c r="B681" s="13" t="s">
        <v>43</v>
      </c>
      <c r="D681" s="3"/>
      <c r="E681" s="3"/>
      <c r="F681" s="3"/>
      <c r="G681" s="3"/>
      <c r="H681" s="3"/>
      <c r="I681" s="3"/>
    </row>
    <row r="682">
      <c r="A682" s="4" t="s">
        <v>5214</v>
      </c>
      <c r="B682" s="13" t="s">
        <v>43</v>
      </c>
      <c r="D682" s="3"/>
      <c r="E682" s="3"/>
      <c r="F682" s="3"/>
      <c r="G682" s="3"/>
      <c r="H682" s="3"/>
      <c r="I682" s="3"/>
    </row>
    <row r="683">
      <c r="A683" s="4" t="s">
        <v>5215</v>
      </c>
      <c r="B683" s="13" t="s">
        <v>43</v>
      </c>
      <c r="D683" s="3"/>
      <c r="E683" s="3"/>
      <c r="F683" s="3"/>
      <c r="G683" s="3"/>
      <c r="H683" s="3"/>
      <c r="I683" s="3"/>
    </row>
    <row r="684">
      <c r="A684" s="4" t="s">
        <v>5216</v>
      </c>
      <c r="B684" s="13" t="s">
        <v>43</v>
      </c>
      <c r="D684" s="3"/>
      <c r="E684" s="3"/>
      <c r="F684" s="3"/>
      <c r="G684" s="3"/>
      <c r="H684" s="3"/>
      <c r="I684" s="3"/>
    </row>
    <row r="685">
      <c r="A685" s="4" t="s">
        <v>5217</v>
      </c>
      <c r="B685" s="13" t="s">
        <v>43</v>
      </c>
      <c r="D685" s="3"/>
      <c r="E685" s="3"/>
      <c r="F685" s="3"/>
      <c r="G685" s="3"/>
      <c r="H685" s="3"/>
      <c r="I685" s="3"/>
    </row>
    <row r="686">
      <c r="A686" s="4" t="s">
        <v>5218</v>
      </c>
      <c r="B686" s="13" t="s">
        <v>43</v>
      </c>
      <c r="D686" s="3"/>
      <c r="E686" s="3"/>
      <c r="F686" s="3"/>
      <c r="G686" s="3"/>
      <c r="H686" s="3"/>
      <c r="I686" s="3"/>
    </row>
    <row r="687">
      <c r="A687" s="4" t="s">
        <v>5219</v>
      </c>
      <c r="B687" s="13" t="s">
        <v>48</v>
      </c>
      <c r="C687" s="4">
        <v>1.0</v>
      </c>
      <c r="D687" s="4">
        <v>1.0</v>
      </c>
      <c r="E687" s="3"/>
      <c r="F687" s="3"/>
      <c r="G687" s="3"/>
      <c r="H687" s="3"/>
      <c r="I687" s="3"/>
      <c r="J687" s="4" t="s">
        <v>1757</v>
      </c>
    </row>
    <row r="688">
      <c r="A688" s="4" t="s">
        <v>5220</v>
      </c>
      <c r="B688" s="13" t="s">
        <v>48</v>
      </c>
      <c r="C688" s="4">
        <v>2.0</v>
      </c>
      <c r="D688" s="4">
        <v>1.0</v>
      </c>
      <c r="E688" s="3"/>
      <c r="F688" s="3"/>
      <c r="G688" s="3"/>
      <c r="H688" s="3"/>
      <c r="I688" s="4">
        <v>15.0</v>
      </c>
      <c r="J688" s="4" t="s">
        <v>1757</v>
      </c>
    </row>
    <row r="689">
      <c r="A689" s="4" t="s">
        <v>5221</v>
      </c>
      <c r="B689" s="13" t="s">
        <v>48</v>
      </c>
      <c r="C689" s="4">
        <v>2.0</v>
      </c>
      <c r="D689" s="4">
        <v>1.0</v>
      </c>
      <c r="E689" s="3"/>
      <c r="F689" s="3"/>
      <c r="G689" s="3"/>
      <c r="H689" s="3"/>
      <c r="I689" s="4">
        <v>15.0</v>
      </c>
      <c r="J689" s="4" t="s">
        <v>1757</v>
      </c>
      <c r="K689" s="4" t="s">
        <v>1757</v>
      </c>
    </row>
    <row r="690">
      <c r="A690" s="4" t="s">
        <v>5222</v>
      </c>
      <c r="B690" s="13" t="s">
        <v>48</v>
      </c>
      <c r="C690" s="4">
        <v>2.0</v>
      </c>
      <c r="D690" s="4">
        <v>1.0</v>
      </c>
      <c r="E690" s="3"/>
      <c r="F690" s="3"/>
      <c r="G690" s="3"/>
      <c r="H690" s="3"/>
      <c r="I690" s="4">
        <v>15.0</v>
      </c>
      <c r="J690" s="4" t="s">
        <v>1757</v>
      </c>
      <c r="K690" s="4" t="s">
        <v>1757</v>
      </c>
    </row>
    <row r="691">
      <c r="A691" s="4" t="s">
        <v>5223</v>
      </c>
      <c r="B691" s="13" t="s">
        <v>48</v>
      </c>
      <c r="C691" s="4">
        <v>2.0</v>
      </c>
      <c r="D691" s="4">
        <v>1.0</v>
      </c>
      <c r="E691" s="3"/>
      <c r="F691" s="3"/>
      <c r="G691" s="3"/>
      <c r="H691" s="3"/>
      <c r="I691" s="4">
        <v>15.0</v>
      </c>
      <c r="J691" s="4" t="s">
        <v>1757</v>
      </c>
      <c r="K691" s="4" t="s">
        <v>1757</v>
      </c>
    </row>
    <row r="692">
      <c r="A692" s="4" t="s">
        <v>5224</v>
      </c>
      <c r="B692" s="13" t="s">
        <v>48</v>
      </c>
      <c r="C692" s="4">
        <v>2.0</v>
      </c>
      <c r="D692" s="4">
        <v>1.0</v>
      </c>
      <c r="E692" s="3"/>
      <c r="F692" s="3"/>
      <c r="G692" s="3"/>
      <c r="H692" s="3"/>
      <c r="I692" s="4">
        <v>15.0</v>
      </c>
      <c r="J692" s="4" t="s">
        <v>1757</v>
      </c>
      <c r="K692" s="4" t="s">
        <v>1757</v>
      </c>
    </row>
    <row r="693">
      <c r="A693" s="4" t="s">
        <v>5225</v>
      </c>
      <c r="B693" s="13" t="s">
        <v>48</v>
      </c>
      <c r="C693" s="4">
        <v>3.0</v>
      </c>
      <c r="D693" s="4">
        <v>1.0</v>
      </c>
      <c r="E693" s="3"/>
      <c r="F693" s="3"/>
      <c r="G693" s="3"/>
      <c r="H693" s="4">
        <v>13.0</v>
      </c>
      <c r="I693" s="4">
        <v>15.0</v>
      </c>
      <c r="J693" s="4" t="s">
        <v>1757</v>
      </c>
      <c r="K693" s="4" t="s">
        <v>1757</v>
      </c>
    </row>
    <row r="694">
      <c r="A694" s="4" t="s">
        <v>5226</v>
      </c>
      <c r="B694" s="13" t="s">
        <v>48</v>
      </c>
      <c r="C694" s="4">
        <v>4.0</v>
      </c>
      <c r="D694" s="4">
        <v>1.0</v>
      </c>
      <c r="E694" s="3"/>
      <c r="F694" s="4">
        <v>9.0</v>
      </c>
      <c r="G694" s="3"/>
      <c r="H694" s="4">
        <v>13.0</v>
      </c>
      <c r="I694" s="4">
        <v>15.0</v>
      </c>
      <c r="J694" s="4" t="s">
        <v>1757</v>
      </c>
      <c r="K694" s="4" t="s">
        <v>1757</v>
      </c>
    </row>
    <row r="695">
      <c r="A695" s="4" t="s">
        <v>5227</v>
      </c>
      <c r="B695" s="13" t="s">
        <v>48</v>
      </c>
      <c r="C695" s="4">
        <v>4.0</v>
      </c>
      <c r="D695" s="4">
        <v>1.0</v>
      </c>
      <c r="E695" s="3"/>
      <c r="F695" s="4">
        <v>9.0</v>
      </c>
      <c r="G695" s="3"/>
      <c r="H695" s="4">
        <v>13.0</v>
      </c>
      <c r="I695" s="4">
        <v>15.0</v>
      </c>
      <c r="J695" s="4" t="s">
        <v>1757</v>
      </c>
      <c r="K695" s="4" t="s">
        <v>1757</v>
      </c>
    </row>
    <row r="696">
      <c r="A696" s="4" t="s">
        <v>5228</v>
      </c>
      <c r="B696" s="13" t="s">
        <v>48</v>
      </c>
      <c r="C696" s="4">
        <v>4.0</v>
      </c>
      <c r="D696" s="4">
        <v>1.0</v>
      </c>
      <c r="E696" s="3"/>
      <c r="F696" s="4">
        <v>9.0</v>
      </c>
      <c r="G696" s="3"/>
      <c r="H696" s="4">
        <v>13.0</v>
      </c>
      <c r="I696" s="4">
        <v>15.0</v>
      </c>
      <c r="J696" s="4" t="s">
        <v>1757</v>
      </c>
      <c r="K696" s="4" t="s">
        <v>1757</v>
      </c>
    </row>
    <row r="697">
      <c r="A697" s="4" t="s">
        <v>5229</v>
      </c>
      <c r="B697" s="13" t="s">
        <v>48</v>
      </c>
      <c r="C697" s="4">
        <v>4.0</v>
      </c>
      <c r="D697" s="4">
        <v>1.0</v>
      </c>
      <c r="E697" s="3"/>
      <c r="F697" s="4">
        <v>9.0</v>
      </c>
      <c r="G697" s="3"/>
      <c r="H697" s="4">
        <v>13.0</v>
      </c>
      <c r="I697" s="4">
        <v>15.0</v>
      </c>
      <c r="J697" s="4" t="s">
        <v>1757</v>
      </c>
      <c r="K697" s="4" t="s">
        <v>1757</v>
      </c>
    </row>
    <row r="698">
      <c r="A698" s="4" t="s">
        <v>5230</v>
      </c>
      <c r="B698" s="13" t="s">
        <v>48</v>
      </c>
      <c r="C698" s="4">
        <v>3.0</v>
      </c>
      <c r="D698" s="3"/>
      <c r="E698" s="3"/>
      <c r="F698" s="4">
        <v>9.0</v>
      </c>
      <c r="G698" s="3"/>
      <c r="H698" s="4">
        <v>13.0</v>
      </c>
      <c r="I698" s="4">
        <v>15.0</v>
      </c>
      <c r="J698" s="4" t="s">
        <v>1757</v>
      </c>
      <c r="K698" s="4" t="s">
        <v>1757</v>
      </c>
    </row>
    <row r="699">
      <c r="A699" s="4" t="s">
        <v>5231</v>
      </c>
      <c r="B699" s="13" t="s">
        <v>48</v>
      </c>
      <c r="C699" s="4">
        <v>3.0</v>
      </c>
      <c r="D699" s="3"/>
      <c r="E699" s="3"/>
      <c r="F699" s="4">
        <v>9.0</v>
      </c>
      <c r="G699" s="3"/>
      <c r="H699" s="4">
        <v>13.0</v>
      </c>
      <c r="I699" s="4">
        <v>15.0</v>
      </c>
      <c r="J699" s="4" t="s">
        <v>1757</v>
      </c>
      <c r="K699" s="4" t="s">
        <v>1757</v>
      </c>
    </row>
    <row r="700">
      <c r="A700" s="4" t="s">
        <v>5232</v>
      </c>
      <c r="B700" s="13" t="s">
        <v>48</v>
      </c>
      <c r="C700" s="4">
        <v>1.0</v>
      </c>
      <c r="D700" s="3"/>
      <c r="E700" s="3"/>
      <c r="F700" s="4">
        <v>9.0</v>
      </c>
      <c r="G700" s="3"/>
      <c r="H700" s="3"/>
      <c r="I700" s="3"/>
      <c r="J700" s="4" t="s">
        <v>1757</v>
      </c>
      <c r="K700" s="4" t="s">
        <v>1757</v>
      </c>
    </row>
    <row r="701">
      <c r="A701" s="4" t="s">
        <v>5233</v>
      </c>
      <c r="B701" s="13" t="s">
        <v>48</v>
      </c>
      <c r="C701" s="4">
        <v>1.0</v>
      </c>
      <c r="D701" s="3"/>
      <c r="E701" s="3"/>
      <c r="F701" s="4">
        <v>9.0</v>
      </c>
      <c r="G701" s="3"/>
      <c r="H701" s="3"/>
      <c r="I701" s="3"/>
      <c r="J701" s="4" t="s">
        <v>1757</v>
      </c>
      <c r="K701" s="4" t="s">
        <v>1757</v>
      </c>
    </row>
    <row r="702">
      <c r="A702" s="4" t="s">
        <v>5234</v>
      </c>
      <c r="B702" s="13" t="s">
        <v>48</v>
      </c>
      <c r="C702" s="4">
        <v>1.0</v>
      </c>
      <c r="D702" s="3"/>
      <c r="E702" s="3"/>
      <c r="F702" s="4">
        <v>9.0</v>
      </c>
      <c r="G702" s="3"/>
      <c r="H702" s="3"/>
      <c r="I702" s="3"/>
      <c r="J702" s="4" t="s">
        <v>1757</v>
      </c>
    </row>
    <row r="703">
      <c r="A703" s="4" t="s">
        <v>5235</v>
      </c>
      <c r="B703" s="13" t="s">
        <v>48</v>
      </c>
      <c r="C703" s="4">
        <v>1.0</v>
      </c>
      <c r="D703" s="3"/>
      <c r="E703" s="3"/>
      <c r="F703" s="4">
        <v>9.0</v>
      </c>
      <c r="G703" s="3"/>
      <c r="H703" s="3"/>
      <c r="I703" s="3"/>
      <c r="J703" s="4" t="s">
        <v>1757</v>
      </c>
    </row>
    <row r="704">
      <c r="A704" s="4" t="s">
        <v>5236</v>
      </c>
      <c r="B704" s="13" t="s">
        <v>48</v>
      </c>
      <c r="C704" s="4">
        <v>1.0</v>
      </c>
      <c r="D704" s="3"/>
      <c r="E704" s="3"/>
      <c r="F704" s="4">
        <v>9.0</v>
      </c>
      <c r="G704" s="3"/>
      <c r="H704" s="3"/>
      <c r="I704" s="3"/>
      <c r="J704" s="4" t="s">
        <v>1757</v>
      </c>
    </row>
    <row r="705">
      <c r="A705" s="4" t="s">
        <v>5237</v>
      </c>
      <c r="B705" s="13" t="s">
        <v>48</v>
      </c>
      <c r="C705" s="4">
        <v>1.0</v>
      </c>
      <c r="D705" s="3"/>
      <c r="E705" s="3"/>
      <c r="F705" s="4">
        <v>9.0</v>
      </c>
      <c r="G705" s="3"/>
      <c r="H705" s="3"/>
      <c r="I705" s="3"/>
      <c r="J705" s="4" t="s">
        <v>1757</v>
      </c>
    </row>
    <row r="706">
      <c r="A706" s="4" t="s">
        <v>5238</v>
      </c>
      <c r="B706" s="13" t="s">
        <v>48</v>
      </c>
      <c r="C706" s="4">
        <v>1.0</v>
      </c>
      <c r="D706" s="3"/>
      <c r="E706" s="3"/>
      <c r="F706" s="4">
        <v>9.0</v>
      </c>
      <c r="G706" s="3"/>
      <c r="H706" s="3"/>
      <c r="I706" s="3"/>
      <c r="J706" s="4" t="s">
        <v>1757</v>
      </c>
    </row>
    <row r="707">
      <c r="A707" s="4" t="s">
        <v>5239</v>
      </c>
      <c r="B707" s="13" t="s">
        <v>48</v>
      </c>
      <c r="C707" s="4">
        <v>1.0</v>
      </c>
      <c r="D707" s="3"/>
      <c r="E707" s="3"/>
      <c r="F707" s="4">
        <v>9.0</v>
      </c>
      <c r="G707" s="3"/>
      <c r="H707" s="3"/>
      <c r="I707" s="3"/>
      <c r="J707" s="4" t="s">
        <v>1757</v>
      </c>
    </row>
    <row r="708">
      <c r="A708" s="4" t="s">
        <v>5240</v>
      </c>
      <c r="B708" s="13" t="s">
        <v>48</v>
      </c>
      <c r="C708" s="4">
        <v>1.0</v>
      </c>
      <c r="D708" s="3"/>
      <c r="E708" s="3"/>
      <c r="F708" s="4">
        <v>9.0</v>
      </c>
      <c r="G708" s="3"/>
      <c r="H708" s="3"/>
      <c r="I708" s="3"/>
      <c r="J708" s="4" t="s">
        <v>1757</v>
      </c>
    </row>
    <row r="709">
      <c r="A709" s="4" t="s">
        <v>5241</v>
      </c>
      <c r="B709" s="13" t="s">
        <v>48</v>
      </c>
      <c r="C709" s="4">
        <v>1.0</v>
      </c>
      <c r="D709" s="3"/>
      <c r="E709" s="3"/>
      <c r="F709" s="4">
        <v>9.0</v>
      </c>
      <c r="G709" s="3"/>
      <c r="H709" s="3"/>
      <c r="I709" s="3"/>
      <c r="J709" s="4" t="s">
        <v>1757</v>
      </c>
    </row>
    <row r="710">
      <c r="A710" s="4" t="s">
        <v>5242</v>
      </c>
      <c r="B710" s="13" t="s">
        <v>48</v>
      </c>
      <c r="C710" s="4">
        <v>1.0</v>
      </c>
      <c r="D710" s="3"/>
      <c r="E710" s="3"/>
      <c r="F710" s="4">
        <v>9.0</v>
      </c>
      <c r="G710" s="3"/>
      <c r="H710" s="3"/>
      <c r="I710" s="3"/>
      <c r="J710" s="4" t="s">
        <v>1757</v>
      </c>
    </row>
    <row r="711">
      <c r="A711" s="4" t="s">
        <v>5243</v>
      </c>
      <c r="B711" s="13" t="s">
        <v>48</v>
      </c>
      <c r="C711" s="4">
        <v>1.0</v>
      </c>
      <c r="D711" s="3"/>
      <c r="E711" s="3"/>
      <c r="F711" s="4">
        <v>9.0</v>
      </c>
      <c r="G711" s="3"/>
      <c r="H711" s="3"/>
      <c r="I711" s="3"/>
      <c r="J711" s="4" t="s">
        <v>1757</v>
      </c>
    </row>
    <row r="712">
      <c r="A712" s="4" t="s">
        <v>5244</v>
      </c>
      <c r="B712" s="13" t="s">
        <v>48</v>
      </c>
      <c r="C712" s="4">
        <v>1.0</v>
      </c>
      <c r="D712" s="3"/>
      <c r="E712" s="3"/>
      <c r="F712" s="4">
        <v>9.0</v>
      </c>
      <c r="G712" s="3"/>
      <c r="H712" s="3"/>
      <c r="I712" s="3"/>
      <c r="J712" s="4" t="s">
        <v>1757</v>
      </c>
    </row>
    <row r="713">
      <c r="A713" s="4" t="s">
        <v>5245</v>
      </c>
      <c r="B713" s="13" t="s">
        <v>48</v>
      </c>
      <c r="C713" s="4">
        <v>1.0</v>
      </c>
      <c r="D713" s="3"/>
      <c r="E713" s="3"/>
      <c r="F713" s="4">
        <v>9.0</v>
      </c>
      <c r="G713" s="3"/>
      <c r="H713" s="3"/>
      <c r="I713" s="3"/>
      <c r="J713" s="4" t="s">
        <v>1757</v>
      </c>
    </row>
    <row r="714">
      <c r="A714" s="4" t="s">
        <v>5246</v>
      </c>
      <c r="B714" s="13" t="s">
        <v>48</v>
      </c>
      <c r="C714" s="4">
        <v>1.0</v>
      </c>
      <c r="D714" s="3"/>
      <c r="E714" s="3"/>
      <c r="F714" s="4">
        <v>9.0</v>
      </c>
      <c r="G714" s="3"/>
      <c r="H714" s="3"/>
      <c r="I714" s="3"/>
      <c r="J714" s="4" t="s">
        <v>1757</v>
      </c>
    </row>
    <row r="715">
      <c r="A715" s="4" t="s">
        <v>5247</v>
      </c>
      <c r="B715" s="13" t="s">
        <v>48</v>
      </c>
      <c r="C715" s="4">
        <v>1.0</v>
      </c>
      <c r="D715" s="3"/>
      <c r="E715" s="3"/>
      <c r="F715" s="4">
        <v>9.0</v>
      </c>
      <c r="G715" s="3"/>
      <c r="H715" s="3"/>
      <c r="I715" s="3"/>
      <c r="J715" s="4" t="s">
        <v>1757</v>
      </c>
    </row>
    <row r="716">
      <c r="A716" s="4" t="s">
        <v>5248</v>
      </c>
      <c r="B716" s="13" t="s">
        <v>48</v>
      </c>
      <c r="C716" s="4">
        <v>1.0</v>
      </c>
      <c r="D716" s="3"/>
      <c r="E716" s="3"/>
      <c r="F716" s="4">
        <v>9.0</v>
      </c>
      <c r="G716" s="3"/>
      <c r="H716" s="3"/>
      <c r="I716" s="3"/>
      <c r="J716" s="4" t="s">
        <v>1757</v>
      </c>
    </row>
    <row r="717">
      <c r="A717" s="4" t="s">
        <v>5249</v>
      </c>
      <c r="B717" s="13" t="s">
        <v>48</v>
      </c>
      <c r="C717" s="4">
        <v>1.0</v>
      </c>
      <c r="D717" s="3"/>
      <c r="E717" s="3"/>
      <c r="F717" s="4">
        <v>9.0</v>
      </c>
      <c r="G717" s="3"/>
      <c r="H717" s="3"/>
      <c r="I717" s="3"/>
      <c r="J717" s="4" t="s">
        <v>1757</v>
      </c>
    </row>
    <row r="718">
      <c r="A718" s="4" t="s">
        <v>5250</v>
      </c>
      <c r="B718" s="13" t="s">
        <v>48</v>
      </c>
      <c r="C718" s="4">
        <v>1.0</v>
      </c>
      <c r="D718" s="3"/>
      <c r="E718" s="3"/>
      <c r="F718" s="4">
        <v>9.0</v>
      </c>
      <c r="G718" s="3"/>
      <c r="H718" s="3"/>
      <c r="I718" s="3"/>
      <c r="J718" s="4" t="s">
        <v>1757</v>
      </c>
    </row>
    <row r="719">
      <c r="A719" s="4" t="s">
        <v>5251</v>
      </c>
      <c r="B719" s="13" t="s">
        <v>48</v>
      </c>
      <c r="C719" s="4">
        <v>1.0</v>
      </c>
      <c r="D719" s="3"/>
      <c r="E719" s="3"/>
      <c r="F719" s="4">
        <v>9.0</v>
      </c>
      <c r="G719" s="3"/>
      <c r="H719" s="3"/>
      <c r="I719" s="3"/>
      <c r="J719" s="4" t="s">
        <v>1757</v>
      </c>
    </row>
    <row r="720">
      <c r="A720" s="4" t="s">
        <v>5252</v>
      </c>
      <c r="B720" s="13" t="s">
        <v>48</v>
      </c>
      <c r="C720" s="4">
        <v>1.0</v>
      </c>
      <c r="D720" s="3"/>
      <c r="E720" s="3"/>
      <c r="F720" s="4">
        <v>9.0</v>
      </c>
      <c r="G720" s="3"/>
      <c r="H720" s="3"/>
      <c r="I720" s="3"/>
      <c r="J720" s="4" t="s">
        <v>1757</v>
      </c>
    </row>
    <row r="721">
      <c r="A721" s="4" t="s">
        <v>5253</v>
      </c>
      <c r="B721" s="13" t="s">
        <v>48</v>
      </c>
      <c r="C721" s="4">
        <v>1.0</v>
      </c>
      <c r="D721" s="3"/>
      <c r="E721" s="3"/>
      <c r="F721" s="4">
        <v>9.0</v>
      </c>
      <c r="G721" s="3"/>
      <c r="H721" s="3"/>
      <c r="I721" s="3"/>
      <c r="J721" s="4" t="s">
        <v>1757</v>
      </c>
    </row>
    <row r="722">
      <c r="A722" s="4" t="s">
        <v>5254</v>
      </c>
      <c r="B722" s="13" t="s">
        <v>48</v>
      </c>
      <c r="C722" s="4">
        <v>1.0</v>
      </c>
      <c r="D722" s="3"/>
      <c r="E722" s="3"/>
      <c r="F722" s="4">
        <v>9.0</v>
      </c>
      <c r="G722" s="3"/>
      <c r="H722" s="3"/>
      <c r="I722" s="3"/>
      <c r="J722" s="4" t="s">
        <v>1757</v>
      </c>
    </row>
    <row r="723">
      <c r="A723" s="4" t="s">
        <v>5255</v>
      </c>
      <c r="B723" s="13" t="s">
        <v>48</v>
      </c>
      <c r="C723" s="4">
        <v>1.0</v>
      </c>
      <c r="D723" s="3"/>
      <c r="E723" s="3"/>
      <c r="F723" s="4">
        <v>9.0</v>
      </c>
      <c r="G723" s="3"/>
      <c r="H723" s="3"/>
      <c r="I723" s="3"/>
      <c r="J723" s="4" t="s">
        <v>1757</v>
      </c>
    </row>
    <row r="724">
      <c r="A724" s="4" t="s">
        <v>5256</v>
      </c>
      <c r="B724" s="13" t="s">
        <v>48</v>
      </c>
      <c r="C724" s="4">
        <v>1.0</v>
      </c>
      <c r="D724" s="3"/>
      <c r="E724" s="3"/>
      <c r="F724" s="4">
        <v>9.0</v>
      </c>
      <c r="G724" s="3"/>
      <c r="H724" s="3"/>
      <c r="I724" s="3"/>
      <c r="J724" s="4" t="s">
        <v>1757</v>
      </c>
    </row>
    <row r="725">
      <c r="A725" s="4" t="s">
        <v>5257</v>
      </c>
      <c r="B725" s="13" t="s">
        <v>48</v>
      </c>
      <c r="C725" s="4">
        <v>1.0</v>
      </c>
      <c r="D725" s="3"/>
      <c r="E725" s="3"/>
      <c r="F725" s="4">
        <v>9.0</v>
      </c>
      <c r="G725" s="3"/>
      <c r="H725" s="3"/>
      <c r="I725" s="3"/>
      <c r="J725" s="4" t="s">
        <v>1757</v>
      </c>
      <c r="K725" s="4" t="s">
        <v>1757</v>
      </c>
    </row>
    <row r="726">
      <c r="A726" s="4" t="s">
        <v>5258</v>
      </c>
      <c r="B726" s="13" t="s">
        <v>48</v>
      </c>
      <c r="C726" s="4">
        <v>1.0</v>
      </c>
      <c r="D726" s="3"/>
      <c r="E726" s="3"/>
      <c r="F726" s="4">
        <v>9.0</v>
      </c>
      <c r="G726" s="3"/>
      <c r="H726" s="3"/>
      <c r="I726" s="3"/>
      <c r="J726" s="4" t="s">
        <v>1757</v>
      </c>
      <c r="K726" s="4" t="s">
        <v>1757</v>
      </c>
    </row>
    <row r="727">
      <c r="A727" s="4" t="s">
        <v>5259</v>
      </c>
      <c r="B727" s="13" t="s">
        <v>48</v>
      </c>
      <c r="C727" s="4">
        <v>1.0</v>
      </c>
      <c r="D727" s="3"/>
      <c r="E727" s="3"/>
      <c r="F727" s="4">
        <v>9.0</v>
      </c>
      <c r="G727" s="3"/>
      <c r="H727" s="3"/>
      <c r="I727" s="3"/>
      <c r="J727" s="4" t="s">
        <v>1757</v>
      </c>
      <c r="K727" s="4" t="s">
        <v>1757</v>
      </c>
    </row>
    <row r="728">
      <c r="A728" s="4" t="s">
        <v>5260</v>
      </c>
      <c r="B728" s="13" t="s">
        <v>48</v>
      </c>
      <c r="C728" s="4">
        <v>2.0</v>
      </c>
      <c r="D728" s="3"/>
      <c r="E728" s="3"/>
      <c r="F728" s="4">
        <v>9.0</v>
      </c>
      <c r="G728" s="3"/>
      <c r="H728" s="4">
        <v>13.0</v>
      </c>
      <c r="I728" s="3"/>
      <c r="J728" s="4" t="s">
        <v>1757</v>
      </c>
      <c r="K728" s="4" t="s">
        <v>1757</v>
      </c>
    </row>
    <row r="729">
      <c r="A729" s="4" t="s">
        <v>5261</v>
      </c>
      <c r="B729" s="13" t="s">
        <v>48</v>
      </c>
      <c r="C729" s="4">
        <v>2.0</v>
      </c>
      <c r="D729" s="3"/>
      <c r="E729" s="3"/>
      <c r="F729" s="4">
        <v>9.0</v>
      </c>
      <c r="G729" s="3"/>
      <c r="H729" s="4">
        <v>13.0</v>
      </c>
      <c r="I729" s="3"/>
      <c r="J729" s="4" t="s">
        <v>1757</v>
      </c>
      <c r="K729" s="4" t="s">
        <v>1757</v>
      </c>
    </row>
    <row r="730">
      <c r="A730" s="4" t="s">
        <v>5262</v>
      </c>
      <c r="B730" s="13" t="s">
        <v>48</v>
      </c>
      <c r="C730" s="4">
        <v>2.0</v>
      </c>
      <c r="D730" s="3"/>
      <c r="E730" s="3"/>
      <c r="F730" s="4">
        <v>9.0</v>
      </c>
      <c r="G730" s="3"/>
      <c r="H730" s="4">
        <v>13.0</v>
      </c>
      <c r="I730" s="3"/>
      <c r="J730" s="4" t="s">
        <v>1757</v>
      </c>
      <c r="K730" s="4" t="s">
        <v>1757</v>
      </c>
    </row>
    <row r="731">
      <c r="A731" s="4" t="s">
        <v>5263</v>
      </c>
      <c r="B731" s="13" t="s">
        <v>48</v>
      </c>
      <c r="C731" s="4">
        <v>2.0</v>
      </c>
      <c r="D731" s="3"/>
      <c r="E731" s="3"/>
      <c r="F731" s="4">
        <v>9.0</v>
      </c>
      <c r="G731" s="3"/>
      <c r="H731" s="4">
        <v>13.0</v>
      </c>
      <c r="I731" s="3"/>
      <c r="J731" s="4" t="s">
        <v>1757</v>
      </c>
      <c r="K731" s="4" t="s">
        <v>1757</v>
      </c>
    </row>
    <row r="732">
      <c r="A732" s="4" t="s">
        <v>5264</v>
      </c>
      <c r="B732" s="13" t="s">
        <v>48</v>
      </c>
      <c r="C732" s="4">
        <v>2.0</v>
      </c>
      <c r="D732" s="3"/>
      <c r="E732" s="3"/>
      <c r="F732" s="4">
        <v>9.0</v>
      </c>
      <c r="G732" s="3"/>
      <c r="H732" s="4">
        <v>13.0</v>
      </c>
      <c r="I732" s="3"/>
      <c r="J732" s="4" t="s">
        <v>1757</v>
      </c>
      <c r="K732" s="4" t="s">
        <v>1757</v>
      </c>
    </row>
    <row r="733">
      <c r="A733" s="4" t="s">
        <v>5265</v>
      </c>
      <c r="B733" s="13" t="s">
        <v>48</v>
      </c>
      <c r="C733" s="4">
        <v>2.0</v>
      </c>
      <c r="D733" s="3"/>
      <c r="E733" s="3"/>
      <c r="F733" s="4">
        <v>9.0</v>
      </c>
      <c r="G733" s="3"/>
      <c r="H733" s="4">
        <v>13.0</v>
      </c>
      <c r="I733" s="3"/>
      <c r="J733" s="4" t="s">
        <v>1757</v>
      </c>
      <c r="K733" s="4" t="s">
        <v>1757</v>
      </c>
    </row>
    <row r="734">
      <c r="A734" s="4" t="s">
        <v>5266</v>
      </c>
      <c r="B734" s="13" t="s">
        <v>48</v>
      </c>
      <c r="C734" s="4">
        <v>2.0</v>
      </c>
      <c r="D734" s="3"/>
      <c r="E734" s="3"/>
      <c r="F734" s="4">
        <v>9.0</v>
      </c>
      <c r="G734" s="3"/>
      <c r="H734" s="4">
        <v>13.0</v>
      </c>
      <c r="I734" s="3"/>
      <c r="J734" s="4" t="s">
        <v>1757</v>
      </c>
      <c r="K734" s="4" t="s">
        <v>1757</v>
      </c>
    </row>
    <row r="735">
      <c r="A735" s="4" t="s">
        <v>5267</v>
      </c>
      <c r="B735" s="13" t="s">
        <v>48</v>
      </c>
      <c r="C735" s="4">
        <v>1.0</v>
      </c>
      <c r="D735" s="3"/>
      <c r="E735" s="3"/>
      <c r="F735" s="4">
        <v>9.0</v>
      </c>
      <c r="G735" s="3"/>
      <c r="H735" s="3"/>
      <c r="I735" s="3"/>
      <c r="J735" s="4" t="s">
        <v>1757</v>
      </c>
      <c r="K735" s="4" t="s">
        <v>1757</v>
      </c>
    </row>
    <row r="736">
      <c r="A736" s="4" t="s">
        <v>5268</v>
      </c>
      <c r="B736" s="13" t="s">
        <v>48</v>
      </c>
      <c r="C736" s="4">
        <v>1.0</v>
      </c>
      <c r="D736" s="3"/>
      <c r="E736" s="3"/>
      <c r="F736" s="4">
        <v>9.0</v>
      </c>
      <c r="G736" s="3"/>
      <c r="H736" s="3"/>
      <c r="I736" s="3"/>
      <c r="J736" s="4" t="s">
        <v>1757</v>
      </c>
      <c r="K736" s="4" t="s">
        <v>1757</v>
      </c>
    </row>
    <row r="737">
      <c r="A737" s="4" t="s">
        <v>5269</v>
      </c>
      <c r="B737" s="13" t="s">
        <v>48</v>
      </c>
      <c r="C737" s="4">
        <v>2.0</v>
      </c>
      <c r="D737" s="3"/>
      <c r="E737" s="3"/>
      <c r="F737" s="4">
        <v>9.0</v>
      </c>
      <c r="G737" s="3"/>
      <c r="H737" s="4">
        <v>13.0</v>
      </c>
      <c r="I737" s="3"/>
      <c r="J737" s="4" t="s">
        <v>1757</v>
      </c>
      <c r="K737" s="4" t="s">
        <v>1757</v>
      </c>
    </row>
    <row r="738">
      <c r="A738" s="4" t="s">
        <v>5270</v>
      </c>
      <c r="B738" s="13" t="s">
        <v>48</v>
      </c>
      <c r="C738" s="4">
        <v>2.0</v>
      </c>
      <c r="D738" s="3"/>
      <c r="E738" s="3"/>
      <c r="F738" s="4">
        <v>9.0</v>
      </c>
      <c r="G738" s="3"/>
      <c r="H738" s="4">
        <v>13.0</v>
      </c>
      <c r="I738" s="3"/>
      <c r="J738" s="4" t="s">
        <v>1757</v>
      </c>
      <c r="K738" s="4" t="s">
        <v>1757</v>
      </c>
    </row>
    <row r="739">
      <c r="A739" s="4" t="s">
        <v>5271</v>
      </c>
      <c r="B739" s="13" t="s">
        <v>48</v>
      </c>
      <c r="C739" s="4">
        <v>1.0</v>
      </c>
      <c r="D739" s="3"/>
      <c r="E739" s="3"/>
      <c r="F739" s="4">
        <v>9.0</v>
      </c>
      <c r="G739" s="3"/>
      <c r="H739" s="3"/>
      <c r="I739" s="3"/>
      <c r="J739" s="4" t="s">
        <v>1757</v>
      </c>
      <c r="K739" s="4" t="s">
        <v>1757</v>
      </c>
    </row>
    <row r="740">
      <c r="A740" s="4" t="s">
        <v>5272</v>
      </c>
      <c r="B740" s="13" t="s">
        <v>48</v>
      </c>
      <c r="C740" s="4">
        <v>1.0</v>
      </c>
      <c r="D740" s="3"/>
      <c r="E740" s="3"/>
      <c r="F740" s="4">
        <v>9.0</v>
      </c>
      <c r="G740" s="3"/>
      <c r="H740" s="3"/>
      <c r="I740" s="3"/>
      <c r="J740" s="4" t="s">
        <v>1757</v>
      </c>
      <c r="K740" s="4" t="s">
        <v>1757</v>
      </c>
    </row>
    <row r="741">
      <c r="A741" s="4" t="s">
        <v>5273</v>
      </c>
      <c r="B741" s="13" t="s">
        <v>48</v>
      </c>
      <c r="C741" s="4">
        <v>1.0</v>
      </c>
      <c r="D741" s="3"/>
      <c r="E741" s="3"/>
      <c r="F741" s="4">
        <v>9.0</v>
      </c>
      <c r="G741" s="3"/>
      <c r="H741" s="3"/>
      <c r="I741" s="3"/>
      <c r="J741" s="4" t="s">
        <v>1757</v>
      </c>
      <c r="K741" s="4" t="s">
        <v>1757</v>
      </c>
    </row>
    <row r="742">
      <c r="A742" s="4" t="s">
        <v>5274</v>
      </c>
      <c r="B742" s="13" t="s">
        <v>48</v>
      </c>
      <c r="C742" s="4">
        <v>1.0</v>
      </c>
      <c r="D742" s="3"/>
      <c r="E742" s="3"/>
      <c r="F742" s="4">
        <v>9.0</v>
      </c>
      <c r="G742" s="3"/>
      <c r="H742" s="3"/>
      <c r="I742" s="3"/>
      <c r="J742" s="4" t="s">
        <v>1757</v>
      </c>
      <c r="K742" s="4" t="s">
        <v>1757</v>
      </c>
    </row>
    <row r="743">
      <c r="A743" s="4" t="s">
        <v>5275</v>
      </c>
      <c r="B743" s="13" t="s">
        <v>48</v>
      </c>
      <c r="C743" s="4">
        <v>1.0</v>
      </c>
      <c r="D743" s="3"/>
      <c r="E743" s="3"/>
      <c r="F743" s="4">
        <v>9.0</v>
      </c>
      <c r="G743" s="3"/>
      <c r="H743" s="3"/>
      <c r="I743" s="3"/>
      <c r="J743" s="4" t="s">
        <v>1757</v>
      </c>
      <c r="K743" s="4" t="s">
        <v>1757</v>
      </c>
    </row>
    <row r="744">
      <c r="A744" s="4" t="s">
        <v>5276</v>
      </c>
      <c r="B744" s="13" t="s">
        <v>48</v>
      </c>
      <c r="C744" s="4">
        <v>2.0</v>
      </c>
      <c r="D744" s="3"/>
      <c r="E744" s="3"/>
      <c r="F744" s="4">
        <v>9.0</v>
      </c>
      <c r="G744" s="3"/>
      <c r="H744" s="4">
        <v>13.0</v>
      </c>
      <c r="I744" s="3"/>
      <c r="J744" s="4" t="s">
        <v>1757</v>
      </c>
      <c r="K744" s="4" t="s">
        <v>1757</v>
      </c>
    </row>
    <row r="745">
      <c r="A745" s="4" t="s">
        <v>5277</v>
      </c>
      <c r="B745" s="13" t="s">
        <v>48</v>
      </c>
      <c r="C745" s="4">
        <v>2.0</v>
      </c>
      <c r="D745" s="3"/>
      <c r="E745" s="3"/>
      <c r="F745" s="4">
        <v>9.0</v>
      </c>
      <c r="G745" s="3"/>
      <c r="H745" s="4">
        <v>13.0</v>
      </c>
      <c r="I745" s="3"/>
      <c r="J745" s="4" t="s">
        <v>1757</v>
      </c>
      <c r="K745" s="4" t="s">
        <v>1757</v>
      </c>
    </row>
    <row r="746">
      <c r="A746" s="4" t="s">
        <v>5278</v>
      </c>
      <c r="B746" s="13" t="s">
        <v>48</v>
      </c>
      <c r="C746" s="4">
        <v>2.0</v>
      </c>
      <c r="D746" s="3"/>
      <c r="E746" s="3"/>
      <c r="F746" s="4">
        <v>9.0</v>
      </c>
      <c r="G746" s="3"/>
      <c r="H746" s="4">
        <v>13.0</v>
      </c>
      <c r="I746" s="3"/>
      <c r="J746" s="4" t="s">
        <v>1757</v>
      </c>
      <c r="K746" s="4" t="s">
        <v>1757</v>
      </c>
    </row>
    <row r="747">
      <c r="A747" s="4" t="s">
        <v>5279</v>
      </c>
      <c r="B747" s="13" t="s">
        <v>48</v>
      </c>
      <c r="C747" s="4">
        <v>2.0</v>
      </c>
      <c r="D747" s="3"/>
      <c r="E747" s="3"/>
      <c r="F747" s="4">
        <v>9.0</v>
      </c>
      <c r="G747" s="3"/>
      <c r="H747" s="4">
        <v>13.0</v>
      </c>
      <c r="I747" s="3"/>
      <c r="J747" s="4" t="s">
        <v>1757</v>
      </c>
      <c r="K747" s="4" t="s">
        <v>1757</v>
      </c>
    </row>
    <row r="748">
      <c r="A748" s="4" t="s">
        <v>5280</v>
      </c>
      <c r="B748" s="13" t="s">
        <v>48</v>
      </c>
      <c r="C748" s="4">
        <v>2.0</v>
      </c>
      <c r="D748" s="3"/>
      <c r="E748" s="3"/>
      <c r="F748" s="4">
        <v>9.0</v>
      </c>
      <c r="G748" s="3"/>
      <c r="H748" s="4">
        <v>13.0</v>
      </c>
      <c r="I748" s="3"/>
      <c r="J748" s="4" t="s">
        <v>1757</v>
      </c>
    </row>
    <row r="749">
      <c r="A749" s="4" t="s">
        <v>5281</v>
      </c>
      <c r="B749" s="13" t="s">
        <v>48</v>
      </c>
      <c r="C749" s="4">
        <v>2.0</v>
      </c>
      <c r="D749" s="3"/>
      <c r="E749" s="3"/>
      <c r="F749" s="4">
        <v>9.0</v>
      </c>
      <c r="G749" s="3"/>
      <c r="H749" s="4">
        <v>13.0</v>
      </c>
      <c r="I749" s="3"/>
      <c r="J749" s="4" t="s">
        <v>1757</v>
      </c>
    </row>
    <row r="750">
      <c r="A750" s="4" t="s">
        <v>5282</v>
      </c>
      <c r="B750" s="13" t="s">
        <v>48</v>
      </c>
      <c r="C750" s="4">
        <v>2.0</v>
      </c>
      <c r="D750" s="3"/>
      <c r="E750" s="3"/>
      <c r="F750" s="4">
        <v>9.0</v>
      </c>
      <c r="G750" s="3"/>
      <c r="H750" s="4">
        <v>13.0</v>
      </c>
      <c r="I750" s="3"/>
      <c r="J750" s="4" t="s">
        <v>1757</v>
      </c>
    </row>
    <row r="751">
      <c r="A751" s="4" t="s">
        <v>5283</v>
      </c>
      <c r="B751" s="13" t="s">
        <v>48</v>
      </c>
      <c r="C751" s="4">
        <v>2.0</v>
      </c>
      <c r="D751" s="3"/>
      <c r="E751" s="3"/>
      <c r="F751" s="4">
        <v>9.0</v>
      </c>
      <c r="G751" s="3"/>
      <c r="H751" s="4">
        <v>13.0</v>
      </c>
      <c r="I751" s="3"/>
      <c r="J751" s="4" t="s">
        <v>1757</v>
      </c>
    </row>
    <row r="752">
      <c r="A752" s="4" t="s">
        <v>5284</v>
      </c>
      <c r="B752" s="13" t="s">
        <v>48</v>
      </c>
      <c r="C752" s="4">
        <v>3.0</v>
      </c>
      <c r="D752" s="3"/>
      <c r="E752" s="4">
        <v>2.0</v>
      </c>
      <c r="F752" s="4">
        <v>9.0</v>
      </c>
      <c r="G752" s="3"/>
      <c r="H752" s="4">
        <v>13.0</v>
      </c>
      <c r="I752" s="3"/>
      <c r="J752" s="4" t="s">
        <v>1757</v>
      </c>
    </row>
    <row r="753">
      <c r="A753" s="4" t="s">
        <v>5285</v>
      </c>
      <c r="B753" s="13" t="s">
        <v>48</v>
      </c>
      <c r="C753" s="4">
        <v>2.0</v>
      </c>
      <c r="D753" s="3"/>
      <c r="E753" s="3"/>
      <c r="F753" s="4">
        <v>9.0</v>
      </c>
      <c r="G753" s="3"/>
      <c r="H753" s="4">
        <v>13.0</v>
      </c>
      <c r="I753" s="3"/>
      <c r="J753" s="4" t="s">
        <v>1757</v>
      </c>
    </row>
    <row r="754">
      <c r="A754" s="4" t="s">
        <v>5286</v>
      </c>
      <c r="B754" s="13" t="s">
        <v>48</v>
      </c>
      <c r="C754" s="4">
        <v>2.0</v>
      </c>
      <c r="D754" s="3"/>
      <c r="E754" s="3"/>
      <c r="F754" s="4">
        <v>9.0</v>
      </c>
      <c r="G754" s="3"/>
      <c r="H754" s="4">
        <v>13.0</v>
      </c>
      <c r="I754" s="3"/>
      <c r="J754" s="4" t="s">
        <v>1757</v>
      </c>
    </row>
    <row r="755">
      <c r="A755" s="4" t="s">
        <v>5287</v>
      </c>
      <c r="B755" s="13" t="s">
        <v>48</v>
      </c>
      <c r="C755" s="4">
        <v>2.0</v>
      </c>
      <c r="D755" s="3"/>
      <c r="E755" s="3"/>
      <c r="F755" s="4">
        <v>9.0</v>
      </c>
      <c r="G755" s="3"/>
      <c r="H755" s="4">
        <v>13.0</v>
      </c>
      <c r="I755" s="3"/>
      <c r="J755" s="4" t="s">
        <v>1757</v>
      </c>
    </row>
    <row r="756">
      <c r="A756" s="4" t="s">
        <v>5288</v>
      </c>
      <c r="B756" s="13" t="s">
        <v>48</v>
      </c>
      <c r="C756" s="4">
        <v>1.0</v>
      </c>
      <c r="D756" s="3"/>
      <c r="E756" s="3"/>
      <c r="F756" s="3"/>
      <c r="G756" s="3"/>
      <c r="H756" s="4">
        <v>13.0</v>
      </c>
      <c r="I756" s="3"/>
      <c r="J756" s="4" t="s">
        <v>1757</v>
      </c>
    </row>
    <row r="757">
      <c r="A757" s="4" t="s">
        <v>5289</v>
      </c>
      <c r="B757" s="13" t="s">
        <v>48</v>
      </c>
      <c r="C757" s="4">
        <v>2.0</v>
      </c>
      <c r="D757" s="3"/>
      <c r="E757" s="4">
        <v>2.0</v>
      </c>
      <c r="F757" s="3"/>
      <c r="G757" s="3"/>
      <c r="H757" s="4">
        <v>13.0</v>
      </c>
      <c r="I757" s="3"/>
      <c r="J757" s="4" t="s">
        <v>1757</v>
      </c>
    </row>
    <row r="758">
      <c r="A758" s="4" t="s">
        <v>5290</v>
      </c>
      <c r="B758" s="13" t="s">
        <v>48</v>
      </c>
      <c r="C758" s="4">
        <v>2.0</v>
      </c>
      <c r="D758" s="3"/>
      <c r="E758" s="4">
        <v>2.0</v>
      </c>
      <c r="F758" s="3"/>
      <c r="G758" s="3"/>
      <c r="H758" s="4">
        <v>13.0</v>
      </c>
      <c r="I758" s="3"/>
      <c r="J758" s="4" t="s">
        <v>1757</v>
      </c>
    </row>
    <row r="759">
      <c r="A759" s="4" t="s">
        <v>5291</v>
      </c>
      <c r="B759" s="13" t="s">
        <v>48</v>
      </c>
      <c r="C759" s="4">
        <v>2.0</v>
      </c>
      <c r="D759" s="3"/>
      <c r="E759" s="4">
        <v>2.0</v>
      </c>
      <c r="F759" s="3"/>
      <c r="G759" s="3"/>
      <c r="H759" s="4">
        <v>13.0</v>
      </c>
      <c r="I759" s="3"/>
      <c r="J759" s="4" t="s">
        <v>1757</v>
      </c>
    </row>
    <row r="760">
      <c r="A760" s="4" t="s">
        <v>5292</v>
      </c>
      <c r="B760" s="13" t="s">
        <v>48</v>
      </c>
      <c r="C760" s="4">
        <v>2.0</v>
      </c>
      <c r="D760" s="3"/>
      <c r="E760" s="4">
        <v>2.0</v>
      </c>
      <c r="F760" s="3"/>
      <c r="G760" s="3"/>
      <c r="H760" s="4">
        <v>13.0</v>
      </c>
      <c r="I760" s="3"/>
      <c r="J760" s="4" t="s">
        <v>1757</v>
      </c>
    </row>
    <row r="761">
      <c r="A761" s="4" t="s">
        <v>5293</v>
      </c>
      <c r="B761" s="13" t="s">
        <v>48</v>
      </c>
      <c r="C761" s="4">
        <v>2.0</v>
      </c>
      <c r="D761" s="3"/>
      <c r="E761" s="4">
        <v>2.0</v>
      </c>
      <c r="F761" s="3"/>
      <c r="G761" s="3"/>
      <c r="H761" s="4">
        <v>13.0</v>
      </c>
      <c r="I761" s="3"/>
      <c r="J761" s="4" t="s">
        <v>1757</v>
      </c>
    </row>
    <row r="762">
      <c r="A762" s="4" t="s">
        <v>5294</v>
      </c>
      <c r="B762" s="13" t="s">
        <v>48</v>
      </c>
      <c r="C762" s="4">
        <v>2.0</v>
      </c>
      <c r="D762" s="3"/>
      <c r="E762" s="4">
        <v>2.0</v>
      </c>
      <c r="F762" s="3"/>
      <c r="G762" s="3"/>
      <c r="H762" s="4">
        <v>13.0</v>
      </c>
      <c r="I762" s="3"/>
      <c r="J762" s="4" t="s">
        <v>1757</v>
      </c>
    </row>
    <row r="763">
      <c r="A763" s="4" t="s">
        <v>5295</v>
      </c>
      <c r="B763" s="13" t="s">
        <v>48</v>
      </c>
      <c r="C763" s="4">
        <v>1.0</v>
      </c>
      <c r="D763" s="3"/>
      <c r="E763" s="3"/>
      <c r="F763" s="3"/>
      <c r="G763" s="3"/>
      <c r="H763" s="4">
        <v>13.0</v>
      </c>
      <c r="I763" s="3"/>
      <c r="J763" s="4" t="s">
        <v>1757</v>
      </c>
    </row>
    <row r="764">
      <c r="A764" s="4" t="s">
        <v>5296</v>
      </c>
      <c r="B764" s="13" t="s">
        <v>48</v>
      </c>
      <c r="C764" s="4">
        <v>1.0</v>
      </c>
      <c r="D764" s="3"/>
      <c r="E764" s="3"/>
      <c r="F764" s="3"/>
      <c r="G764" s="3"/>
      <c r="H764" s="4">
        <v>13.0</v>
      </c>
      <c r="I764" s="3"/>
      <c r="J764" s="4" t="s">
        <v>1757</v>
      </c>
    </row>
    <row r="765">
      <c r="A765" s="4" t="s">
        <v>5297</v>
      </c>
      <c r="B765" s="13" t="s">
        <v>48</v>
      </c>
      <c r="C765" s="4">
        <v>1.0</v>
      </c>
      <c r="D765" s="3"/>
      <c r="E765" s="3"/>
      <c r="F765" s="3"/>
      <c r="G765" s="3"/>
      <c r="H765" s="4">
        <v>13.0</v>
      </c>
      <c r="I765" s="3"/>
      <c r="J765" s="4" t="s">
        <v>1757</v>
      </c>
    </row>
    <row r="766">
      <c r="A766" s="4" t="s">
        <v>5298</v>
      </c>
      <c r="B766" s="13" t="s">
        <v>48</v>
      </c>
      <c r="C766" s="4">
        <v>1.0</v>
      </c>
      <c r="D766" s="3"/>
      <c r="E766" s="3"/>
      <c r="F766" s="3"/>
      <c r="G766" s="3"/>
      <c r="H766" s="4">
        <v>13.0</v>
      </c>
      <c r="I766" s="3"/>
      <c r="J766" s="4" t="s">
        <v>1757</v>
      </c>
    </row>
    <row r="767">
      <c r="A767" s="4" t="s">
        <v>5299</v>
      </c>
      <c r="B767" s="13" t="s">
        <v>48</v>
      </c>
      <c r="C767" s="4">
        <v>1.0</v>
      </c>
      <c r="D767" s="3"/>
      <c r="E767" s="3"/>
      <c r="F767" s="3"/>
      <c r="G767" s="3"/>
      <c r="H767" s="4">
        <v>13.0</v>
      </c>
      <c r="I767" s="3"/>
      <c r="J767" s="4" t="s">
        <v>1757</v>
      </c>
    </row>
    <row r="768">
      <c r="A768" s="4" t="s">
        <v>5300</v>
      </c>
      <c r="B768" s="13" t="s">
        <v>48</v>
      </c>
      <c r="C768" s="4">
        <v>1.0</v>
      </c>
      <c r="D768" s="3"/>
      <c r="E768" s="3"/>
      <c r="F768" s="3"/>
      <c r="G768" s="3"/>
      <c r="H768" s="4">
        <v>13.0</v>
      </c>
      <c r="I768" s="3"/>
      <c r="J768" s="4" t="s">
        <v>1757</v>
      </c>
    </row>
    <row r="769">
      <c r="A769" s="4" t="s">
        <v>5301</v>
      </c>
      <c r="B769" s="13" t="s">
        <v>48</v>
      </c>
      <c r="C769" s="4">
        <v>1.0</v>
      </c>
      <c r="D769" s="3"/>
      <c r="E769" s="3"/>
      <c r="F769" s="3"/>
      <c r="G769" s="3"/>
      <c r="H769" s="4">
        <v>13.0</v>
      </c>
      <c r="I769" s="3"/>
      <c r="J769" s="4" t="s">
        <v>1757</v>
      </c>
    </row>
    <row r="770">
      <c r="A770" s="4" t="s">
        <v>5302</v>
      </c>
      <c r="B770" s="13" t="s">
        <v>48</v>
      </c>
      <c r="C770" s="4">
        <v>1.0</v>
      </c>
      <c r="D770" s="3"/>
      <c r="E770" s="3"/>
      <c r="F770" s="3"/>
      <c r="G770" s="3"/>
      <c r="H770" s="4">
        <v>13.0</v>
      </c>
      <c r="I770" s="3"/>
      <c r="J770" s="4" t="s">
        <v>1757</v>
      </c>
    </row>
    <row r="771">
      <c r="A771" s="4" t="s">
        <v>5303</v>
      </c>
      <c r="B771" s="13" t="s">
        <v>48</v>
      </c>
      <c r="C771" s="4">
        <v>1.0</v>
      </c>
      <c r="D771" s="3"/>
      <c r="E771" s="3"/>
      <c r="F771" s="3"/>
      <c r="G771" s="3"/>
      <c r="H771" s="4">
        <v>13.0</v>
      </c>
      <c r="I771" s="3"/>
      <c r="J771" s="4" t="s">
        <v>1757</v>
      </c>
    </row>
    <row r="772">
      <c r="A772" s="4" t="s">
        <v>5304</v>
      </c>
      <c r="B772" s="13" t="s">
        <v>48</v>
      </c>
      <c r="C772" s="4">
        <v>1.0</v>
      </c>
      <c r="D772" s="3"/>
      <c r="E772" s="3"/>
      <c r="F772" s="3"/>
      <c r="G772" s="3"/>
      <c r="H772" s="4">
        <v>13.0</v>
      </c>
      <c r="I772" s="3"/>
      <c r="J772" s="4" t="s">
        <v>1757</v>
      </c>
    </row>
    <row r="773">
      <c r="A773" s="4" t="s">
        <v>5305</v>
      </c>
      <c r="B773" s="13" t="s">
        <v>48</v>
      </c>
      <c r="C773" s="4">
        <v>1.0</v>
      </c>
      <c r="D773" s="3"/>
      <c r="E773" s="3"/>
      <c r="F773" s="3"/>
      <c r="G773" s="3"/>
      <c r="H773" s="4">
        <v>13.0</v>
      </c>
      <c r="I773" s="3"/>
      <c r="J773" s="4" t="s">
        <v>1757</v>
      </c>
    </row>
    <row r="774">
      <c r="A774" s="4" t="s">
        <v>5306</v>
      </c>
      <c r="B774" s="13" t="s">
        <v>48</v>
      </c>
      <c r="C774" s="4">
        <v>1.0</v>
      </c>
      <c r="D774" s="3"/>
      <c r="E774" s="3"/>
      <c r="F774" s="3"/>
      <c r="G774" s="3"/>
      <c r="H774" s="4">
        <v>13.0</v>
      </c>
      <c r="I774" s="3"/>
      <c r="J774" s="4" t="s">
        <v>1757</v>
      </c>
    </row>
    <row r="775">
      <c r="A775" s="4" t="s">
        <v>5307</v>
      </c>
      <c r="B775" s="13" t="s">
        <v>48</v>
      </c>
      <c r="C775" s="4">
        <v>1.0</v>
      </c>
      <c r="D775" s="3"/>
      <c r="E775" s="3"/>
      <c r="F775" s="3"/>
      <c r="G775" s="3"/>
      <c r="H775" s="4">
        <v>13.0</v>
      </c>
      <c r="I775" s="3"/>
      <c r="J775" s="4" t="s">
        <v>1757</v>
      </c>
    </row>
    <row r="776">
      <c r="A776" s="4" t="s">
        <v>5308</v>
      </c>
      <c r="B776" s="13" t="s">
        <v>48</v>
      </c>
      <c r="C776" s="4">
        <v>1.0</v>
      </c>
      <c r="D776" s="3"/>
      <c r="E776" s="3"/>
      <c r="F776" s="3"/>
      <c r="G776" s="3"/>
      <c r="H776" s="4">
        <v>13.0</v>
      </c>
      <c r="I776" s="3"/>
      <c r="J776" s="4" t="s">
        <v>1757</v>
      </c>
    </row>
    <row r="777">
      <c r="A777" s="4" t="s">
        <v>5309</v>
      </c>
      <c r="B777" s="13" t="s">
        <v>48</v>
      </c>
      <c r="C777" s="4">
        <v>1.0</v>
      </c>
      <c r="D777" s="3"/>
      <c r="E777" s="3"/>
      <c r="F777" s="3"/>
      <c r="G777" s="3"/>
      <c r="H777" s="4">
        <v>13.0</v>
      </c>
      <c r="I777" s="3"/>
      <c r="J777" s="4" t="s">
        <v>1757</v>
      </c>
    </row>
    <row r="778">
      <c r="A778" s="4" t="s">
        <v>5310</v>
      </c>
      <c r="B778" s="13" t="s">
        <v>48</v>
      </c>
      <c r="C778" s="4">
        <v>1.0</v>
      </c>
      <c r="D778" s="3"/>
      <c r="E778" s="3"/>
      <c r="F778" s="3"/>
      <c r="G778" s="3"/>
      <c r="H778" s="4">
        <v>13.0</v>
      </c>
      <c r="I778" s="3"/>
      <c r="J778" s="4" t="s">
        <v>1757</v>
      </c>
    </row>
    <row r="779">
      <c r="A779" s="4" t="s">
        <v>5311</v>
      </c>
      <c r="B779" s="13" t="s">
        <v>48</v>
      </c>
      <c r="C779" s="4">
        <v>1.0</v>
      </c>
      <c r="D779" s="3"/>
      <c r="E779" s="3"/>
      <c r="F779" s="3"/>
      <c r="G779" s="3"/>
      <c r="H779" s="4">
        <v>13.0</v>
      </c>
      <c r="I779" s="3"/>
      <c r="J779" s="4" t="s">
        <v>1757</v>
      </c>
    </row>
    <row r="780">
      <c r="A780" s="4" t="s">
        <v>5312</v>
      </c>
      <c r="B780" s="13" t="s">
        <v>48</v>
      </c>
      <c r="C780" s="4">
        <v>1.0</v>
      </c>
      <c r="D780" s="3"/>
      <c r="E780" s="3"/>
      <c r="F780" s="3"/>
      <c r="G780" s="3"/>
      <c r="H780" s="4">
        <v>13.0</v>
      </c>
      <c r="I780" s="3"/>
      <c r="J780" s="4" t="s">
        <v>1757</v>
      </c>
    </row>
    <row r="781">
      <c r="A781" s="4" t="s">
        <v>5313</v>
      </c>
      <c r="B781" s="13" t="s">
        <v>48</v>
      </c>
      <c r="C781" s="4">
        <v>1.0</v>
      </c>
      <c r="D781" s="3"/>
      <c r="E781" s="3"/>
      <c r="F781" s="3"/>
      <c r="G781" s="3"/>
      <c r="H781" s="4">
        <v>13.0</v>
      </c>
      <c r="I781" s="3"/>
      <c r="J781" s="4" t="s">
        <v>1757</v>
      </c>
    </row>
    <row r="782">
      <c r="A782" s="4" t="s">
        <v>5314</v>
      </c>
      <c r="B782" s="13" t="s">
        <v>48</v>
      </c>
      <c r="C782" s="4">
        <v>1.0</v>
      </c>
      <c r="D782" s="3"/>
      <c r="E782" s="3"/>
      <c r="F782" s="3"/>
      <c r="G782" s="3"/>
      <c r="H782" s="4">
        <v>13.0</v>
      </c>
      <c r="I782" s="3"/>
      <c r="J782" s="4" t="s">
        <v>1757</v>
      </c>
    </row>
    <row r="783">
      <c r="A783" s="4" t="s">
        <v>5315</v>
      </c>
      <c r="B783" s="13" t="s">
        <v>48</v>
      </c>
      <c r="C783" s="4">
        <v>1.0</v>
      </c>
      <c r="D783" s="3"/>
      <c r="E783" s="3"/>
      <c r="F783" s="3"/>
      <c r="G783" s="3"/>
      <c r="H783" s="4">
        <v>13.0</v>
      </c>
      <c r="I783" s="3"/>
      <c r="J783" s="4" t="s">
        <v>1757</v>
      </c>
    </row>
    <row r="784">
      <c r="A784" s="4" t="s">
        <v>5316</v>
      </c>
      <c r="B784" s="13" t="s">
        <v>48</v>
      </c>
      <c r="C784" s="4">
        <v>1.0</v>
      </c>
      <c r="D784" s="3"/>
      <c r="E784" s="3"/>
      <c r="F784" s="3"/>
      <c r="G784" s="3"/>
      <c r="H784" s="4">
        <v>13.0</v>
      </c>
      <c r="I784" s="3"/>
      <c r="J784" s="4" t="s">
        <v>1757</v>
      </c>
    </row>
    <row r="785">
      <c r="A785" s="4" t="s">
        <v>5317</v>
      </c>
      <c r="B785" s="13" t="s">
        <v>48</v>
      </c>
      <c r="C785" s="4">
        <v>1.0</v>
      </c>
      <c r="D785" s="3"/>
      <c r="E785" s="3"/>
      <c r="F785" s="3"/>
      <c r="G785" s="3"/>
      <c r="H785" s="4">
        <v>13.0</v>
      </c>
      <c r="I785" s="3"/>
      <c r="J785" s="4" t="s">
        <v>1757</v>
      </c>
    </row>
    <row r="786">
      <c r="A786" s="4" t="s">
        <v>5318</v>
      </c>
      <c r="B786" s="13" t="s">
        <v>48</v>
      </c>
      <c r="C786" s="4">
        <v>1.0</v>
      </c>
      <c r="D786" s="3"/>
      <c r="E786" s="3"/>
      <c r="F786" s="3"/>
      <c r="G786" s="3"/>
      <c r="H786" s="4">
        <v>13.0</v>
      </c>
      <c r="I786" s="3"/>
      <c r="J786" s="4" t="s">
        <v>1757</v>
      </c>
    </row>
    <row r="787">
      <c r="A787" s="4" t="s">
        <v>5319</v>
      </c>
      <c r="B787" s="13" t="s">
        <v>48</v>
      </c>
      <c r="C787" s="4">
        <v>1.0</v>
      </c>
      <c r="D787" s="3"/>
      <c r="E787" s="3"/>
      <c r="F787" s="3"/>
      <c r="G787" s="3"/>
      <c r="H787" s="4">
        <v>13.0</v>
      </c>
      <c r="I787" s="3"/>
      <c r="J787" s="4" t="s">
        <v>1757</v>
      </c>
    </row>
    <row r="788">
      <c r="A788" s="4" t="s">
        <v>5320</v>
      </c>
      <c r="B788" s="13" t="s">
        <v>48</v>
      </c>
      <c r="C788" s="4">
        <v>1.0</v>
      </c>
      <c r="D788" s="3"/>
      <c r="E788" s="3"/>
      <c r="F788" s="3"/>
      <c r="G788" s="3"/>
      <c r="H788" s="4">
        <v>13.0</v>
      </c>
      <c r="I788" s="3"/>
    </row>
    <row r="789">
      <c r="A789" s="4" t="s">
        <v>5321</v>
      </c>
      <c r="B789" s="13" t="s">
        <v>48</v>
      </c>
      <c r="C789" s="4">
        <v>1.0</v>
      </c>
      <c r="D789" s="3"/>
      <c r="E789" s="3"/>
      <c r="F789" s="3"/>
      <c r="G789" s="3"/>
      <c r="H789" s="4">
        <v>13.0</v>
      </c>
      <c r="I789" s="3"/>
    </row>
    <row r="790">
      <c r="A790" s="4" t="s">
        <v>5322</v>
      </c>
      <c r="B790" s="13" t="s">
        <v>48</v>
      </c>
      <c r="C790" s="4">
        <v>1.0</v>
      </c>
      <c r="D790" s="3"/>
      <c r="E790" s="3"/>
      <c r="F790" s="3"/>
      <c r="G790" s="3"/>
      <c r="H790" s="4">
        <v>13.0</v>
      </c>
      <c r="I790" s="3"/>
    </row>
    <row r="791">
      <c r="A791" s="4" t="s">
        <v>5323</v>
      </c>
      <c r="B791" s="13" t="s">
        <v>48</v>
      </c>
      <c r="C791" s="4">
        <v>1.0</v>
      </c>
      <c r="D791" s="3"/>
      <c r="E791" s="3"/>
      <c r="F791" s="3"/>
      <c r="G791" s="3"/>
      <c r="H791" s="4">
        <v>13.0</v>
      </c>
      <c r="I791" s="3"/>
    </row>
    <row r="792">
      <c r="A792" s="4" t="s">
        <v>5324</v>
      </c>
      <c r="B792" s="13" t="s">
        <v>43</v>
      </c>
      <c r="D792" s="3"/>
      <c r="E792" s="3"/>
      <c r="F792" s="3"/>
      <c r="G792" s="3"/>
      <c r="H792" s="3"/>
      <c r="I792" s="3"/>
    </row>
    <row r="793">
      <c r="A793" s="4" t="s">
        <v>5325</v>
      </c>
      <c r="B793" s="13" t="s">
        <v>43</v>
      </c>
      <c r="D793" s="3"/>
      <c r="E793" s="3"/>
      <c r="F793" s="3"/>
      <c r="G793" s="3"/>
      <c r="H793" s="3"/>
      <c r="I793" s="3"/>
    </row>
    <row r="794">
      <c r="A794" s="4" t="s">
        <v>5326</v>
      </c>
      <c r="B794" s="13" t="s">
        <v>43</v>
      </c>
      <c r="D794" s="3"/>
      <c r="E794" s="3"/>
      <c r="F794" s="3"/>
      <c r="G794" s="3"/>
      <c r="H794" s="3"/>
      <c r="I794" s="3"/>
    </row>
    <row r="795">
      <c r="A795" s="4" t="s">
        <v>5327</v>
      </c>
      <c r="B795" s="13" t="s">
        <v>43</v>
      </c>
      <c r="D795" s="3"/>
      <c r="E795" s="3"/>
      <c r="F795" s="3"/>
      <c r="G795" s="3"/>
      <c r="H795" s="3"/>
      <c r="I795" s="3"/>
    </row>
    <row r="796">
      <c r="A796" s="4" t="s">
        <v>5328</v>
      </c>
      <c r="B796" s="13" t="s">
        <v>43</v>
      </c>
      <c r="D796" s="3"/>
      <c r="E796" s="3"/>
      <c r="F796" s="3"/>
      <c r="G796" s="3"/>
      <c r="H796" s="3"/>
      <c r="I796" s="3"/>
    </row>
    <row r="797">
      <c r="A797" s="4" t="s">
        <v>5329</v>
      </c>
      <c r="B797" s="13" t="s">
        <v>43</v>
      </c>
      <c r="D797" s="3"/>
      <c r="E797" s="3"/>
      <c r="F797" s="3"/>
      <c r="G797" s="3"/>
      <c r="H797" s="3"/>
      <c r="I797" s="3"/>
      <c r="J797" s="4" t="s">
        <v>1757</v>
      </c>
    </row>
    <row r="798">
      <c r="A798" s="4" t="s">
        <v>5330</v>
      </c>
      <c r="B798" s="13" t="s">
        <v>43</v>
      </c>
      <c r="D798" s="3"/>
      <c r="E798" s="3"/>
      <c r="F798" s="3"/>
      <c r="G798" s="3"/>
      <c r="H798" s="3"/>
      <c r="I798" s="3"/>
      <c r="J798" s="4" t="s">
        <v>1757</v>
      </c>
    </row>
    <row r="799">
      <c r="A799" s="4" t="s">
        <v>5331</v>
      </c>
      <c r="B799" s="13" t="s">
        <v>43</v>
      </c>
      <c r="D799" s="3"/>
      <c r="E799" s="3"/>
      <c r="F799" s="3"/>
      <c r="G799" s="3"/>
      <c r="H799" s="3"/>
      <c r="I799" s="3"/>
      <c r="J799" s="4" t="s">
        <v>1757</v>
      </c>
    </row>
    <row r="800">
      <c r="A800" s="4" t="s">
        <v>5332</v>
      </c>
      <c r="B800" s="13" t="s">
        <v>43</v>
      </c>
      <c r="D800" s="3"/>
      <c r="E800" s="3"/>
      <c r="F800" s="3"/>
      <c r="G800" s="3"/>
      <c r="H800" s="3"/>
      <c r="I800" s="3"/>
      <c r="J800" s="4" t="s">
        <v>1757</v>
      </c>
    </row>
    <row r="801">
      <c r="A801" s="4" t="s">
        <v>5333</v>
      </c>
      <c r="B801" s="13" t="s">
        <v>43</v>
      </c>
      <c r="D801" s="3"/>
      <c r="E801" s="3"/>
      <c r="F801" s="3"/>
      <c r="G801" s="3"/>
      <c r="H801" s="3"/>
      <c r="I801" s="3"/>
      <c r="J801" s="4" t="s">
        <v>1757</v>
      </c>
    </row>
    <row r="802">
      <c r="A802" s="4" t="s">
        <v>5334</v>
      </c>
      <c r="B802" s="13" t="s">
        <v>43</v>
      </c>
      <c r="D802" s="3"/>
      <c r="E802" s="3"/>
      <c r="F802" s="3"/>
      <c r="G802" s="3"/>
      <c r="H802" s="3"/>
      <c r="I802" s="3"/>
      <c r="J802" s="4" t="s">
        <v>1757</v>
      </c>
    </row>
    <row r="803">
      <c r="A803" s="4" t="s">
        <v>5335</v>
      </c>
      <c r="B803" s="13" t="s">
        <v>43</v>
      </c>
      <c r="D803" s="3"/>
      <c r="E803" s="3"/>
      <c r="F803" s="3"/>
      <c r="G803" s="3"/>
      <c r="H803" s="3"/>
      <c r="I803" s="3"/>
      <c r="J803" s="4" t="s">
        <v>1757</v>
      </c>
    </row>
    <row r="804">
      <c r="A804" s="4" t="s">
        <v>5336</v>
      </c>
      <c r="B804" s="13" t="s">
        <v>43</v>
      </c>
      <c r="D804" s="3"/>
      <c r="E804" s="3"/>
      <c r="F804" s="3"/>
      <c r="G804" s="3"/>
      <c r="H804" s="3"/>
      <c r="I804" s="3"/>
      <c r="J804" s="4" t="s">
        <v>1757</v>
      </c>
    </row>
    <row r="805">
      <c r="A805" s="4" t="s">
        <v>5337</v>
      </c>
      <c r="B805" s="13" t="s">
        <v>43</v>
      </c>
      <c r="D805" s="3"/>
      <c r="E805" s="3"/>
      <c r="F805" s="3"/>
      <c r="G805" s="3"/>
      <c r="H805" s="3"/>
      <c r="I805" s="3"/>
      <c r="J805" s="4" t="s">
        <v>1757</v>
      </c>
    </row>
    <row r="806">
      <c r="A806" s="4" t="s">
        <v>5338</v>
      </c>
      <c r="B806" s="13" t="s">
        <v>43</v>
      </c>
      <c r="D806" s="3"/>
      <c r="E806" s="3"/>
      <c r="F806" s="3"/>
      <c r="G806" s="3"/>
      <c r="H806" s="3"/>
      <c r="I806" s="3"/>
      <c r="J806" s="4" t="s">
        <v>1757</v>
      </c>
    </row>
    <row r="807">
      <c r="A807" s="4" t="s">
        <v>5339</v>
      </c>
      <c r="B807" s="13" t="s">
        <v>43</v>
      </c>
      <c r="D807" s="3"/>
      <c r="E807" s="3"/>
      <c r="F807" s="3"/>
      <c r="G807" s="3"/>
      <c r="H807" s="3"/>
      <c r="I807" s="3"/>
      <c r="J807" s="4" t="s">
        <v>1757</v>
      </c>
    </row>
    <row r="808">
      <c r="A808" s="4" t="s">
        <v>5340</v>
      </c>
      <c r="B808" s="13" t="s">
        <v>43</v>
      </c>
      <c r="D808" s="3"/>
      <c r="E808" s="3"/>
      <c r="F808" s="3"/>
      <c r="G808" s="3"/>
      <c r="H808" s="3"/>
      <c r="I808" s="3"/>
      <c r="J808" s="4" t="s">
        <v>1757</v>
      </c>
    </row>
    <row r="809">
      <c r="A809" s="4" t="s">
        <v>5341</v>
      </c>
      <c r="B809" s="13" t="s">
        <v>43</v>
      </c>
      <c r="D809" s="3"/>
      <c r="E809" s="3"/>
      <c r="F809" s="3"/>
      <c r="G809" s="3"/>
      <c r="H809" s="3"/>
      <c r="I809" s="3"/>
      <c r="J809" s="4" t="s">
        <v>1757</v>
      </c>
    </row>
    <row r="810">
      <c r="A810" s="4" t="s">
        <v>5342</v>
      </c>
      <c r="B810" s="13" t="s">
        <v>43</v>
      </c>
      <c r="D810" s="3"/>
      <c r="E810" s="3"/>
      <c r="F810" s="3"/>
      <c r="G810" s="3"/>
      <c r="H810" s="3"/>
      <c r="I810" s="3"/>
      <c r="J810" s="4" t="s">
        <v>1757</v>
      </c>
    </row>
    <row r="811">
      <c r="A811" s="4" t="s">
        <v>5343</v>
      </c>
      <c r="B811" s="13" t="s">
        <v>43</v>
      </c>
      <c r="D811" s="3"/>
      <c r="E811" s="3"/>
      <c r="F811" s="3"/>
      <c r="G811" s="3"/>
      <c r="H811" s="3"/>
      <c r="I811" s="3"/>
      <c r="J811" s="4" t="s">
        <v>1757</v>
      </c>
    </row>
    <row r="812">
      <c r="A812" s="4" t="s">
        <v>5344</v>
      </c>
      <c r="B812" s="13" t="s">
        <v>43</v>
      </c>
      <c r="D812" s="3"/>
      <c r="E812" s="3"/>
      <c r="F812" s="3"/>
      <c r="G812" s="3"/>
      <c r="H812" s="3"/>
      <c r="I812" s="3"/>
      <c r="J812" s="4" t="s">
        <v>1757</v>
      </c>
    </row>
    <row r="813">
      <c r="A813" s="4" t="s">
        <v>5345</v>
      </c>
      <c r="B813" s="13" t="s">
        <v>43</v>
      </c>
      <c r="D813" s="3"/>
      <c r="E813" s="3"/>
      <c r="F813" s="3"/>
      <c r="G813" s="3"/>
      <c r="H813" s="3"/>
      <c r="I813" s="3"/>
      <c r="J813" s="4" t="s">
        <v>1757</v>
      </c>
    </row>
    <row r="814">
      <c r="A814" s="4" t="s">
        <v>5346</v>
      </c>
      <c r="B814" s="13" t="s">
        <v>43</v>
      </c>
      <c r="D814" s="3"/>
      <c r="E814" s="3"/>
      <c r="F814" s="3"/>
      <c r="G814" s="3"/>
      <c r="H814" s="3"/>
      <c r="I814" s="3"/>
      <c r="J814" s="4" t="s">
        <v>1757</v>
      </c>
    </row>
    <row r="815">
      <c r="A815" s="4" t="s">
        <v>5347</v>
      </c>
      <c r="B815" s="13" t="s">
        <v>43</v>
      </c>
      <c r="D815" s="3"/>
      <c r="E815" s="3"/>
      <c r="F815" s="3"/>
      <c r="G815" s="3"/>
      <c r="H815" s="3"/>
      <c r="I815" s="3"/>
      <c r="J815" s="4" t="s">
        <v>1757</v>
      </c>
    </row>
    <row r="816">
      <c r="A816" s="4" t="s">
        <v>5348</v>
      </c>
      <c r="B816" s="13" t="s">
        <v>43</v>
      </c>
      <c r="D816" s="3"/>
      <c r="E816" s="3"/>
      <c r="F816" s="3"/>
      <c r="G816" s="3"/>
      <c r="H816" s="3"/>
      <c r="I816" s="3"/>
      <c r="J816" s="4" t="s">
        <v>1757</v>
      </c>
    </row>
    <row r="817">
      <c r="A817" s="4" t="s">
        <v>5349</v>
      </c>
      <c r="B817" s="13" t="s">
        <v>43</v>
      </c>
      <c r="D817" s="3"/>
      <c r="E817" s="3"/>
      <c r="F817" s="3"/>
      <c r="G817" s="3"/>
      <c r="H817" s="3"/>
      <c r="I817" s="3"/>
      <c r="J817" s="4" t="s">
        <v>1757</v>
      </c>
    </row>
    <row r="818">
      <c r="A818" s="4" t="s">
        <v>5350</v>
      </c>
      <c r="B818" s="13" t="s">
        <v>43</v>
      </c>
      <c r="D818" s="3"/>
      <c r="E818" s="3"/>
      <c r="F818" s="3"/>
      <c r="G818" s="3"/>
      <c r="H818" s="3"/>
      <c r="I818" s="3"/>
      <c r="J818" s="4" t="s">
        <v>1757</v>
      </c>
    </row>
    <row r="819">
      <c r="A819" s="4" t="s">
        <v>5351</v>
      </c>
      <c r="B819" s="13" t="s">
        <v>43</v>
      </c>
      <c r="D819" s="3"/>
      <c r="E819" s="3"/>
      <c r="F819" s="3"/>
      <c r="G819" s="3"/>
      <c r="H819" s="3"/>
      <c r="I819" s="3"/>
      <c r="J819" s="4" t="s">
        <v>1757</v>
      </c>
    </row>
    <row r="820">
      <c r="A820" s="4" t="s">
        <v>5352</v>
      </c>
      <c r="B820" s="13" t="s">
        <v>43</v>
      </c>
      <c r="D820" s="3"/>
      <c r="E820" s="3"/>
      <c r="F820" s="3"/>
      <c r="G820" s="3"/>
      <c r="H820" s="3"/>
      <c r="I820" s="3"/>
      <c r="J820" s="4" t="s">
        <v>1757</v>
      </c>
    </row>
    <row r="821">
      <c r="A821" s="4" t="s">
        <v>5353</v>
      </c>
      <c r="B821" s="13" t="s">
        <v>43</v>
      </c>
      <c r="D821" s="3"/>
      <c r="E821" s="3"/>
      <c r="F821" s="3"/>
      <c r="G821" s="3"/>
      <c r="H821" s="3"/>
      <c r="I821" s="3"/>
      <c r="J821" s="4" t="s">
        <v>1757</v>
      </c>
    </row>
    <row r="822">
      <c r="A822" s="4" t="s">
        <v>5354</v>
      </c>
      <c r="B822" s="13" t="s">
        <v>43</v>
      </c>
      <c r="D822" s="3"/>
      <c r="E822" s="3"/>
      <c r="F822" s="3"/>
      <c r="G822" s="3"/>
      <c r="H822" s="3"/>
      <c r="I822" s="3"/>
      <c r="J822" s="4" t="s">
        <v>1757</v>
      </c>
    </row>
    <row r="823">
      <c r="A823" s="4" t="s">
        <v>5355</v>
      </c>
      <c r="B823" s="13" t="s">
        <v>43</v>
      </c>
      <c r="D823" s="3"/>
      <c r="E823" s="3"/>
      <c r="F823" s="3"/>
      <c r="G823" s="3"/>
      <c r="H823" s="3"/>
      <c r="I823" s="3"/>
      <c r="J823" s="4" t="s">
        <v>1757</v>
      </c>
    </row>
    <row r="824">
      <c r="A824" s="4" t="s">
        <v>5356</v>
      </c>
      <c r="B824" s="13" t="s">
        <v>43</v>
      </c>
      <c r="D824" s="3"/>
      <c r="E824" s="3"/>
      <c r="F824" s="3"/>
      <c r="G824" s="3"/>
      <c r="H824" s="3"/>
      <c r="I824" s="3"/>
      <c r="J824" s="4" t="s">
        <v>1757</v>
      </c>
    </row>
    <row r="825">
      <c r="A825" s="4" t="s">
        <v>5357</v>
      </c>
      <c r="B825" s="13" t="s">
        <v>43</v>
      </c>
      <c r="D825" s="3"/>
      <c r="E825" s="3"/>
      <c r="F825" s="3"/>
      <c r="G825" s="3"/>
      <c r="H825" s="3"/>
      <c r="I825" s="3"/>
      <c r="J825" s="4" t="s">
        <v>1757</v>
      </c>
    </row>
    <row r="826">
      <c r="A826" s="4" t="s">
        <v>5358</v>
      </c>
      <c r="B826" s="13" t="s">
        <v>43</v>
      </c>
      <c r="D826" s="3"/>
      <c r="E826" s="3"/>
      <c r="F826" s="3"/>
      <c r="G826" s="3"/>
      <c r="H826" s="3"/>
      <c r="I826" s="3"/>
      <c r="J826" s="4" t="s">
        <v>1757</v>
      </c>
    </row>
    <row r="827">
      <c r="A827" s="4" t="s">
        <v>5359</v>
      </c>
      <c r="B827" s="13" t="s">
        <v>43</v>
      </c>
      <c r="D827" s="3"/>
      <c r="E827" s="3"/>
      <c r="F827" s="3"/>
      <c r="G827" s="3"/>
      <c r="H827" s="3"/>
      <c r="I827" s="3"/>
      <c r="J827" s="4" t="s">
        <v>1757</v>
      </c>
    </row>
    <row r="828">
      <c r="A828" s="4" t="s">
        <v>5360</v>
      </c>
      <c r="B828" s="13" t="s">
        <v>43</v>
      </c>
      <c r="D828" s="3"/>
      <c r="E828" s="3"/>
      <c r="F828" s="3"/>
      <c r="G828" s="3"/>
      <c r="H828" s="3"/>
      <c r="I828" s="3"/>
      <c r="J828" s="4" t="s">
        <v>1757</v>
      </c>
    </row>
    <row r="829">
      <c r="A829" s="4" t="s">
        <v>5361</v>
      </c>
      <c r="B829" s="13" t="s">
        <v>43</v>
      </c>
      <c r="D829" s="3"/>
      <c r="E829" s="3"/>
      <c r="F829" s="3"/>
      <c r="G829" s="3"/>
      <c r="H829" s="3"/>
      <c r="I829" s="3"/>
      <c r="J829" s="4" t="s">
        <v>1757</v>
      </c>
    </row>
    <row r="830">
      <c r="A830" s="4" t="s">
        <v>5362</v>
      </c>
      <c r="B830" s="13" t="s">
        <v>43</v>
      </c>
      <c r="D830" s="3"/>
      <c r="E830" s="3"/>
      <c r="F830" s="3"/>
      <c r="G830" s="3"/>
      <c r="H830" s="3"/>
      <c r="I830" s="3"/>
      <c r="J830" s="4" t="s">
        <v>1757</v>
      </c>
    </row>
    <row r="831">
      <c r="A831" s="4" t="s">
        <v>5363</v>
      </c>
      <c r="B831" s="13" t="s">
        <v>43</v>
      </c>
      <c r="D831" s="3"/>
      <c r="E831" s="3"/>
      <c r="F831" s="3"/>
      <c r="G831" s="3"/>
      <c r="H831" s="3"/>
      <c r="I831" s="3"/>
      <c r="J831" s="4" t="s">
        <v>1757</v>
      </c>
    </row>
    <row r="832">
      <c r="A832" s="4" t="s">
        <v>5364</v>
      </c>
      <c r="B832" s="13" t="s">
        <v>43</v>
      </c>
      <c r="D832" s="3"/>
      <c r="E832" s="3"/>
      <c r="F832" s="3"/>
      <c r="G832" s="3"/>
      <c r="H832" s="3"/>
      <c r="I832" s="3"/>
      <c r="J832" s="4" t="s">
        <v>1757</v>
      </c>
    </row>
    <row r="833">
      <c r="A833" s="4" t="s">
        <v>5365</v>
      </c>
      <c r="B833" s="13" t="s">
        <v>43</v>
      </c>
      <c r="D833" s="3"/>
      <c r="E833" s="3"/>
      <c r="F833" s="3"/>
      <c r="G833" s="3"/>
      <c r="H833" s="3"/>
      <c r="I833" s="3"/>
      <c r="J833" s="4" t="s">
        <v>1757</v>
      </c>
    </row>
    <row r="834">
      <c r="A834" s="4" t="s">
        <v>5366</v>
      </c>
      <c r="B834" s="13" t="s">
        <v>43</v>
      </c>
      <c r="D834" s="3"/>
      <c r="E834" s="3"/>
      <c r="F834" s="3"/>
      <c r="G834" s="3"/>
      <c r="H834" s="3"/>
      <c r="I834" s="3"/>
      <c r="J834" s="4" t="s">
        <v>1757</v>
      </c>
    </row>
    <row r="835">
      <c r="A835" s="4" t="s">
        <v>5367</v>
      </c>
      <c r="B835" s="13" t="s">
        <v>43</v>
      </c>
      <c r="D835" s="3"/>
      <c r="E835" s="3"/>
      <c r="F835" s="3"/>
      <c r="G835" s="3"/>
      <c r="H835" s="3"/>
      <c r="I835" s="3"/>
      <c r="J835" s="4" t="s">
        <v>1757</v>
      </c>
    </row>
    <row r="836">
      <c r="A836" s="4" t="s">
        <v>5368</v>
      </c>
      <c r="B836" s="13" t="s">
        <v>43</v>
      </c>
      <c r="D836" s="3"/>
      <c r="E836" s="3"/>
      <c r="F836" s="3"/>
      <c r="G836" s="3"/>
      <c r="H836" s="3"/>
      <c r="I836" s="3"/>
      <c r="J836" s="4" t="s">
        <v>1757</v>
      </c>
    </row>
    <row r="837">
      <c r="A837" s="4" t="s">
        <v>5369</v>
      </c>
      <c r="B837" s="13" t="s">
        <v>43</v>
      </c>
      <c r="D837" s="3"/>
      <c r="E837" s="3"/>
      <c r="F837" s="3"/>
      <c r="G837" s="3"/>
      <c r="H837" s="3"/>
      <c r="I837" s="3"/>
      <c r="J837" s="4" t="s">
        <v>1757</v>
      </c>
    </row>
    <row r="838">
      <c r="A838" s="4" t="s">
        <v>5370</v>
      </c>
      <c r="B838" s="13" t="s">
        <v>43</v>
      </c>
      <c r="D838" s="3"/>
      <c r="E838" s="3"/>
      <c r="F838" s="3"/>
      <c r="G838" s="3"/>
      <c r="H838" s="3"/>
      <c r="I838" s="3"/>
    </row>
    <row r="839">
      <c r="A839" s="4" t="s">
        <v>5371</v>
      </c>
      <c r="B839" s="13" t="s">
        <v>43</v>
      </c>
      <c r="D839" s="3"/>
      <c r="E839" s="3"/>
      <c r="F839" s="3"/>
      <c r="G839" s="3"/>
      <c r="H839" s="3"/>
      <c r="I839" s="3"/>
    </row>
    <row r="840">
      <c r="A840" s="4" t="s">
        <v>5372</v>
      </c>
      <c r="B840" s="13" t="s">
        <v>43</v>
      </c>
      <c r="D840" s="3"/>
      <c r="E840" s="3"/>
      <c r="F840" s="3"/>
      <c r="G840" s="3"/>
      <c r="H840" s="3"/>
      <c r="I840" s="3"/>
    </row>
    <row r="841">
      <c r="A841" s="4" t="s">
        <v>5373</v>
      </c>
      <c r="B841" s="13" t="s">
        <v>43</v>
      </c>
      <c r="D841" s="3"/>
      <c r="E841" s="3"/>
      <c r="F841" s="3"/>
      <c r="G841" s="3"/>
      <c r="H841" s="3"/>
      <c r="I841" s="3"/>
      <c r="J841" s="4" t="s">
        <v>1757</v>
      </c>
    </row>
    <row r="842">
      <c r="A842" s="4" t="s">
        <v>5374</v>
      </c>
      <c r="B842" s="13" t="s">
        <v>43</v>
      </c>
      <c r="D842" s="3"/>
      <c r="E842" s="3"/>
      <c r="F842" s="3"/>
      <c r="G842" s="3"/>
      <c r="H842" s="3"/>
      <c r="I842" s="3"/>
      <c r="J842" s="4" t="s">
        <v>1757</v>
      </c>
    </row>
    <row r="843">
      <c r="A843" s="4" t="s">
        <v>5375</v>
      </c>
      <c r="B843" s="13" t="s">
        <v>43</v>
      </c>
      <c r="D843" s="3"/>
      <c r="E843" s="3"/>
      <c r="F843" s="3"/>
      <c r="G843" s="3"/>
      <c r="H843" s="3"/>
      <c r="I843" s="3"/>
      <c r="J843" s="4" t="s">
        <v>1757</v>
      </c>
    </row>
    <row r="844">
      <c r="A844" s="4" t="s">
        <v>5376</v>
      </c>
      <c r="B844" s="13" t="s">
        <v>43</v>
      </c>
      <c r="D844" s="3"/>
      <c r="E844" s="3"/>
      <c r="F844" s="3"/>
      <c r="G844" s="3"/>
      <c r="H844" s="3"/>
      <c r="I844" s="3"/>
      <c r="J844" s="4" t="s">
        <v>1757</v>
      </c>
    </row>
    <row r="845">
      <c r="A845" s="4" t="s">
        <v>5377</v>
      </c>
      <c r="B845" s="13" t="s">
        <v>43</v>
      </c>
      <c r="D845" s="3"/>
      <c r="E845" s="3"/>
      <c r="F845" s="3"/>
      <c r="G845" s="3"/>
      <c r="H845" s="3"/>
      <c r="I845" s="3"/>
      <c r="J845" s="4" t="s">
        <v>1757</v>
      </c>
    </row>
    <row r="846">
      <c r="A846" s="4" t="s">
        <v>5378</v>
      </c>
      <c r="B846" s="13" t="s">
        <v>43</v>
      </c>
      <c r="D846" s="3"/>
      <c r="E846" s="3"/>
      <c r="F846" s="3"/>
      <c r="G846" s="3"/>
      <c r="H846" s="3"/>
      <c r="I846" s="3"/>
      <c r="J846" s="4" t="s">
        <v>1757</v>
      </c>
    </row>
    <row r="847">
      <c r="A847" s="4" t="s">
        <v>5379</v>
      </c>
      <c r="B847" s="13" t="s">
        <v>43</v>
      </c>
      <c r="D847" s="3"/>
      <c r="E847" s="3"/>
      <c r="F847" s="3"/>
      <c r="G847" s="3"/>
      <c r="H847" s="3"/>
      <c r="I847" s="3"/>
      <c r="J847" s="4" t="s">
        <v>1757</v>
      </c>
    </row>
    <row r="848">
      <c r="A848" s="4" t="s">
        <v>5380</v>
      </c>
      <c r="B848" s="13" t="s">
        <v>43</v>
      </c>
      <c r="D848" s="3"/>
      <c r="E848" s="3"/>
      <c r="F848" s="3"/>
      <c r="G848" s="3"/>
      <c r="H848" s="3"/>
      <c r="I848" s="3"/>
      <c r="J848" s="4" t="s">
        <v>1757</v>
      </c>
    </row>
    <row r="849">
      <c r="A849" s="4" t="s">
        <v>5381</v>
      </c>
      <c r="B849" s="13" t="s">
        <v>43</v>
      </c>
      <c r="D849" s="3"/>
      <c r="E849" s="3"/>
      <c r="F849" s="3"/>
      <c r="G849" s="3"/>
      <c r="H849" s="3"/>
      <c r="I849" s="3"/>
      <c r="J849" s="4" t="s">
        <v>1757</v>
      </c>
    </row>
    <row r="850">
      <c r="A850" s="4" t="s">
        <v>5382</v>
      </c>
      <c r="B850" s="13" t="s">
        <v>43</v>
      </c>
      <c r="D850" s="3"/>
      <c r="E850" s="3"/>
      <c r="F850" s="3"/>
      <c r="G850" s="3"/>
      <c r="H850" s="3"/>
      <c r="I850" s="3"/>
      <c r="J850" s="4" t="s">
        <v>1757</v>
      </c>
    </row>
    <row r="851">
      <c r="A851" s="4" t="s">
        <v>5383</v>
      </c>
      <c r="B851" s="13" t="s">
        <v>43</v>
      </c>
      <c r="D851" s="3"/>
      <c r="E851" s="3"/>
      <c r="F851" s="3"/>
      <c r="G851" s="3"/>
      <c r="H851" s="3"/>
      <c r="I851" s="3"/>
      <c r="J851" s="4" t="s">
        <v>1757</v>
      </c>
    </row>
    <row r="852">
      <c r="A852" s="4" t="s">
        <v>5384</v>
      </c>
      <c r="B852" s="13" t="s">
        <v>43</v>
      </c>
      <c r="D852" s="3"/>
      <c r="E852" s="3"/>
      <c r="F852" s="3"/>
      <c r="G852" s="3"/>
      <c r="H852" s="3"/>
      <c r="I852" s="3"/>
      <c r="J852" s="4" t="s">
        <v>1757</v>
      </c>
    </row>
    <row r="853">
      <c r="A853" s="4" t="s">
        <v>5385</v>
      </c>
      <c r="B853" s="13" t="s">
        <v>43</v>
      </c>
      <c r="D853" s="3"/>
      <c r="E853" s="3"/>
      <c r="F853" s="3"/>
      <c r="G853" s="3"/>
      <c r="H853" s="3"/>
      <c r="I853" s="3"/>
      <c r="J853" s="4" t="s">
        <v>1757</v>
      </c>
    </row>
    <row r="854">
      <c r="A854" s="4" t="s">
        <v>5386</v>
      </c>
      <c r="B854" s="13" t="s">
        <v>43</v>
      </c>
      <c r="D854" s="3"/>
      <c r="E854" s="3"/>
      <c r="F854" s="3"/>
      <c r="G854" s="3"/>
      <c r="H854" s="3"/>
      <c r="I854" s="3"/>
      <c r="J854" s="4" t="s">
        <v>1757</v>
      </c>
    </row>
    <row r="855">
      <c r="A855" s="4" t="s">
        <v>5387</v>
      </c>
      <c r="B855" s="13" t="s">
        <v>43</v>
      </c>
      <c r="D855" s="3"/>
      <c r="E855" s="3"/>
      <c r="F855" s="3"/>
      <c r="G855" s="3"/>
      <c r="H855" s="3"/>
      <c r="I855" s="3"/>
      <c r="J855" s="4" t="s">
        <v>1757</v>
      </c>
    </row>
    <row r="856">
      <c r="A856" s="4" t="s">
        <v>5388</v>
      </c>
      <c r="B856" s="13" t="s">
        <v>43</v>
      </c>
      <c r="D856" s="3"/>
      <c r="E856" s="3"/>
      <c r="F856" s="3"/>
      <c r="G856" s="3"/>
      <c r="H856" s="3"/>
      <c r="I856" s="3"/>
      <c r="J856" s="4" t="s">
        <v>1757</v>
      </c>
    </row>
    <row r="857">
      <c r="A857" s="4" t="s">
        <v>5389</v>
      </c>
      <c r="B857" s="13" t="s">
        <v>43</v>
      </c>
      <c r="D857" s="3"/>
      <c r="E857" s="3"/>
      <c r="F857" s="3"/>
      <c r="G857" s="3"/>
      <c r="H857" s="3"/>
      <c r="I857" s="3"/>
      <c r="J857" s="4" t="s">
        <v>1757</v>
      </c>
    </row>
    <row r="858">
      <c r="A858" s="4" t="s">
        <v>5390</v>
      </c>
      <c r="B858" s="13" t="s">
        <v>43</v>
      </c>
      <c r="D858" s="3"/>
      <c r="E858" s="3"/>
      <c r="F858" s="3"/>
      <c r="G858" s="3"/>
      <c r="H858" s="3"/>
      <c r="I858" s="3"/>
      <c r="J858" s="4" t="s">
        <v>1757</v>
      </c>
    </row>
    <row r="859">
      <c r="A859" s="4" t="s">
        <v>5391</v>
      </c>
      <c r="B859" s="13" t="s">
        <v>43</v>
      </c>
      <c r="D859" s="3"/>
      <c r="E859" s="3"/>
      <c r="F859" s="3"/>
      <c r="G859" s="3"/>
      <c r="H859" s="3"/>
      <c r="I859" s="3"/>
      <c r="J859" s="4" t="s">
        <v>1757</v>
      </c>
    </row>
    <row r="860">
      <c r="A860" s="4" t="s">
        <v>5392</v>
      </c>
      <c r="B860" s="13" t="s">
        <v>43</v>
      </c>
      <c r="D860" s="3"/>
      <c r="E860" s="3"/>
      <c r="F860" s="3"/>
      <c r="G860" s="3"/>
      <c r="H860" s="3"/>
      <c r="I860" s="3"/>
      <c r="J860" s="4" t="s">
        <v>1757</v>
      </c>
    </row>
    <row r="861">
      <c r="A861" s="4" t="s">
        <v>5393</v>
      </c>
      <c r="B861" s="13" t="s">
        <v>43</v>
      </c>
      <c r="D861" s="3"/>
      <c r="E861" s="3"/>
      <c r="F861" s="3"/>
      <c r="G861" s="3"/>
      <c r="H861" s="3"/>
      <c r="I861" s="3"/>
      <c r="J861" s="4" t="s">
        <v>1757</v>
      </c>
    </row>
    <row r="862">
      <c r="A862" s="4" t="s">
        <v>5394</v>
      </c>
      <c r="B862" s="13" t="s">
        <v>43</v>
      </c>
      <c r="D862" s="3"/>
      <c r="E862" s="3"/>
      <c r="F862" s="3"/>
      <c r="G862" s="3"/>
      <c r="H862" s="3"/>
      <c r="I862" s="3"/>
      <c r="J862" s="4" t="s">
        <v>1757</v>
      </c>
    </row>
    <row r="863">
      <c r="A863" s="4" t="s">
        <v>5395</v>
      </c>
      <c r="B863" s="13" t="s">
        <v>43</v>
      </c>
      <c r="D863" s="3"/>
      <c r="E863" s="3"/>
      <c r="F863" s="3"/>
      <c r="G863" s="3"/>
      <c r="H863" s="3"/>
      <c r="I863" s="3"/>
      <c r="J863" s="4" t="s">
        <v>1757</v>
      </c>
    </row>
    <row r="864">
      <c r="A864" s="4" t="s">
        <v>5396</v>
      </c>
      <c r="B864" s="13" t="s">
        <v>43</v>
      </c>
      <c r="D864" s="3"/>
      <c r="E864" s="3"/>
      <c r="F864" s="3"/>
      <c r="G864" s="3"/>
      <c r="H864" s="3"/>
      <c r="I864" s="3"/>
      <c r="J864" s="4" t="s">
        <v>1757</v>
      </c>
    </row>
    <row r="865">
      <c r="A865" s="4" t="s">
        <v>5397</v>
      </c>
      <c r="B865" s="13" t="s">
        <v>43</v>
      </c>
      <c r="D865" s="3"/>
      <c r="E865" s="3"/>
      <c r="F865" s="3"/>
      <c r="G865" s="3"/>
      <c r="H865" s="3"/>
      <c r="I865" s="3"/>
      <c r="J865" s="4" t="s">
        <v>1757</v>
      </c>
    </row>
    <row r="866">
      <c r="A866" s="4" t="s">
        <v>5398</v>
      </c>
      <c r="B866" s="13" t="s">
        <v>43</v>
      </c>
      <c r="D866" s="3"/>
      <c r="E866" s="3"/>
      <c r="F866" s="3"/>
      <c r="G866" s="3"/>
      <c r="H866" s="3"/>
      <c r="I866" s="3"/>
      <c r="J866" s="4" t="s">
        <v>1757</v>
      </c>
    </row>
    <row r="867">
      <c r="A867" s="4" t="s">
        <v>5399</v>
      </c>
      <c r="B867" s="13" t="s">
        <v>43</v>
      </c>
      <c r="D867" s="3"/>
      <c r="E867" s="3"/>
      <c r="F867" s="3"/>
      <c r="G867" s="3"/>
      <c r="H867" s="3"/>
      <c r="I867" s="3"/>
      <c r="J867" s="4" t="s">
        <v>1757</v>
      </c>
    </row>
    <row r="868">
      <c r="A868" s="4" t="s">
        <v>5400</v>
      </c>
      <c r="B868" s="13" t="s">
        <v>43</v>
      </c>
      <c r="D868" s="3"/>
      <c r="E868" s="3"/>
      <c r="F868" s="3"/>
      <c r="G868" s="3"/>
      <c r="H868" s="3"/>
      <c r="I868" s="3"/>
      <c r="J868" s="4" t="s">
        <v>1757</v>
      </c>
    </row>
    <row r="869">
      <c r="A869" s="4" t="s">
        <v>5401</v>
      </c>
      <c r="B869" s="13" t="s">
        <v>43</v>
      </c>
      <c r="D869" s="3"/>
      <c r="E869" s="3"/>
      <c r="F869" s="3"/>
      <c r="G869" s="3"/>
      <c r="H869" s="3"/>
      <c r="I869" s="3"/>
      <c r="J869" s="4" t="s">
        <v>1757</v>
      </c>
    </row>
    <row r="870">
      <c r="A870" s="4" t="s">
        <v>5402</v>
      </c>
      <c r="B870" s="13" t="s">
        <v>43</v>
      </c>
      <c r="D870" s="3"/>
      <c r="E870" s="3"/>
      <c r="F870" s="3"/>
      <c r="G870" s="3"/>
      <c r="H870" s="3"/>
      <c r="I870" s="3"/>
      <c r="J870" s="4" t="s">
        <v>1757</v>
      </c>
    </row>
    <row r="871">
      <c r="A871" s="4" t="s">
        <v>5403</v>
      </c>
      <c r="B871" s="13" t="s">
        <v>43</v>
      </c>
      <c r="D871" s="3"/>
      <c r="E871" s="3"/>
      <c r="F871" s="3"/>
      <c r="G871" s="3"/>
      <c r="H871" s="3"/>
      <c r="I871" s="3"/>
      <c r="J871" s="4" t="s">
        <v>1757</v>
      </c>
    </row>
    <row r="872">
      <c r="A872" s="4" t="s">
        <v>5404</v>
      </c>
      <c r="B872" s="13" t="s">
        <v>43</v>
      </c>
      <c r="D872" s="3"/>
      <c r="E872" s="3"/>
      <c r="F872" s="3"/>
      <c r="G872" s="3"/>
      <c r="H872" s="3"/>
      <c r="I872" s="3"/>
      <c r="J872" s="4" t="s">
        <v>1757</v>
      </c>
    </row>
    <row r="873">
      <c r="A873" s="4" t="s">
        <v>5405</v>
      </c>
      <c r="B873" s="13" t="s">
        <v>43</v>
      </c>
      <c r="D873" s="3"/>
      <c r="E873" s="3"/>
      <c r="F873" s="3"/>
      <c r="G873" s="3"/>
      <c r="H873" s="3"/>
      <c r="I873" s="3"/>
      <c r="J873" s="4" t="s">
        <v>1757</v>
      </c>
    </row>
    <row r="874">
      <c r="A874" s="4" t="s">
        <v>5406</v>
      </c>
      <c r="B874" s="13" t="s">
        <v>43</v>
      </c>
      <c r="D874" s="3"/>
      <c r="E874" s="3"/>
      <c r="F874" s="3"/>
      <c r="G874" s="3"/>
      <c r="H874" s="3"/>
      <c r="I874" s="3"/>
      <c r="J874" s="4" t="s">
        <v>1757</v>
      </c>
    </row>
    <row r="875">
      <c r="A875" s="4" t="s">
        <v>5407</v>
      </c>
      <c r="B875" s="13" t="s">
        <v>43</v>
      </c>
      <c r="D875" s="3"/>
      <c r="E875" s="3"/>
      <c r="F875" s="3"/>
      <c r="G875" s="3"/>
      <c r="H875" s="3"/>
      <c r="I875" s="3"/>
      <c r="J875" s="4" t="s">
        <v>1757</v>
      </c>
    </row>
    <row r="876">
      <c r="A876" s="4" t="s">
        <v>5408</v>
      </c>
      <c r="B876" s="13" t="s">
        <v>43</v>
      </c>
      <c r="D876" s="3"/>
      <c r="E876" s="3"/>
      <c r="F876" s="3"/>
      <c r="G876" s="3"/>
      <c r="H876" s="3"/>
      <c r="I876" s="3"/>
      <c r="J876" s="4" t="s">
        <v>1757</v>
      </c>
    </row>
    <row r="877">
      <c r="A877" s="4" t="s">
        <v>5409</v>
      </c>
      <c r="B877" s="13" t="s">
        <v>43</v>
      </c>
      <c r="D877" s="3"/>
      <c r="E877" s="3"/>
      <c r="F877" s="3"/>
      <c r="G877" s="3"/>
      <c r="H877" s="3"/>
      <c r="I877" s="3"/>
      <c r="J877" s="4" t="s">
        <v>1757</v>
      </c>
    </row>
    <row r="878">
      <c r="A878" s="4" t="s">
        <v>5410</v>
      </c>
      <c r="B878" s="13" t="s">
        <v>43</v>
      </c>
      <c r="D878" s="3"/>
      <c r="E878" s="3"/>
      <c r="F878" s="3"/>
      <c r="G878" s="3"/>
      <c r="H878" s="3"/>
      <c r="I878" s="3"/>
      <c r="J878" s="4" t="s">
        <v>1757</v>
      </c>
    </row>
    <row r="879">
      <c r="A879" s="4" t="s">
        <v>5411</v>
      </c>
      <c r="B879" s="13" t="s">
        <v>43</v>
      </c>
      <c r="D879" s="3"/>
      <c r="E879" s="3"/>
      <c r="F879" s="3"/>
      <c r="G879" s="3"/>
      <c r="H879" s="3"/>
      <c r="I879" s="3"/>
      <c r="J879" s="4" t="s">
        <v>1757</v>
      </c>
    </row>
    <row r="880">
      <c r="A880" s="4" t="s">
        <v>5412</v>
      </c>
      <c r="B880" s="13" t="s">
        <v>43</v>
      </c>
      <c r="D880" s="3"/>
      <c r="E880" s="3"/>
      <c r="F880" s="3"/>
      <c r="G880" s="3"/>
      <c r="H880" s="3"/>
      <c r="I880" s="3"/>
      <c r="J880" s="4" t="s">
        <v>1757</v>
      </c>
    </row>
    <row r="881">
      <c r="A881" s="4" t="s">
        <v>5413</v>
      </c>
      <c r="B881" s="13" t="s">
        <v>43</v>
      </c>
      <c r="D881" s="3"/>
      <c r="E881" s="3"/>
      <c r="F881" s="3"/>
      <c r="G881" s="3"/>
      <c r="H881" s="3"/>
      <c r="I881" s="3"/>
      <c r="J881" s="4" t="s">
        <v>1757</v>
      </c>
    </row>
    <row r="882">
      <c r="A882" s="4" t="s">
        <v>5414</v>
      </c>
      <c r="B882" s="13" t="s">
        <v>43</v>
      </c>
      <c r="D882" s="3"/>
      <c r="E882" s="3"/>
      <c r="F882" s="3"/>
      <c r="G882" s="3"/>
      <c r="H882" s="3"/>
      <c r="I882" s="3"/>
      <c r="J882" s="4" t="s">
        <v>1757</v>
      </c>
    </row>
    <row r="883">
      <c r="A883" s="4" t="s">
        <v>5415</v>
      </c>
      <c r="B883" s="13" t="s">
        <v>43</v>
      </c>
      <c r="D883" s="3"/>
      <c r="E883" s="3"/>
      <c r="F883" s="3"/>
      <c r="G883" s="3"/>
      <c r="H883" s="3"/>
      <c r="I883" s="3"/>
      <c r="J883" s="4" t="s">
        <v>1757</v>
      </c>
    </row>
    <row r="884">
      <c r="A884" s="4" t="s">
        <v>5416</v>
      </c>
      <c r="B884" s="13" t="s">
        <v>43</v>
      </c>
      <c r="D884" s="3"/>
      <c r="E884" s="3"/>
      <c r="F884" s="3"/>
      <c r="G884" s="3"/>
      <c r="H884" s="3"/>
      <c r="I884" s="3"/>
      <c r="J884" s="4" t="s">
        <v>1757</v>
      </c>
    </row>
    <row r="885">
      <c r="A885" s="4" t="s">
        <v>5417</v>
      </c>
      <c r="B885" s="13" t="s">
        <v>43</v>
      </c>
      <c r="D885" s="3"/>
      <c r="E885" s="3"/>
      <c r="F885" s="3"/>
      <c r="G885" s="3"/>
      <c r="H885" s="3"/>
      <c r="I885" s="3"/>
      <c r="J885" s="4" t="s">
        <v>1757</v>
      </c>
    </row>
    <row r="886">
      <c r="A886" s="4" t="s">
        <v>5418</v>
      </c>
      <c r="B886" s="13" t="s">
        <v>43</v>
      </c>
      <c r="D886" s="3"/>
      <c r="E886" s="3"/>
      <c r="F886" s="3"/>
      <c r="G886" s="3"/>
      <c r="H886" s="3"/>
      <c r="I886" s="3"/>
    </row>
    <row r="887">
      <c r="A887" s="4" t="s">
        <v>5419</v>
      </c>
      <c r="B887" s="13" t="s">
        <v>43</v>
      </c>
      <c r="D887" s="3"/>
      <c r="E887" s="3"/>
      <c r="F887" s="3"/>
      <c r="G887" s="3"/>
      <c r="H887" s="3"/>
      <c r="I887" s="3"/>
    </row>
    <row r="888">
      <c r="A888" s="4" t="s">
        <v>5420</v>
      </c>
      <c r="B888" s="13" t="s">
        <v>43</v>
      </c>
      <c r="D888" s="3"/>
      <c r="E888" s="3"/>
      <c r="F888" s="3"/>
      <c r="G888" s="3"/>
      <c r="H888" s="3"/>
      <c r="I888" s="3"/>
    </row>
    <row r="889">
      <c r="A889" s="4" t="s">
        <v>5421</v>
      </c>
      <c r="B889" s="13" t="s">
        <v>43</v>
      </c>
      <c r="D889" s="3"/>
      <c r="E889" s="3"/>
      <c r="F889" s="3"/>
      <c r="G889" s="3"/>
      <c r="H889" s="3"/>
      <c r="I889" s="3"/>
    </row>
    <row r="890">
      <c r="A890" s="4" t="s">
        <v>5422</v>
      </c>
      <c r="B890" s="13" t="s">
        <v>43</v>
      </c>
      <c r="D890" s="3"/>
      <c r="E890" s="3"/>
      <c r="F890" s="3"/>
      <c r="G890" s="3"/>
      <c r="H890" s="3"/>
      <c r="I890" s="3"/>
    </row>
    <row r="891">
      <c r="A891" s="4" t="s">
        <v>5423</v>
      </c>
      <c r="B891" s="13" t="s">
        <v>43</v>
      </c>
      <c r="D891" s="3"/>
      <c r="E891" s="3"/>
      <c r="F891" s="3"/>
      <c r="G891" s="3"/>
      <c r="H891" s="3"/>
      <c r="I891" s="3"/>
    </row>
    <row r="892">
      <c r="A892" s="4" t="s">
        <v>5424</v>
      </c>
      <c r="B892" s="13" t="s">
        <v>43</v>
      </c>
      <c r="D892" s="3"/>
      <c r="E892" s="3"/>
      <c r="F892" s="3"/>
      <c r="G892" s="3"/>
      <c r="H892" s="3"/>
      <c r="I892" s="3"/>
    </row>
    <row r="893">
      <c r="A893" s="4" t="s">
        <v>5425</v>
      </c>
      <c r="B893" s="13" t="s">
        <v>43</v>
      </c>
      <c r="D893" s="3"/>
      <c r="E893" s="3"/>
      <c r="F893" s="3"/>
      <c r="G893" s="3"/>
      <c r="H893" s="3"/>
      <c r="I893" s="3"/>
    </row>
    <row r="894">
      <c r="A894" s="4" t="s">
        <v>5426</v>
      </c>
      <c r="B894" s="13" t="s">
        <v>43</v>
      </c>
      <c r="D894" s="3"/>
      <c r="E894" s="3"/>
      <c r="F894" s="3"/>
      <c r="G894" s="3"/>
      <c r="H894" s="3"/>
      <c r="I894" s="3"/>
    </row>
    <row r="895">
      <c r="A895" s="4" t="s">
        <v>5427</v>
      </c>
      <c r="B895" s="13" t="s">
        <v>43</v>
      </c>
      <c r="D895" s="3"/>
      <c r="E895" s="3"/>
      <c r="F895" s="3"/>
      <c r="G895" s="3"/>
      <c r="H895" s="3"/>
      <c r="I895" s="3"/>
    </row>
    <row r="896">
      <c r="A896" s="4" t="s">
        <v>5428</v>
      </c>
      <c r="B896" s="13" t="s">
        <v>43</v>
      </c>
      <c r="D896" s="3"/>
      <c r="E896" s="3"/>
      <c r="F896" s="3"/>
      <c r="G896" s="3"/>
      <c r="H896" s="3"/>
      <c r="I896" s="3"/>
    </row>
    <row r="897">
      <c r="A897" s="4" t="s">
        <v>5429</v>
      </c>
      <c r="B897" s="13" t="s">
        <v>43</v>
      </c>
      <c r="D897" s="3"/>
      <c r="E897" s="3"/>
      <c r="F897" s="3"/>
      <c r="G897" s="3"/>
      <c r="H897" s="3"/>
      <c r="I897" s="3"/>
    </row>
    <row r="898">
      <c r="A898" s="4" t="s">
        <v>5430</v>
      </c>
      <c r="B898" s="13" t="s">
        <v>43</v>
      </c>
      <c r="D898" s="3"/>
      <c r="E898" s="3"/>
      <c r="F898" s="3"/>
      <c r="G898" s="3"/>
      <c r="H898" s="3"/>
      <c r="I898" s="3"/>
    </row>
    <row r="899">
      <c r="A899" s="4" t="s">
        <v>5431</v>
      </c>
      <c r="B899" s="13" t="s">
        <v>43</v>
      </c>
      <c r="D899" s="3"/>
      <c r="E899" s="3"/>
      <c r="F899" s="3"/>
      <c r="G899" s="3"/>
      <c r="H899" s="3"/>
      <c r="I899" s="3"/>
    </row>
    <row r="900">
      <c r="A900" s="4" t="s">
        <v>5432</v>
      </c>
      <c r="B900" s="13" t="s">
        <v>43</v>
      </c>
      <c r="D900" s="3"/>
      <c r="E900" s="3"/>
      <c r="F900" s="3"/>
      <c r="G900" s="3"/>
      <c r="H900" s="3"/>
      <c r="I900" s="3"/>
    </row>
    <row r="901">
      <c r="A901" s="4" t="s">
        <v>5433</v>
      </c>
      <c r="B901" s="13" t="s">
        <v>43</v>
      </c>
      <c r="D901" s="3"/>
      <c r="E901" s="3"/>
      <c r="F901" s="3"/>
      <c r="G901" s="3"/>
      <c r="H901" s="3"/>
      <c r="I901" s="3"/>
    </row>
    <row r="902">
      <c r="A902" s="4" t="s">
        <v>5434</v>
      </c>
      <c r="B902" s="13" t="s">
        <v>43</v>
      </c>
      <c r="D902" s="3"/>
      <c r="E902" s="3"/>
      <c r="F902" s="3"/>
      <c r="G902" s="3"/>
      <c r="H902" s="3"/>
      <c r="I902" s="3"/>
    </row>
    <row r="903">
      <c r="A903" s="4" t="s">
        <v>5435</v>
      </c>
      <c r="B903" s="13" t="s">
        <v>43</v>
      </c>
      <c r="D903" s="3"/>
      <c r="E903" s="3"/>
      <c r="F903" s="3"/>
      <c r="G903" s="3"/>
      <c r="H903" s="3"/>
      <c r="I903" s="3"/>
    </row>
    <row r="904">
      <c r="A904" s="4" t="s">
        <v>5436</v>
      </c>
      <c r="B904" s="13" t="s">
        <v>43</v>
      </c>
      <c r="D904" s="3"/>
      <c r="E904" s="3"/>
      <c r="F904" s="3"/>
      <c r="G904" s="3"/>
      <c r="H904" s="3"/>
      <c r="I904" s="3"/>
    </row>
    <row r="905">
      <c r="A905" s="4" t="s">
        <v>5437</v>
      </c>
      <c r="B905" s="13" t="s">
        <v>43</v>
      </c>
      <c r="D905" s="3"/>
      <c r="E905" s="3"/>
      <c r="F905" s="3"/>
      <c r="G905" s="3"/>
      <c r="H905" s="3"/>
      <c r="I905" s="3"/>
    </row>
    <row r="906">
      <c r="A906" s="4" t="s">
        <v>5438</v>
      </c>
      <c r="B906" s="13" t="s">
        <v>43</v>
      </c>
      <c r="D906" s="3"/>
      <c r="E906" s="3"/>
      <c r="F906" s="3"/>
      <c r="G906" s="3"/>
      <c r="H906" s="3"/>
      <c r="I906" s="3"/>
    </row>
    <row r="907">
      <c r="A907" s="4" t="s">
        <v>5439</v>
      </c>
      <c r="B907" s="13" t="s">
        <v>43</v>
      </c>
      <c r="D907" s="3"/>
      <c r="E907" s="3"/>
      <c r="F907" s="3"/>
      <c r="G907" s="3"/>
      <c r="H907" s="3"/>
      <c r="I907" s="3"/>
    </row>
    <row r="908">
      <c r="A908" s="4" t="s">
        <v>5440</v>
      </c>
      <c r="B908" s="13" t="s">
        <v>43</v>
      </c>
      <c r="D908" s="3"/>
      <c r="E908" s="3"/>
      <c r="F908" s="3"/>
      <c r="G908" s="3"/>
      <c r="H908" s="3"/>
      <c r="I908" s="3"/>
    </row>
    <row r="909">
      <c r="A909" s="4" t="s">
        <v>5441</v>
      </c>
      <c r="B909" s="13" t="s">
        <v>43</v>
      </c>
      <c r="D909" s="3"/>
      <c r="E909" s="3"/>
      <c r="F909" s="3"/>
      <c r="G909" s="3"/>
      <c r="H909" s="3"/>
      <c r="I909" s="3"/>
    </row>
    <row r="910">
      <c r="A910" s="4" t="s">
        <v>5442</v>
      </c>
      <c r="B910" s="13" t="s">
        <v>43</v>
      </c>
      <c r="D910" s="3"/>
      <c r="E910" s="3"/>
      <c r="F910" s="3"/>
      <c r="G910" s="3"/>
      <c r="H910" s="3"/>
      <c r="I910" s="3"/>
    </row>
    <row r="911">
      <c r="A911" s="4" t="s">
        <v>5443</v>
      </c>
      <c r="B911" s="13" t="s">
        <v>43</v>
      </c>
      <c r="D911" s="3"/>
      <c r="E911" s="3"/>
      <c r="F911" s="3"/>
      <c r="G911" s="3"/>
      <c r="H911" s="3"/>
      <c r="I911" s="3"/>
    </row>
    <row r="912">
      <c r="A912" s="4" t="s">
        <v>5444</v>
      </c>
      <c r="B912" s="13" t="s">
        <v>43</v>
      </c>
      <c r="D912" s="3"/>
      <c r="E912" s="3"/>
      <c r="F912" s="3"/>
      <c r="G912" s="3"/>
      <c r="H912" s="3"/>
      <c r="I912" s="3"/>
    </row>
    <row r="913">
      <c r="A913" s="4" t="s">
        <v>5445</v>
      </c>
      <c r="B913" s="13" t="s">
        <v>43</v>
      </c>
      <c r="D913" s="3"/>
      <c r="E913" s="3"/>
      <c r="F913" s="3"/>
      <c r="G913" s="3"/>
      <c r="H913" s="3"/>
      <c r="I913" s="3"/>
    </row>
    <row r="914">
      <c r="A914" s="4" t="s">
        <v>5446</v>
      </c>
      <c r="B914" s="13" t="s">
        <v>43</v>
      </c>
      <c r="D914" s="3"/>
      <c r="E914" s="3"/>
      <c r="F914" s="3"/>
      <c r="G914" s="3"/>
      <c r="H914" s="3"/>
      <c r="I914" s="3"/>
    </row>
    <row r="915">
      <c r="A915" s="4" t="s">
        <v>5447</v>
      </c>
      <c r="B915" s="13" t="s">
        <v>43</v>
      </c>
      <c r="D915" s="3"/>
      <c r="E915" s="3"/>
      <c r="F915" s="3"/>
      <c r="G915" s="3"/>
      <c r="H915" s="3"/>
      <c r="I915" s="3"/>
    </row>
    <row r="916">
      <c r="A916" s="4" t="s">
        <v>5448</v>
      </c>
      <c r="B916" s="13" t="s">
        <v>43</v>
      </c>
      <c r="D916" s="3"/>
      <c r="E916" s="3"/>
      <c r="F916" s="3"/>
      <c r="G916" s="3"/>
      <c r="H916" s="3"/>
      <c r="I916" s="3"/>
    </row>
    <row r="917">
      <c r="A917" s="4" t="s">
        <v>5449</v>
      </c>
      <c r="B917" s="13" t="s">
        <v>43</v>
      </c>
      <c r="D917" s="3"/>
      <c r="E917" s="3"/>
      <c r="F917" s="3"/>
      <c r="G917" s="3"/>
      <c r="H917" s="3"/>
      <c r="I917" s="3"/>
    </row>
    <row r="918">
      <c r="A918" s="4" t="s">
        <v>5450</v>
      </c>
      <c r="B918" s="13" t="s">
        <v>43</v>
      </c>
      <c r="D918" s="3"/>
      <c r="E918" s="3"/>
      <c r="F918" s="3"/>
      <c r="G918" s="3"/>
      <c r="H918" s="3"/>
      <c r="I918" s="3"/>
    </row>
    <row r="919">
      <c r="A919" s="4" t="s">
        <v>5451</v>
      </c>
      <c r="B919" s="13" t="s">
        <v>43</v>
      </c>
      <c r="D919" s="3"/>
      <c r="E919" s="3"/>
      <c r="F919" s="3"/>
      <c r="G919" s="3"/>
      <c r="H919" s="3"/>
      <c r="I919" s="3"/>
    </row>
    <row r="920">
      <c r="A920" s="4" t="s">
        <v>5452</v>
      </c>
      <c r="B920" s="13" t="s">
        <v>43</v>
      </c>
      <c r="D920" s="3"/>
      <c r="E920" s="3"/>
      <c r="F920" s="3"/>
      <c r="G920" s="3"/>
      <c r="H920" s="3"/>
      <c r="I920" s="3"/>
    </row>
    <row r="921">
      <c r="A921" s="4" t="s">
        <v>5453</v>
      </c>
      <c r="B921" s="13" t="s">
        <v>43</v>
      </c>
      <c r="D921" s="3"/>
      <c r="E921" s="3"/>
      <c r="F921" s="3"/>
      <c r="G921" s="3"/>
      <c r="H921" s="3"/>
      <c r="I921" s="3"/>
    </row>
    <row r="922">
      <c r="A922" s="4" t="s">
        <v>5454</v>
      </c>
      <c r="B922" s="13" t="s">
        <v>43</v>
      </c>
      <c r="D922" s="3"/>
      <c r="E922" s="3"/>
      <c r="F922" s="3"/>
      <c r="G922" s="3"/>
      <c r="H922" s="3"/>
      <c r="I922" s="3"/>
    </row>
    <row r="923">
      <c r="A923" s="4" t="s">
        <v>5455</v>
      </c>
      <c r="B923" s="13" t="s">
        <v>43</v>
      </c>
      <c r="D923" s="3"/>
      <c r="E923" s="3"/>
      <c r="F923" s="3"/>
      <c r="G923" s="3"/>
      <c r="H923" s="3"/>
      <c r="I923" s="3"/>
    </row>
    <row r="924">
      <c r="A924" s="4" t="s">
        <v>5456</v>
      </c>
      <c r="B924" s="13" t="s">
        <v>43</v>
      </c>
      <c r="D924" s="3"/>
      <c r="E924" s="3"/>
      <c r="F924" s="3"/>
      <c r="G924" s="3"/>
      <c r="H924" s="3"/>
      <c r="I924" s="3"/>
    </row>
    <row r="925">
      <c r="A925" s="4" t="s">
        <v>5457</v>
      </c>
      <c r="B925" s="13" t="s">
        <v>43</v>
      </c>
      <c r="D925" s="3"/>
      <c r="E925" s="3"/>
      <c r="F925" s="3"/>
      <c r="G925" s="3"/>
      <c r="H925" s="3"/>
      <c r="I925" s="3"/>
    </row>
    <row r="926">
      <c r="A926" s="4" t="s">
        <v>5458</v>
      </c>
      <c r="B926" s="13" t="s">
        <v>43</v>
      </c>
      <c r="D926" s="3"/>
      <c r="E926" s="3"/>
      <c r="F926" s="3"/>
      <c r="G926" s="3"/>
      <c r="H926" s="3"/>
      <c r="I926" s="3"/>
    </row>
    <row r="927">
      <c r="A927" s="4" t="s">
        <v>5459</v>
      </c>
      <c r="B927" s="13" t="s">
        <v>43</v>
      </c>
      <c r="D927" s="3"/>
      <c r="E927" s="3"/>
      <c r="F927" s="3"/>
      <c r="G927" s="3"/>
      <c r="H927" s="3"/>
      <c r="I927" s="3"/>
    </row>
    <row r="928">
      <c r="A928" s="4" t="s">
        <v>5460</v>
      </c>
      <c r="B928" s="13" t="s">
        <v>43</v>
      </c>
      <c r="D928" s="3"/>
      <c r="E928" s="3"/>
      <c r="F928" s="3"/>
      <c r="G928" s="3"/>
      <c r="H928" s="3"/>
      <c r="I928" s="3"/>
    </row>
    <row r="929">
      <c r="A929" s="4" t="s">
        <v>5461</v>
      </c>
      <c r="B929" s="13" t="s">
        <v>43</v>
      </c>
      <c r="D929" s="3"/>
      <c r="E929" s="3"/>
      <c r="F929" s="3"/>
      <c r="G929" s="3"/>
      <c r="H929" s="3"/>
      <c r="I929" s="3"/>
    </row>
    <row r="930">
      <c r="A930" s="4" t="s">
        <v>5462</v>
      </c>
      <c r="B930" s="13" t="s">
        <v>43</v>
      </c>
      <c r="D930" s="3"/>
      <c r="E930" s="3"/>
      <c r="F930" s="3"/>
      <c r="G930" s="3"/>
      <c r="H930" s="3"/>
      <c r="I930" s="3"/>
    </row>
    <row r="931">
      <c r="A931" s="4" t="s">
        <v>5463</v>
      </c>
      <c r="B931" s="13" t="s">
        <v>43</v>
      </c>
      <c r="D931" s="3"/>
      <c r="E931" s="3"/>
      <c r="F931" s="3"/>
      <c r="G931" s="3"/>
      <c r="H931" s="3"/>
      <c r="I931" s="3"/>
    </row>
    <row r="932">
      <c r="A932" s="4" t="s">
        <v>5464</v>
      </c>
      <c r="B932" s="13" t="s">
        <v>43</v>
      </c>
      <c r="D932" s="3"/>
      <c r="E932" s="3"/>
      <c r="F932" s="3"/>
      <c r="G932" s="3"/>
      <c r="H932" s="3"/>
      <c r="I932" s="3"/>
    </row>
    <row r="933">
      <c r="A933" s="4" t="s">
        <v>5465</v>
      </c>
      <c r="B933" s="13" t="s">
        <v>43</v>
      </c>
      <c r="D933" s="3"/>
      <c r="E933" s="3"/>
      <c r="F933" s="3"/>
      <c r="G933" s="3"/>
      <c r="H933" s="3"/>
      <c r="I933" s="3"/>
    </row>
    <row r="934">
      <c r="A934" s="4" t="s">
        <v>5466</v>
      </c>
      <c r="B934" s="13" t="s">
        <v>43</v>
      </c>
      <c r="D934" s="3"/>
      <c r="E934" s="3"/>
      <c r="F934" s="3"/>
      <c r="G934" s="3"/>
      <c r="H934" s="3"/>
      <c r="I934" s="3"/>
    </row>
    <row r="935">
      <c r="A935" s="4" t="s">
        <v>5467</v>
      </c>
      <c r="B935" s="13" t="s">
        <v>43</v>
      </c>
      <c r="D935" s="3"/>
      <c r="E935" s="3"/>
      <c r="F935" s="3"/>
      <c r="G935" s="3"/>
      <c r="H935" s="3"/>
      <c r="I935" s="3"/>
    </row>
    <row r="936">
      <c r="A936" s="4" t="s">
        <v>5468</v>
      </c>
      <c r="B936" s="13" t="s">
        <v>43</v>
      </c>
      <c r="D936" s="3"/>
      <c r="E936" s="3"/>
      <c r="F936" s="3"/>
      <c r="G936" s="3"/>
      <c r="H936" s="3"/>
      <c r="I936" s="3"/>
    </row>
    <row r="937">
      <c r="A937" s="4" t="s">
        <v>5469</v>
      </c>
      <c r="B937" s="13" t="s">
        <v>43</v>
      </c>
      <c r="D937" s="3"/>
      <c r="E937" s="3"/>
      <c r="F937" s="3"/>
      <c r="G937" s="3"/>
      <c r="H937" s="3"/>
      <c r="I937" s="3"/>
    </row>
    <row r="938">
      <c r="A938" s="4" t="s">
        <v>5470</v>
      </c>
      <c r="B938" s="13" t="s">
        <v>43</v>
      </c>
      <c r="D938" s="3"/>
      <c r="E938" s="3"/>
      <c r="F938" s="3"/>
      <c r="G938" s="3"/>
      <c r="H938" s="3"/>
      <c r="I938" s="3"/>
    </row>
    <row r="939">
      <c r="A939" s="4" t="s">
        <v>5471</v>
      </c>
      <c r="B939" s="13" t="s">
        <v>43</v>
      </c>
      <c r="D939" s="3"/>
      <c r="E939" s="3"/>
      <c r="F939" s="3"/>
      <c r="G939" s="3"/>
      <c r="H939" s="3"/>
      <c r="I939" s="3"/>
    </row>
    <row r="940">
      <c r="A940" s="4" t="s">
        <v>5472</v>
      </c>
      <c r="B940" s="13" t="s">
        <v>43</v>
      </c>
      <c r="D940" s="3"/>
      <c r="E940" s="3"/>
      <c r="F940" s="3"/>
      <c r="G940" s="3"/>
      <c r="H940" s="3"/>
      <c r="I940" s="3"/>
    </row>
    <row r="941">
      <c r="A941" s="4" t="s">
        <v>5473</v>
      </c>
      <c r="B941" s="13" t="s">
        <v>43</v>
      </c>
      <c r="D941" s="3"/>
      <c r="E941" s="3"/>
      <c r="F941" s="3"/>
      <c r="G941" s="3"/>
      <c r="H941" s="3"/>
      <c r="I941" s="3"/>
      <c r="J941" s="4" t="s">
        <v>1757</v>
      </c>
    </row>
    <row r="942">
      <c r="A942" s="4" t="s">
        <v>5474</v>
      </c>
      <c r="B942" s="13" t="s">
        <v>43</v>
      </c>
      <c r="D942" s="3"/>
      <c r="E942" s="3"/>
      <c r="F942" s="3"/>
      <c r="G942" s="3"/>
      <c r="H942" s="3"/>
      <c r="I942" s="3"/>
      <c r="J942" s="4" t="s">
        <v>1757</v>
      </c>
    </row>
    <row r="943">
      <c r="A943" s="4" t="s">
        <v>5475</v>
      </c>
      <c r="B943" s="13" t="s">
        <v>43</v>
      </c>
      <c r="D943" s="3"/>
      <c r="E943" s="3"/>
      <c r="F943" s="3"/>
      <c r="G943" s="3"/>
      <c r="H943" s="3"/>
      <c r="I943" s="3"/>
      <c r="J943" s="4" t="s">
        <v>1757</v>
      </c>
    </row>
    <row r="944">
      <c r="A944" s="4" t="s">
        <v>5476</v>
      </c>
      <c r="B944" s="13" t="s">
        <v>43</v>
      </c>
      <c r="D944" s="3"/>
      <c r="E944" s="3"/>
      <c r="F944" s="3"/>
      <c r="G944" s="3"/>
      <c r="H944" s="3"/>
      <c r="I944" s="3"/>
      <c r="J944" s="4" t="s">
        <v>1757</v>
      </c>
    </row>
    <row r="945">
      <c r="A945" s="4" t="s">
        <v>5477</v>
      </c>
      <c r="B945" s="13" t="s">
        <v>43</v>
      </c>
      <c r="D945" s="3"/>
      <c r="E945" s="3"/>
      <c r="F945" s="3"/>
      <c r="G945" s="3"/>
      <c r="H945" s="3"/>
      <c r="I945" s="3"/>
      <c r="J945" s="4" t="s">
        <v>1757</v>
      </c>
    </row>
    <row r="946">
      <c r="A946" s="4" t="s">
        <v>5478</v>
      </c>
      <c r="B946" s="13" t="s">
        <v>43</v>
      </c>
      <c r="D946" s="3"/>
      <c r="E946" s="3"/>
      <c r="F946" s="3"/>
      <c r="G946" s="3"/>
      <c r="H946" s="3"/>
      <c r="I946" s="3"/>
      <c r="J946" s="4" t="s">
        <v>1757</v>
      </c>
    </row>
    <row r="947">
      <c r="A947" s="4" t="s">
        <v>5479</v>
      </c>
      <c r="B947" s="13" t="s">
        <v>43</v>
      </c>
      <c r="D947" s="3"/>
      <c r="E947" s="3"/>
      <c r="F947" s="3"/>
      <c r="G947" s="3"/>
      <c r="H947" s="3"/>
      <c r="I947" s="3"/>
      <c r="J947" s="4" t="s">
        <v>1757</v>
      </c>
    </row>
    <row r="948">
      <c r="A948" s="4" t="s">
        <v>5480</v>
      </c>
      <c r="B948" s="13" t="s">
        <v>43</v>
      </c>
      <c r="D948" s="3"/>
      <c r="E948" s="3"/>
      <c r="F948" s="3"/>
      <c r="G948" s="3"/>
      <c r="H948" s="3"/>
      <c r="I948" s="3"/>
      <c r="J948" s="4" t="s">
        <v>1757</v>
      </c>
    </row>
    <row r="949">
      <c r="A949" s="4" t="s">
        <v>5481</v>
      </c>
      <c r="B949" s="13" t="s">
        <v>43</v>
      </c>
      <c r="D949" s="3"/>
      <c r="E949" s="3"/>
      <c r="F949" s="3"/>
      <c r="G949" s="3"/>
      <c r="H949" s="3"/>
      <c r="I949" s="3"/>
      <c r="J949" s="4" t="s">
        <v>1757</v>
      </c>
    </row>
    <row r="950">
      <c r="A950" s="4" t="s">
        <v>5482</v>
      </c>
      <c r="B950" s="13" t="s">
        <v>43</v>
      </c>
      <c r="D950" s="3"/>
      <c r="E950" s="3"/>
      <c r="F950" s="3"/>
      <c r="G950" s="3"/>
      <c r="H950" s="3"/>
      <c r="I950" s="3"/>
      <c r="J950" s="4" t="s">
        <v>1757</v>
      </c>
    </row>
    <row r="951">
      <c r="A951" s="4" t="s">
        <v>5483</v>
      </c>
      <c r="B951" s="13" t="s">
        <v>43</v>
      </c>
      <c r="D951" s="3"/>
      <c r="E951" s="3"/>
      <c r="F951" s="3"/>
      <c r="G951" s="3"/>
      <c r="H951" s="3"/>
      <c r="I951" s="3"/>
      <c r="J951" s="4" t="s">
        <v>1757</v>
      </c>
    </row>
    <row r="952">
      <c r="A952" s="4" t="s">
        <v>5484</v>
      </c>
      <c r="B952" s="13" t="s">
        <v>43</v>
      </c>
      <c r="D952" s="3"/>
      <c r="E952" s="3"/>
      <c r="F952" s="3"/>
      <c r="G952" s="3"/>
      <c r="H952" s="3"/>
      <c r="I952" s="3"/>
      <c r="J952" s="4" t="s">
        <v>1757</v>
      </c>
    </row>
    <row r="953">
      <c r="A953" s="4" t="s">
        <v>5485</v>
      </c>
      <c r="B953" s="13" t="s">
        <v>43</v>
      </c>
      <c r="D953" s="3"/>
      <c r="E953" s="3"/>
      <c r="F953" s="3"/>
      <c r="G953" s="3"/>
      <c r="H953" s="3"/>
      <c r="I953" s="3"/>
      <c r="J953" s="4" t="s">
        <v>1757</v>
      </c>
    </row>
    <row r="954">
      <c r="A954" s="4" t="s">
        <v>5486</v>
      </c>
      <c r="B954" s="13" t="s">
        <v>43</v>
      </c>
      <c r="D954" s="3"/>
      <c r="E954" s="3"/>
      <c r="F954" s="3"/>
      <c r="G954" s="3"/>
      <c r="H954" s="3"/>
      <c r="I954" s="3"/>
      <c r="J954" s="4" t="s">
        <v>1757</v>
      </c>
    </row>
    <row r="955">
      <c r="A955" s="4" t="s">
        <v>5487</v>
      </c>
      <c r="B955" s="13" t="s">
        <v>43</v>
      </c>
      <c r="D955" s="3"/>
      <c r="E955" s="3"/>
      <c r="F955" s="3"/>
      <c r="G955" s="3"/>
      <c r="H955" s="3"/>
      <c r="I955" s="3"/>
      <c r="J955" s="4" t="s">
        <v>1757</v>
      </c>
    </row>
    <row r="956">
      <c r="A956" s="4" t="s">
        <v>5488</v>
      </c>
      <c r="B956" s="13" t="s">
        <v>43</v>
      </c>
      <c r="D956" s="3"/>
      <c r="E956" s="3"/>
      <c r="F956" s="3"/>
      <c r="G956" s="3"/>
      <c r="H956" s="3"/>
      <c r="I956" s="3"/>
      <c r="J956" s="4" t="s">
        <v>1757</v>
      </c>
    </row>
    <row r="957">
      <c r="A957" s="4" t="s">
        <v>5489</v>
      </c>
      <c r="B957" s="13" t="s">
        <v>43</v>
      </c>
      <c r="D957" s="3"/>
      <c r="E957" s="3"/>
      <c r="F957" s="3"/>
      <c r="G957" s="3"/>
      <c r="H957" s="3"/>
      <c r="I957" s="3"/>
      <c r="J957" s="4" t="s">
        <v>1757</v>
      </c>
    </row>
    <row r="958">
      <c r="A958" s="4" t="s">
        <v>5490</v>
      </c>
      <c r="B958" s="13" t="s">
        <v>43</v>
      </c>
      <c r="D958" s="3"/>
      <c r="E958" s="3"/>
      <c r="F958" s="3"/>
      <c r="G958" s="3"/>
      <c r="H958" s="3"/>
      <c r="I958" s="3"/>
      <c r="J958" s="4" t="s">
        <v>1757</v>
      </c>
    </row>
    <row r="959">
      <c r="A959" s="4" t="s">
        <v>5491</v>
      </c>
      <c r="B959" s="13" t="s">
        <v>43</v>
      </c>
      <c r="D959" s="3"/>
      <c r="E959" s="3"/>
      <c r="F959" s="3"/>
      <c r="G959" s="3"/>
      <c r="H959" s="3"/>
      <c r="I959" s="3"/>
      <c r="J959" s="4" t="s">
        <v>1757</v>
      </c>
    </row>
    <row r="960">
      <c r="A960" s="4" t="s">
        <v>5492</v>
      </c>
      <c r="B960" s="13" t="s">
        <v>43</v>
      </c>
      <c r="D960" s="3"/>
      <c r="E960" s="3"/>
      <c r="F960" s="3"/>
      <c r="G960" s="3"/>
      <c r="H960" s="3"/>
      <c r="I960" s="3"/>
      <c r="J960" s="4" t="s">
        <v>1757</v>
      </c>
    </row>
    <row r="961">
      <c r="A961" s="4" t="s">
        <v>5493</v>
      </c>
      <c r="B961" s="13" t="s">
        <v>43</v>
      </c>
      <c r="D961" s="3"/>
      <c r="E961" s="3"/>
      <c r="F961" s="3"/>
      <c r="G961" s="3"/>
      <c r="H961" s="3"/>
      <c r="I961" s="3"/>
      <c r="J961" s="4" t="s">
        <v>1757</v>
      </c>
    </row>
    <row r="962">
      <c r="A962" s="4" t="s">
        <v>5494</v>
      </c>
      <c r="B962" s="13" t="s">
        <v>43</v>
      </c>
      <c r="D962" s="3"/>
      <c r="E962" s="3"/>
      <c r="F962" s="3"/>
      <c r="G962" s="3"/>
      <c r="H962" s="3"/>
      <c r="I962" s="3"/>
      <c r="J962" s="4" t="s">
        <v>1757</v>
      </c>
    </row>
    <row r="963">
      <c r="A963" s="4" t="s">
        <v>5495</v>
      </c>
      <c r="B963" s="13" t="s">
        <v>43</v>
      </c>
      <c r="D963" s="3"/>
      <c r="E963" s="3"/>
      <c r="F963" s="3"/>
      <c r="G963" s="3"/>
      <c r="H963" s="3"/>
      <c r="I963" s="3"/>
      <c r="J963" s="4" t="s">
        <v>1757</v>
      </c>
    </row>
    <row r="964">
      <c r="A964" s="4" t="s">
        <v>5496</v>
      </c>
      <c r="B964" s="13" t="s">
        <v>43</v>
      </c>
      <c r="D964" s="3"/>
      <c r="E964" s="3"/>
      <c r="F964" s="3"/>
      <c r="G964" s="3"/>
      <c r="H964" s="3"/>
      <c r="I964" s="3"/>
      <c r="J964" s="4" t="s">
        <v>1757</v>
      </c>
    </row>
    <row r="965">
      <c r="A965" s="4" t="s">
        <v>5497</v>
      </c>
      <c r="B965" s="13" t="s">
        <v>43</v>
      </c>
      <c r="D965" s="3"/>
      <c r="E965" s="3"/>
      <c r="F965" s="3"/>
      <c r="G965" s="3"/>
      <c r="H965" s="3"/>
      <c r="I965" s="3"/>
      <c r="J965" s="4" t="s">
        <v>1757</v>
      </c>
    </row>
    <row r="966">
      <c r="A966" s="4" t="s">
        <v>5498</v>
      </c>
      <c r="B966" s="13" t="s">
        <v>43</v>
      </c>
      <c r="D966" s="3"/>
      <c r="E966" s="3"/>
      <c r="F966" s="3"/>
      <c r="G966" s="3"/>
      <c r="H966" s="3"/>
      <c r="I966" s="3"/>
      <c r="J966" s="4" t="s">
        <v>1757</v>
      </c>
    </row>
    <row r="967">
      <c r="A967" s="4" t="s">
        <v>5499</v>
      </c>
      <c r="B967" s="13" t="s">
        <v>43</v>
      </c>
      <c r="D967" s="3"/>
      <c r="E967" s="3"/>
      <c r="F967" s="3"/>
      <c r="G967" s="3"/>
      <c r="H967" s="3"/>
      <c r="I967" s="3"/>
      <c r="J967" s="4" t="s">
        <v>1757</v>
      </c>
    </row>
    <row r="968">
      <c r="A968" s="4" t="s">
        <v>5500</v>
      </c>
      <c r="B968" s="13" t="s">
        <v>43</v>
      </c>
      <c r="D968" s="3"/>
      <c r="E968" s="3"/>
      <c r="F968" s="3"/>
      <c r="G968" s="3"/>
      <c r="H968" s="3"/>
      <c r="I968" s="3"/>
      <c r="J968" s="4" t="s">
        <v>1757</v>
      </c>
    </row>
    <row r="969">
      <c r="A969" s="4" t="s">
        <v>5501</v>
      </c>
      <c r="B969" s="13" t="s">
        <v>43</v>
      </c>
      <c r="D969" s="3"/>
      <c r="E969" s="3"/>
      <c r="F969" s="3"/>
      <c r="G969" s="3"/>
      <c r="H969" s="3"/>
      <c r="I969" s="3"/>
    </row>
    <row r="970">
      <c r="A970" s="4" t="s">
        <v>5502</v>
      </c>
      <c r="B970" s="13" t="s">
        <v>43</v>
      </c>
      <c r="D970" s="3"/>
      <c r="E970" s="3"/>
      <c r="F970" s="3"/>
      <c r="G970" s="3"/>
      <c r="H970" s="3"/>
      <c r="I970" s="3"/>
    </row>
    <row r="971">
      <c r="A971" s="4" t="s">
        <v>5503</v>
      </c>
      <c r="B971" s="13" t="s">
        <v>43</v>
      </c>
      <c r="D971" s="3"/>
      <c r="E971" s="3"/>
      <c r="F971" s="3"/>
      <c r="G971" s="3"/>
      <c r="H971" s="3"/>
      <c r="I971" s="3"/>
    </row>
    <row r="972">
      <c r="A972" s="4" t="s">
        <v>5504</v>
      </c>
      <c r="B972" s="13" t="s">
        <v>43</v>
      </c>
      <c r="D972" s="3"/>
      <c r="E972" s="3"/>
      <c r="F972" s="3"/>
      <c r="G972" s="3"/>
      <c r="H972" s="3"/>
      <c r="I972" s="3"/>
    </row>
    <row r="973">
      <c r="A973" s="4" t="s">
        <v>5505</v>
      </c>
      <c r="B973" s="13" t="s">
        <v>43</v>
      </c>
      <c r="D973" s="3"/>
      <c r="E973" s="3"/>
      <c r="F973" s="3"/>
      <c r="G973" s="3"/>
      <c r="H973" s="3"/>
      <c r="I973" s="3"/>
    </row>
    <row r="974">
      <c r="A974" s="4" t="s">
        <v>5506</v>
      </c>
      <c r="B974" s="13" t="s">
        <v>43</v>
      </c>
      <c r="D974" s="3"/>
      <c r="E974" s="3"/>
      <c r="F974" s="3"/>
      <c r="G974" s="3"/>
      <c r="H974" s="3"/>
      <c r="I974" s="3"/>
    </row>
    <row r="975">
      <c r="A975" s="4" t="s">
        <v>5507</v>
      </c>
      <c r="B975" s="13" t="s">
        <v>43</v>
      </c>
      <c r="D975" s="3"/>
      <c r="E975" s="3"/>
      <c r="F975" s="3"/>
      <c r="G975" s="3"/>
      <c r="H975" s="3"/>
      <c r="I975" s="3"/>
    </row>
    <row r="976">
      <c r="A976" s="4" t="s">
        <v>5508</v>
      </c>
      <c r="B976" s="13" t="s">
        <v>43</v>
      </c>
      <c r="D976" s="3"/>
      <c r="E976" s="3"/>
      <c r="F976" s="3"/>
      <c r="G976" s="3"/>
      <c r="H976" s="3"/>
      <c r="I976" s="3"/>
    </row>
    <row r="977">
      <c r="A977" s="4" t="s">
        <v>5509</v>
      </c>
      <c r="B977" s="13" t="s">
        <v>43</v>
      </c>
      <c r="D977" s="3"/>
      <c r="E977" s="3"/>
      <c r="F977" s="3"/>
      <c r="G977" s="3"/>
      <c r="H977" s="3"/>
      <c r="I977" s="3"/>
    </row>
    <row r="978">
      <c r="A978" s="4" t="s">
        <v>5510</v>
      </c>
      <c r="B978" s="13" t="s">
        <v>43</v>
      </c>
      <c r="D978" s="3"/>
      <c r="E978" s="3"/>
      <c r="F978" s="3"/>
      <c r="G978" s="3"/>
      <c r="H978" s="3"/>
      <c r="I978" s="3"/>
      <c r="J978" s="4" t="s">
        <v>1757</v>
      </c>
    </row>
    <row r="979">
      <c r="A979" s="4" t="s">
        <v>5511</v>
      </c>
      <c r="B979" s="13" t="s">
        <v>43</v>
      </c>
      <c r="D979" s="3"/>
      <c r="E979" s="3"/>
      <c r="F979" s="3"/>
      <c r="G979" s="3"/>
      <c r="H979" s="3"/>
      <c r="I979" s="3"/>
      <c r="J979" s="4" t="s">
        <v>1757</v>
      </c>
    </row>
    <row r="980">
      <c r="A980" s="4" t="s">
        <v>5512</v>
      </c>
      <c r="B980" s="13" t="s">
        <v>43</v>
      </c>
      <c r="D980" s="3"/>
      <c r="E980" s="3"/>
      <c r="F980" s="3"/>
      <c r="G980" s="3"/>
      <c r="H980" s="3"/>
      <c r="I980" s="3"/>
      <c r="J980" s="4" t="s">
        <v>1757</v>
      </c>
    </row>
    <row r="981">
      <c r="A981" s="4" t="s">
        <v>5513</v>
      </c>
      <c r="B981" s="13" t="s">
        <v>48</v>
      </c>
      <c r="C981" s="4">
        <v>1.0</v>
      </c>
      <c r="D981" s="3"/>
      <c r="E981" s="3"/>
      <c r="F981" s="3"/>
      <c r="G981" s="3"/>
      <c r="H981" s="4">
        <v>13.0</v>
      </c>
      <c r="I981" s="3"/>
      <c r="J981" s="4" t="s">
        <v>1757</v>
      </c>
    </row>
    <row r="982">
      <c r="A982" s="4" t="s">
        <v>5514</v>
      </c>
      <c r="B982" s="13" t="s">
        <v>48</v>
      </c>
      <c r="C982" s="4">
        <v>1.0</v>
      </c>
      <c r="D982" s="3"/>
      <c r="E982" s="3"/>
      <c r="F982" s="3"/>
      <c r="G982" s="3"/>
      <c r="H982" s="4">
        <v>13.0</v>
      </c>
      <c r="I982" s="3"/>
      <c r="J982" s="4" t="s">
        <v>1757</v>
      </c>
    </row>
    <row r="983">
      <c r="A983" s="4" t="s">
        <v>5515</v>
      </c>
      <c r="B983" s="13" t="s">
        <v>48</v>
      </c>
      <c r="C983" s="4">
        <v>1.0</v>
      </c>
      <c r="D983" s="3"/>
      <c r="E983" s="3"/>
      <c r="F983" s="3"/>
      <c r="G983" s="3"/>
      <c r="H983" s="4">
        <v>13.0</v>
      </c>
      <c r="I983" s="3"/>
      <c r="J983" s="4" t="s">
        <v>1757</v>
      </c>
    </row>
    <row r="984">
      <c r="A984" s="4" t="s">
        <v>5516</v>
      </c>
      <c r="B984" s="13" t="s">
        <v>48</v>
      </c>
      <c r="C984" s="4">
        <v>1.0</v>
      </c>
      <c r="D984" s="3"/>
      <c r="E984" s="3"/>
      <c r="F984" s="3"/>
      <c r="G984" s="3"/>
      <c r="H984" s="4">
        <v>13.0</v>
      </c>
      <c r="I984" s="3"/>
      <c r="J984" s="4" t="s">
        <v>1757</v>
      </c>
    </row>
    <row r="985">
      <c r="A985" s="4" t="s">
        <v>5517</v>
      </c>
      <c r="B985" s="13" t="s">
        <v>48</v>
      </c>
      <c r="C985" s="4">
        <v>1.0</v>
      </c>
      <c r="D985" s="3"/>
      <c r="E985" s="3"/>
      <c r="F985" s="3"/>
      <c r="G985" s="3"/>
      <c r="H985" s="4">
        <v>13.0</v>
      </c>
      <c r="I985" s="3"/>
      <c r="J985" s="4" t="s">
        <v>1757</v>
      </c>
    </row>
    <row r="986">
      <c r="A986" s="4" t="s">
        <v>5518</v>
      </c>
      <c r="B986" s="13" t="s">
        <v>48</v>
      </c>
      <c r="C986" s="4">
        <v>1.0</v>
      </c>
      <c r="D986" s="3"/>
      <c r="E986" s="3"/>
      <c r="F986" s="3"/>
      <c r="G986" s="3"/>
      <c r="H986" s="4">
        <v>13.0</v>
      </c>
      <c r="I986" s="3"/>
      <c r="J986" s="4" t="s">
        <v>1757</v>
      </c>
    </row>
    <row r="987">
      <c r="A987" s="4" t="s">
        <v>5519</v>
      </c>
      <c r="B987" s="13" t="s">
        <v>48</v>
      </c>
      <c r="C987" s="4">
        <v>1.0</v>
      </c>
      <c r="D987" s="3"/>
      <c r="E987" s="3"/>
      <c r="F987" s="3"/>
      <c r="G987" s="3"/>
      <c r="H987" s="4">
        <v>13.0</v>
      </c>
      <c r="I987" s="3"/>
      <c r="J987" s="4" t="s">
        <v>1757</v>
      </c>
    </row>
    <row r="988">
      <c r="A988" s="4" t="s">
        <v>5520</v>
      </c>
      <c r="B988" s="13" t="s">
        <v>48</v>
      </c>
      <c r="C988" s="4">
        <v>1.0</v>
      </c>
      <c r="D988" s="3"/>
      <c r="E988" s="3"/>
      <c r="F988" s="3"/>
      <c r="G988" s="3"/>
      <c r="H988" s="4">
        <v>13.0</v>
      </c>
      <c r="I988" s="3"/>
      <c r="J988" s="4" t="s">
        <v>1757</v>
      </c>
    </row>
    <row r="989">
      <c r="A989" s="4" t="s">
        <v>5521</v>
      </c>
      <c r="B989" s="13" t="s">
        <v>48</v>
      </c>
      <c r="C989" s="4">
        <v>2.0</v>
      </c>
      <c r="D989" s="4">
        <v>1.0</v>
      </c>
      <c r="E989" s="3"/>
      <c r="F989" s="3"/>
      <c r="G989" s="3"/>
      <c r="H989" s="4">
        <v>13.0</v>
      </c>
      <c r="I989" s="3"/>
      <c r="J989" s="4" t="s">
        <v>1757</v>
      </c>
    </row>
    <row r="990">
      <c r="A990" s="4" t="s">
        <v>5522</v>
      </c>
      <c r="B990" s="13" t="s">
        <v>48</v>
      </c>
      <c r="C990" s="4">
        <v>2.0</v>
      </c>
      <c r="D990" s="4">
        <v>1.0</v>
      </c>
      <c r="E990" s="3"/>
      <c r="F990" s="3"/>
      <c r="G990" s="3"/>
      <c r="H990" s="4">
        <v>13.0</v>
      </c>
      <c r="I990" s="3"/>
      <c r="J990" s="4" t="s">
        <v>1757</v>
      </c>
    </row>
    <row r="991">
      <c r="A991" s="4" t="s">
        <v>5523</v>
      </c>
      <c r="B991" s="13" t="s">
        <v>48</v>
      </c>
      <c r="C991" s="4">
        <v>2.0</v>
      </c>
      <c r="D991" s="4">
        <v>1.0</v>
      </c>
      <c r="E991" s="3"/>
      <c r="F991" s="3"/>
      <c r="G991" s="3"/>
      <c r="H991" s="4">
        <v>13.0</v>
      </c>
      <c r="I991" s="3"/>
      <c r="J991" s="4" t="s">
        <v>1757</v>
      </c>
    </row>
    <row r="992">
      <c r="A992" s="4" t="s">
        <v>5524</v>
      </c>
      <c r="B992" s="13" t="s">
        <v>48</v>
      </c>
      <c r="C992" s="4">
        <v>2.0</v>
      </c>
      <c r="D992" s="4">
        <v>1.0</v>
      </c>
      <c r="E992" s="3"/>
      <c r="F992" s="3"/>
      <c r="G992" s="3"/>
      <c r="H992" s="4">
        <v>13.0</v>
      </c>
      <c r="I992" s="3"/>
      <c r="J992" s="4" t="s">
        <v>1757</v>
      </c>
    </row>
    <row r="993">
      <c r="A993" s="4" t="s">
        <v>5525</v>
      </c>
      <c r="B993" s="13" t="s">
        <v>48</v>
      </c>
      <c r="C993" s="4">
        <v>2.0</v>
      </c>
      <c r="D993" s="4">
        <v>1.0</v>
      </c>
      <c r="E993" s="3"/>
      <c r="F993" s="3"/>
      <c r="G993" s="3"/>
      <c r="H993" s="4">
        <v>13.0</v>
      </c>
      <c r="I993" s="3"/>
      <c r="J993" s="4" t="s">
        <v>1757</v>
      </c>
    </row>
    <row r="994">
      <c r="A994" s="4" t="s">
        <v>5526</v>
      </c>
      <c r="B994" s="13" t="s">
        <v>48</v>
      </c>
      <c r="C994" s="4">
        <v>2.0</v>
      </c>
      <c r="D994" s="4">
        <v>1.0</v>
      </c>
      <c r="E994" s="3"/>
      <c r="F994" s="3"/>
      <c r="G994" s="3"/>
      <c r="H994" s="4">
        <v>13.0</v>
      </c>
      <c r="I994" s="3"/>
      <c r="J994" s="4" t="s">
        <v>1757</v>
      </c>
    </row>
    <row r="995">
      <c r="A995" s="4" t="s">
        <v>5527</v>
      </c>
      <c r="B995" s="13" t="s">
        <v>48</v>
      </c>
      <c r="C995" s="4">
        <v>2.0</v>
      </c>
      <c r="D995" s="4">
        <v>1.0</v>
      </c>
      <c r="E995" s="3"/>
      <c r="F995" s="3"/>
      <c r="G995" s="3"/>
      <c r="H995" s="4">
        <v>13.0</v>
      </c>
      <c r="I995" s="3"/>
      <c r="J995" s="4" t="s">
        <v>1757</v>
      </c>
    </row>
    <row r="996">
      <c r="A996" s="4" t="s">
        <v>5528</v>
      </c>
      <c r="B996" s="13" t="s">
        <v>48</v>
      </c>
      <c r="C996" s="4">
        <v>2.0</v>
      </c>
      <c r="D996" s="4">
        <v>1.0</v>
      </c>
      <c r="E996" s="3"/>
      <c r="F996" s="3"/>
      <c r="G996" s="3"/>
      <c r="H996" s="4">
        <v>13.0</v>
      </c>
      <c r="I996" s="3"/>
      <c r="J996" s="4" t="s">
        <v>1757</v>
      </c>
    </row>
    <row r="997">
      <c r="A997" s="4" t="s">
        <v>5529</v>
      </c>
      <c r="B997" s="13" t="s">
        <v>48</v>
      </c>
      <c r="C997" s="4">
        <v>2.0</v>
      </c>
      <c r="D997" s="4">
        <v>1.0</v>
      </c>
      <c r="E997" s="3"/>
      <c r="F997" s="3"/>
      <c r="G997" s="3"/>
      <c r="H997" s="4">
        <v>13.0</v>
      </c>
      <c r="I997" s="3"/>
      <c r="J997" s="4" t="s">
        <v>1757</v>
      </c>
    </row>
    <row r="998">
      <c r="A998" s="4" t="s">
        <v>5530</v>
      </c>
      <c r="B998" s="13" t="s">
        <v>48</v>
      </c>
      <c r="C998" s="4">
        <v>2.0</v>
      </c>
      <c r="D998" s="4">
        <v>1.0</v>
      </c>
      <c r="E998" s="3"/>
      <c r="F998" s="3"/>
      <c r="G998" s="3"/>
      <c r="H998" s="4">
        <v>13.0</v>
      </c>
      <c r="I998" s="3"/>
      <c r="J998" s="4" t="s">
        <v>1757</v>
      </c>
    </row>
    <row r="999">
      <c r="A999" s="4" t="s">
        <v>5531</v>
      </c>
      <c r="B999" s="13" t="s">
        <v>48</v>
      </c>
      <c r="C999" s="4">
        <v>1.0</v>
      </c>
      <c r="D999" s="4">
        <v>1.0</v>
      </c>
      <c r="E999" s="3"/>
      <c r="F999" s="3"/>
      <c r="G999" s="3"/>
      <c r="H999" s="3"/>
      <c r="I999" s="3"/>
      <c r="J999" s="4" t="s">
        <v>1757</v>
      </c>
    </row>
    <row r="1000">
      <c r="A1000" s="4" t="s">
        <v>5532</v>
      </c>
      <c r="B1000" s="13" t="s">
        <v>48</v>
      </c>
      <c r="C1000" s="4">
        <v>1.0</v>
      </c>
      <c r="D1000" s="4">
        <v>1.0</v>
      </c>
      <c r="E1000" s="3"/>
      <c r="F1000" s="3"/>
      <c r="G1000" s="3"/>
      <c r="H1000" s="3"/>
      <c r="I1000" s="3"/>
      <c r="J1000" s="4" t="s">
        <v>1757</v>
      </c>
    </row>
    <row r="1001">
      <c r="A1001" s="4" t="s">
        <v>5533</v>
      </c>
      <c r="B1001" s="13" t="s">
        <v>48</v>
      </c>
      <c r="C1001" s="4">
        <v>1.0</v>
      </c>
      <c r="D1001" s="4">
        <v>1.0</v>
      </c>
      <c r="E1001" s="3"/>
      <c r="F1001" s="3"/>
      <c r="G1001" s="3"/>
      <c r="H1001" s="3"/>
      <c r="I1001" s="3"/>
      <c r="J1001" s="4" t="s">
        <v>1757</v>
      </c>
    </row>
    <row r="1002">
      <c r="A1002" s="4" t="s">
        <v>5534</v>
      </c>
      <c r="B1002" s="13" t="s">
        <v>48</v>
      </c>
      <c r="C1002" s="4">
        <v>1.0</v>
      </c>
      <c r="D1002" s="4">
        <v>1.0</v>
      </c>
      <c r="E1002" s="3"/>
      <c r="F1002" s="3"/>
      <c r="G1002" s="3"/>
      <c r="H1002" s="3"/>
      <c r="I1002" s="3"/>
      <c r="J1002" s="4" t="s">
        <v>1757</v>
      </c>
    </row>
    <row r="1003">
      <c r="A1003" s="4" t="s">
        <v>5535</v>
      </c>
      <c r="B1003" s="13" t="s">
        <v>48</v>
      </c>
      <c r="C1003" s="4">
        <v>1.0</v>
      </c>
      <c r="D1003" s="4">
        <v>1.0</v>
      </c>
      <c r="E1003" s="3"/>
      <c r="F1003" s="3"/>
      <c r="G1003" s="3"/>
      <c r="H1003" s="3"/>
      <c r="I1003" s="3"/>
      <c r="J1003" s="4" t="s">
        <v>1757</v>
      </c>
    </row>
    <row r="1004">
      <c r="A1004" s="4" t="s">
        <v>5536</v>
      </c>
      <c r="B1004" s="13" t="s">
        <v>48</v>
      </c>
      <c r="C1004" s="4">
        <v>1.0</v>
      </c>
      <c r="D1004" s="4">
        <v>1.0</v>
      </c>
      <c r="E1004" s="3"/>
      <c r="F1004" s="3"/>
      <c r="G1004" s="3"/>
      <c r="H1004" s="3"/>
      <c r="I1004" s="3"/>
      <c r="J1004" s="4" t="s">
        <v>1757</v>
      </c>
    </row>
    <row r="1005">
      <c r="A1005" s="4" t="s">
        <v>5537</v>
      </c>
      <c r="B1005" s="13" t="s">
        <v>43</v>
      </c>
      <c r="D1005" s="3"/>
      <c r="E1005" s="3"/>
      <c r="F1005" s="3"/>
      <c r="G1005" s="3"/>
      <c r="H1005" s="3"/>
      <c r="I1005" s="3"/>
      <c r="J1005" s="4" t="s">
        <v>1757</v>
      </c>
    </row>
    <row r="1006">
      <c r="A1006" s="4" t="s">
        <v>5538</v>
      </c>
      <c r="B1006" s="13" t="s">
        <v>43</v>
      </c>
      <c r="D1006" s="3"/>
      <c r="E1006" s="3"/>
      <c r="F1006" s="3"/>
      <c r="G1006" s="3"/>
      <c r="H1006" s="3"/>
      <c r="I1006" s="3"/>
      <c r="J1006" s="4" t="s">
        <v>1757</v>
      </c>
    </row>
    <row r="1007">
      <c r="A1007" s="4" t="s">
        <v>5539</v>
      </c>
      <c r="B1007" s="13" t="s">
        <v>43</v>
      </c>
      <c r="D1007" s="3"/>
      <c r="E1007" s="3"/>
      <c r="F1007" s="3"/>
      <c r="G1007" s="3"/>
      <c r="H1007" s="3"/>
      <c r="I1007" s="3"/>
      <c r="J1007" s="4" t="s">
        <v>1757</v>
      </c>
    </row>
    <row r="1008">
      <c r="A1008" s="4" t="s">
        <v>5540</v>
      </c>
      <c r="B1008" s="13" t="s">
        <v>48</v>
      </c>
      <c r="C1008" s="4">
        <v>1.0</v>
      </c>
      <c r="D1008" s="4">
        <v>1.0</v>
      </c>
      <c r="E1008" s="3"/>
      <c r="F1008" s="3"/>
      <c r="G1008" s="3"/>
      <c r="H1008" s="3"/>
      <c r="I1008" s="3"/>
      <c r="J1008" s="4" t="s">
        <v>1757</v>
      </c>
    </row>
    <row r="1009">
      <c r="A1009" s="4" t="s">
        <v>5541</v>
      </c>
      <c r="B1009" s="13" t="s">
        <v>48</v>
      </c>
      <c r="C1009" s="4">
        <v>1.0</v>
      </c>
      <c r="D1009" s="4">
        <v>1.0</v>
      </c>
      <c r="E1009" s="3"/>
      <c r="F1009" s="3"/>
      <c r="G1009" s="3"/>
      <c r="H1009" s="3"/>
      <c r="I1009" s="3"/>
      <c r="J1009" s="4" t="s">
        <v>1757</v>
      </c>
    </row>
    <row r="1010">
      <c r="A1010" s="4" t="s">
        <v>5542</v>
      </c>
      <c r="B1010" s="13" t="s">
        <v>48</v>
      </c>
      <c r="C1010" s="4">
        <v>1.0</v>
      </c>
      <c r="D1010" s="4">
        <v>1.0</v>
      </c>
      <c r="E1010" s="3"/>
      <c r="F1010" s="3"/>
      <c r="G1010" s="3"/>
      <c r="H1010" s="3"/>
      <c r="I1010" s="3"/>
      <c r="J1010" s="4" t="s">
        <v>1757</v>
      </c>
      <c r="K1010" s="4" t="s">
        <v>1757</v>
      </c>
    </row>
    <row r="1011">
      <c r="A1011" s="4" t="s">
        <v>5543</v>
      </c>
      <c r="B1011" s="13" t="s">
        <v>48</v>
      </c>
      <c r="C1011" s="4">
        <v>1.0</v>
      </c>
      <c r="D1011" s="4">
        <v>1.0</v>
      </c>
      <c r="E1011" s="3"/>
      <c r="F1011" s="3"/>
      <c r="G1011" s="3"/>
      <c r="H1011" s="3"/>
      <c r="I1011" s="3"/>
      <c r="J1011" s="4" t="s">
        <v>1757</v>
      </c>
      <c r="K1011" s="4" t="s">
        <v>1757</v>
      </c>
    </row>
    <row r="1012">
      <c r="A1012" s="4" t="s">
        <v>5544</v>
      </c>
      <c r="B1012" s="13" t="s">
        <v>48</v>
      </c>
      <c r="C1012" s="4">
        <v>1.0</v>
      </c>
      <c r="D1012" s="4">
        <v>1.0</v>
      </c>
      <c r="E1012" s="3"/>
      <c r="F1012" s="3"/>
      <c r="G1012" s="3"/>
      <c r="H1012" s="3"/>
      <c r="I1012" s="3"/>
      <c r="J1012" s="4" t="s">
        <v>1757</v>
      </c>
      <c r="K1012" s="4" t="s">
        <v>1757</v>
      </c>
    </row>
    <row r="1013">
      <c r="A1013" s="4" t="s">
        <v>5545</v>
      </c>
      <c r="B1013" s="13" t="s">
        <v>48</v>
      </c>
      <c r="C1013" s="4">
        <v>1.0</v>
      </c>
      <c r="D1013" s="4">
        <v>1.0</v>
      </c>
      <c r="E1013" s="3"/>
      <c r="F1013" s="3"/>
      <c r="G1013" s="3"/>
      <c r="H1013" s="3"/>
      <c r="I1013" s="3"/>
      <c r="J1013" s="4" t="s">
        <v>1757</v>
      </c>
      <c r="K1013" s="4" t="s">
        <v>1757</v>
      </c>
    </row>
    <row r="1014">
      <c r="A1014" s="4" t="s">
        <v>5546</v>
      </c>
      <c r="B1014" s="13" t="s">
        <v>48</v>
      </c>
      <c r="C1014" s="4">
        <v>1.0</v>
      </c>
      <c r="D1014" s="4">
        <v>1.0</v>
      </c>
      <c r="E1014" s="3"/>
      <c r="F1014" s="3"/>
      <c r="G1014" s="3"/>
      <c r="H1014" s="3"/>
      <c r="I1014" s="3"/>
      <c r="J1014" s="4" t="s">
        <v>1757</v>
      </c>
      <c r="K1014" s="4" t="s">
        <v>1757</v>
      </c>
    </row>
    <row r="1015">
      <c r="A1015" s="4" t="s">
        <v>5547</v>
      </c>
      <c r="B1015" s="13" t="s">
        <v>48</v>
      </c>
      <c r="C1015" s="4">
        <v>1.0</v>
      </c>
      <c r="D1015" s="4">
        <v>1.0</v>
      </c>
      <c r="E1015" s="3"/>
      <c r="F1015" s="3"/>
      <c r="G1015" s="3"/>
      <c r="H1015" s="3"/>
      <c r="I1015" s="3"/>
      <c r="J1015" s="4" t="s">
        <v>1757</v>
      </c>
      <c r="K1015" s="4" t="s">
        <v>1757</v>
      </c>
    </row>
    <row r="1016">
      <c r="A1016" s="4" t="s">
        <v>5548</v>
      </c>
      <c r="B1016" s="13" t="s">
        <v>48</v>
      </c>
      <c r="C1016" s="4">
        <v>1.0</v>
      </c>
      <c r="D1016" s="4">
        <v>1.0</v>
      </c>
      <c r="E1016" s="3"/>
      <c r="F1016" s="3"/>
      <c r="G1016" s="3"/>
      <c r="H1016" s="3"/>
      <c r="I1016" s="3"/>
      <c r="J1016" s="4" t="s">
        <v>1757</v>
      </c>
      <c r="K1016" s="4" t="s">
        <v>1757</v>
      </c>
    </row>
    <row r="1017">
      <c r="A1017" s="4" t="s">
        <v>5549</v>
      </c>
      <c r="B1017" s="13" t="s">
        <v>48</v>
      </c>
      <c r="C1017" s="4">
        <v>1.0</v>
      </c>
      <c r="D1017" s="4">
        <v>1.0</v>
      </c>
      <c r="E1017" s="3"/>
      <c r="F1017" s="3"/>
      <c r="G1017" s="3"/>
      <c r="H1017" s="3"/>
      <c r="I1017" s="3"/>
      <c r="J1017" s="4" t="s">
        <v>1757</v>
      </c>
      <c r="K1017" s="4" t="s">
        <v>1757</v>
      </c>
    </row>
    <row r="1018">
      <c r="A1018" s="4" t="s">
        <v>5550</v>
      </c>
      <c r="B1018" s="13" t="s">
        <v>48</v>
      </c>
      <c r="C1018" s="4">
        <v>1.0</v>
      </c>
      <c r="D1018" s="4">
        <v>1.0</v>
      </c>
      <c r="E1018" s="3"/>
      <c r="F1018" s="3"/>
      <c r="G1018" s="3"/>
      <c r="H1018" s="3"/>
      <c r="I1018" s="3"/>
      <c r="J1018" s="4" t="s">
        <v>1757</v>
      </c>
      <c r="K1018" s="4" t="s">
        <v>1757</v>
      </c>
    </row>
    <row r="1019">
      <c r="A1019" s="4" t="s">
        <v>5551</v>
      </c>
      <c r="B1019" s="13" t="s">
        <v>48</v>
      </c>
      <c r="C1019" s="4">
        <v>1.0</v>
      </c>
      <c r="D1019" s="4">
        <v>1.0</v>
      </c>
      <c r="E1019" s="3"/>
      <c r="F1019" s="3"/>
      <c r="G1019" s="3"/>
      <c r="H1019" s="3"/>
      <c r="I1019" s="3"/>
      <c r="J1019" s="4" t="s">
        <v>1757</v>
      </c>
      <c r="K1019" s="4" t="s">
        <v>1757</v>
      </c>
    </row>
    <row r="1020">
      <c r="A1020" s="4" t="s">
        <v>5552</v>
      </c>
      <c r="B1020" s="13" t="s">
        <v>48</v>
      </c>
      <c r="C1020" s="4">
        <v>1.0</v>
      </c>
      <c r="D1020" s="4">
        <v>1.0</v>
      </c>
      <c r="E1020" s="3"/>
      <c r="F1020" s="3"/>
      <c r="G1020" s="3"/>
      <c r="H1020" s="3"/>
      <c r="I1020" s="3"/>
      <c r="J1020" s="4" t="s">
        <v>1757</v>
      </c>
      <c r="K1020" s="4" t="s">
        <v>1757</v>
      </c>
    </row>
    <row r="1021">
      <c r="A1021" s="4" t="s">
        <v>5553</v>
      </c>
      <c r="B1021" s="13" t="s">
        <v>48</v>
      </c>
      <c r="C1021" s="4">
        <v>1.0</v>
      </c>
      <c r="D1021" s="4">
        <v>1.0</v>
      </c>
      <c r="E1021" s="3"/>
      <c r="F1021" s="3"/>
      <c r="G1021" s="3"/>
      <c r="H1021" s="3"/>
      <c r="I1021" s="3"/>
      <c r="J1021" s="4" t="s">
        <v>1757</v>
      </c>
      <c r="K1021" s="4" t="s">
        <v>1757</v>
      </c>
    </row>
    <row r="1022">
      <c r="A1022" s="4" t="s">
        <v>5554</v>
      </c>
      <c r="B1022" s="13" t="s">
        <v>48</v>
      </c>
      <c r="C1022" s="4">
        <v>1.0</v>
      </c>
      <c r="D1022" s="4">
        <v>1.0</v>
      </c>
      <c r="E1022" s="3"/>
      <c r="F1022" s="3"/>
      <c r="G1022" s="3"/>
      <c r="H1022" s="3"/>
      <c r="I1022" s="3"/>
      <c r="J1022" s="4" t="s">
        <v>1757</v>
      </c>
      <c r="K1022" s="4" t="s">
        <v>1757</v>
      </c>
    </row>
    <row r="1023">
      <c r="A1023" s="4" t="s">
        <v>5555</v>
      </c>
      <c r="B1023" s="13" t="s">
        <v>48</v>
      </c>
      <c r="C1023" s="4">
        <v>1.0</v>
      </c>
      <c r="D1023" s="4">
        <v>1.0</v>
      </c>
      <c r="E1023" s="3"/>
      <c r="F1023" s="3"/>
      <c r="G1023" s="3"/>
      <c r="H1023" s="3"/>
      <c r="I1023" s="3"/>
      <c r="J1023" s="4" t="s">
        <v>1757</v>
      </c>
      <c r="K1023" s="4" t="s">
        <v>1757</v>
      </c>
    </row>
    <row r="1024">
      <c r="A1024" s="4" t="s">
        <v>5556</v>
      </c>
      <c r="B1024" s="13" t="s">
        <v>48</v>
      </c>
      <c r="C1024" s="4">
        <v>1.0</v>
      </c>
      <c r="D1024" s="4">
        <v>1.0</v>
      </c>
      <c r="E1024" s="3"/>
      <c r="F1024" s="3"/>
      <c r="G1024" s="3"/>
      <c r="H1024" s="3"/>
      <c r="I1024" s="3"/>
      <c r="J1024" s="4" t="s">
        <v>1757</v>
      </c>
      <c r="K1024" s="4" t="s">
        <v>1757</v>
      </c>
    </row>
    <row r="1025">
      <c r="A1025" s="4" t="s">
        <v>5557</v>
      </c>
      <c r="B1025" s="13" t="s">
        <v>48</v>
      </c>
      <c r="C1025" s="4">
        <v>1.0</v>
      </c>
      <c r="D1025" s="4">
        <v>1.0</v>
      </c>
      <c r="E1025" s="3"/>
      <c r="F1025" s="3"/>
      <c r="G1025" s="3"/>
      <c r="H1025" s="3"/>
      <c r="I1025" s="3"/>
      <c r="J1025" s="4" t="s">
        <v>1757</v>
      </c>
      <c r="K1025" s="4" t="s">
        <v>1757</v>
      </c>
    </row>
    <row r="1026">
      <c r="A1026" s="4" t="s">
        <v>5558</v>
      </c>
      <c r="B1026" s="13" t="s">
        <v>48</v>
      </c>
      <c r="C1026" s="4">
        <v>1.0</v>
      </c>
      <c r="D1026" s="4">
        <v>1.0</v>
      </c>
      <c r="E1026" s="3"/>
      <c r="F1026" s="3"/>
      <c r="G1026" s="3"/>
      <c r="H1026" s="3"/>
      <c r="I1026" s="3"/>
      <c r="J1026" s="4" t="s">
        <v>1757</v>
      </c>
      <c r="K1026" s="4" t="s">
        <v>1757</v>
      </c>
    </row>
    <row r="1027">
      <c r="A1027" s="4" t="s">
        <v>5559</v>
      </c>
      <c r="B1027" s="13" t="s">
        <v>48</v>
      </c>
      <c r="C1027" s="4">
        <v>1.0</v>
      </c>
      <c r="D1027" s="4">
        <v>1.0</v>
      </c>
      <c r="E1027" s="3"/>
      <c r="F1027" s="3"/>
      <c r="G1027" s="3"/>
      <c r="H1027" s="3"/>
      <c r="I1027" s="3"/>
      <c r="J1027" s="4" t="s">
        <v>1757</v>
      </c>
      <c r="K1027" s="4" t="s">
        <v>1757</v>
      </c>
    </row>
    <row r="1028">
      <c r="A1028" s="4" t="s">
        <v>5560</v>
      </c>
      <c r="B1028" s="13" t="s">
        <v>48</v>
      </c>
      <c r="C1028" s="4">
        <v>2.0</v>
      </c>
      <c r="D1028" s="4">
        <v>1.0</v>
      </c>
      <c r="E1028" s="3"/>
      <c r="F1028" s="4">
        <v>9.0</v>
      </c>
      <c r="G1028" s="3"/>
      <c r="H1028" s="3"/>
      <c r="I1028" s="3"/>
      <c r="J1028" s="4" t="s">
        <v>1757</v>
      </c>
      <c r="K1028" s="4" t="s">
        <v>1757</v>
      </c>
    </row>
    <row r="1029">
      <c r="A1029" s="4" t="s">
        <v>5561</v>
      </c>
      <c r="B1029" s="13" t="s">
        <v>48</v>
      </c>
      <c r="C1029" s="4">
        <v>1.0</v>
      </c>
      <c r="D1029" s="3"/>
      <c r="E1029" s="3"/>
      <c r="F1029" s="4">
        <v>9.0</v>
      </c>
      <c r="G1029" s="3"/>
      <c r="H1029" s="3"/>
      <c r="I1029" s="3"/>
      <c r="J1029" s="4" t="s">
        <v>1757</v>
      </c>
      <c r="K1029" s="4" t="s">
        <v>1757</v>
      </c>
    </row>
    <row r="1030">
      <c r="A1030" s="4" t="s">
        <v>5562</v>
      </c>
      <c r="B1030" s="13" t="s">
        <v>48</v>
      </c>
      <c r="C1030" s="4">
        <v>2.0</v>
      </c>
      <c r="D1030" s="3"/>
      <c r="E1030" s="3"/>
      <c r="F1030" s="4">
        <v>9.0</v>
      </c>
      <c r="G1030" s="3"/>
      <c r="H1030" s="3"/>
      <c r="I1030" s="4">
        <v>15.0</v>
      </c>
      <c r="J1030" s="4" t="s">
        <v>1757</v>
      </c>
      <c r="K1030" s="4" t="s">
        <v>1757</v>
      </c>
    </row>
    <row r="1031">
      <c r="A1031" s="4" t="s">
        <v>5563</v>
      </c>
      <c r="B1031" s="13" t="s">
        <v>48</v>
      </c>
      <c r="C1031" s="4">
        <v>2.0</v>
      </c>
      <c r="D1031" s="3"/>
      <c r="E1031" s="3"/>
      <c r="F1031" s="4">
        <v>9.0</v>
      </c>
      <c r="G1031" s="3"/>
      <c r="H1031" s="3"/>
      <c r="I1031" s="4">
        <v>15.0</v>
      </c>
      <c r="J1031" s="4" t="s">
        <v>1757</v>
      </c>
      <c r="K1031" s="4" t="s">
        <v>1757</v>
      </c>
    </row>
    <row r="1032">
      <c r="A1032" s="4" t="s">
        <v>5564</v>
      </c>
      <c r="B1032" s="13" t="s">
        <v>48</v>
      </c>
      <c r="C1032" s="4">
        <v>2.0</v>
      </c>
      <c r="D1032" s="3"/>
      <c r="E1032" s="3"/>
      <c r="F1032" s="4">
        <v>9.0</v>
      </c>
      <c r="G1032" s="3"/>
      <c r="H1032" s="3"/>
      <c r="I1032" s="4">
        <v>15.0</v>
      </c>
      <c r="J1032" s="4" t="s">
        <v>1757</v>
      </c>
      <c r="K1032" s="4" t="s">
        <v>1757</v>
      </c>
    </row>
    <row r="1033">
      <c r="A1033" s="4" t="s">
        <v>5565</v>
      </c>
      <c r="B1033" s="13" t="s">
        <v>48</v>
      </c>
      <c r="C1033" s="4">
        <v>2.0</v>
      </c>
      <c r="D1033" s="3"/>
      <c r="E1033" s="3"/>
      <c r="F1033" s="4">
        <v>9.0</v>
      </c>
      <c r="G1033" s="3"/>
      <c r="H1033" s="3"/>
      <c r="I1033" s="4">
        <v>15.0</v>
      </c>
      <c r="J1033" s="4" t="s">
        <v>1757</v>
      </c>
      <c r="K1033" s="4" t="s">
        <v>1757</v>
      </c>
    </row>
    <row r="1034">
      <c r="A1034" s="4" t="s">
        <v>5566</v>
      </c>
      <c r="B1034" s="13" t="s">
        <v>48</v>
      </c>
      <c r="C1034" s="4">
        <v>2.0</v>
      </c>
      <c r="D1034" s="3"/>
      <c r="E1034" s="3"/>
      <c r="F1034" s="4">
        <v>9.0</v>
      </c>
      <c r="G1034" s="3"/>
      <c r="H1034" s="3"/>
      <c r="I1034" s="4">
        <v>15.0</v>
      </c>
      <c r="J1034" s="4" t="s">
        <v>1757</v>
      </c>
      <c r="K1034" s="4" t="s">
        <v>1757</v>
      </c>
    </row>
    <row r="1035">
      <c r="A1035" s="4" t="s">
        <v>5567</v>
      </c>
      <c r="B1035" s="13" t="s">
        <v>48</v>
      </c>
      <c r="C1035" s="4">
        <v>2.0</v>
      </c>
      <c r="D1035" s="3"/>
      <c r="E1035" s="3"/>
      <c r="F1035" s="4">
        <v>9.0</v>
      </c>
      <c r="G1035" s="3"/>
      <c r="H1035" s="3"/>
      <c r="I1035" s="4">
        <v>15.0</v>
      </c>
      <c r="J1035" s="4" t="s">
        <v>1757</v>
      </c>
      <c r="K1035" s="4" t="s">
        <v>1757</v>
      </c>
    </row>
    <row r="1036">
      <c r="A1036" s="4" t="s">
        <v>5568</v>
      </c>
      <c r="B1036" s="13" t="s">
        <v>48</v>
      </c>
      <c r="C1036" s="4">
        <v>2.0</v>
      </c>
      <c r="D1036" s="3"/>
      <c r="E1036" s="3"/>
      <c r="F1036" s="4">
        <v>9.0</v>
      </c>
      <c r="G1036" s="3"/>
      <c r="H1036" s="3"/>
      <c r="I1036" s="4">
        <v>15.0</v>
      </c>
      <c r="J1036" s="4" t="s">
        <v>1757</v>
      </c>
    </row>
    <row r="1037">
      <c r="A1037" s="4" t="s">
        <v>5569</v>
      </c>
      <c r="B1037" s="13" t="s">
        <v>48</v>
      </c>
      <c r="C1037" s="4">
        <v>2.0</v>
      </c>
      <c r="D1037" s="3"/>
      <c r="E1037" s="3"/>
      <c r="F1037" s="4">
        <v>9.0</v>
      </c>
      <c r="G1037" s="3"/>
      <c r="H1037" s="3"/>
      <c r="I1037" s="4">
        <v>15.0</v>
      </c>
      <c r="J1037" s="4" t="s">
        <v>1757</v>
      </c>
    </row>
    <row r="1038">
      <c r="A1038" s="4" t="s">
        <v>5570</v>
      </c>
      <c r="B1038" s="13" t="s">
        <v>48</v>
      </c>
      <c r="C1038" s="4">
        <v>2.0</v>
      </c>
      <c r="D1038" s="3"/>
      <c r="E1038" s="3"/>
      <c r="F1038" s="4">
        <v>9.0</v>
      </c>
      <c r="G1038" s="3"/>
      <c r="H1038" s="3"/>
      <c r="I1038" s="4">
        <v>15.0</v>
      </c>
      <c r="J1038" s="4" t="s">
        <v>1757</v>
      </c>
    </row>
    <row r="1039">
      <c r="A1039" s="4" t="s">
        <v>5571</v>
      </c>
      <c r="B1039" s="13" t="s">
        <v>48</v>
      </c>
      <c r="C1039" s="4">
        <v>2.0</v>
      </c>
      <c r="D1039" s="3"/>
      <c r="E1039" s="3"/>
      <c r="F1039" s="4">
        <v>9.0</v>
      </c>
      <c r="G1039" s="3"/>
      <c r="H1039" s="3"/>
      <c r="I1039" s="4">
        <v>15.0</v>
      </c>
      <c r="J1039" s="4" t="s">
        <v>1757</v>
      </c>
    </row>
    <row r="1040">
      <c r="A1040" s="4" t="s">
        <v>5572</v>
      </c>
      <c r="B1040" s="13" t="s">
        <v>48</v>
      </c>
      <c r="C1040" s="4">
        <v>2.0</v>
      </c>
      <c r="D1040" s="3"/>
      <c r="E1040" s="3"/>
      <c r="F1040" s="4">
        <v>9.0</v>
      </c>
      <c r="G1040" s="3"/>
      <c r="H1040" s="3"/>
      <c r="I1040" s="4">
        <v>15.0</v>
      </c>
      <c r="J1040" s="4" t="s">
        <v>1757</v>
      </c>
    </row>
    <row r="1041">
      <c r="A1041" s="4" t="s">
        <v>5573</v>
      </c>
      <c r="B1041" s="13" t="s">
        <v>48</v>
      </c>
      <c r="C1041" s="4">
        <v>1.0</v>
      </c>
      <c r="D1041" s="3"/>
      <c r="E1041" s="3"/>
      <c r="F1041" s="3"/>
      <c r="G1041" s="3"/>
      <c r="H1041" s="3"/>
      <c r="I1041" s="4">
        <v>15.0</v>
      </c>
      <c r="J1041" s="4" t="s">
        <v>1757</v>
      </c>
    </row>
    <row r="1042">
      <c r="A1042" s="4" t="s">
        <v>5574</v>
      </c>
      <c r="B1042" s="13" t="s">
        <v>48</v>
      </c>
      <c r="C1042" s="4">
        <v>1.0</v>
      </c>
      <c r="D1042" s="3"/>
      <c r="E1042" s="3"/>
      <c r="F1042" s="3"/>
      <c r="G1042" s="3"/>
      <c r="H1042" s="3"/>
      <c r="I1042" s="4">
        <v>15.0</v>
      </c>
      <c r="J1042" s="4" t="s">
        <v>1757</v>
      </c>
    </row>
    <row r="1043">
      <c r="A1043" s="4" t="s">
        <v>5575</v>
      </c>
      <c r="B1043" s="13" t="s">
        <v>48</v>
      </c>
      <c r="C1043" s="4">
        <v>1.0</v>
      </c>
      <c r="D1043" s="3"/>
      <c r="E1043" s="3"/>
      <c r="F1043" s="3"/>
      <c r="G1043" s="3"/>
      <c r="H1043" s="3"/>
      <c r="I1043" s="4">
        <v>15.0</v>
      </c>
      <c r="J1043" s="4" t="s">
        <v>1757</v>
      </c>
    </row>
    <row r="1044">
      <c r="A1044" s="4" t="s">
        <v>5576</v>
      </c>
      <c r="B1044" s="13" t="s">
        <v>48</v>
      </c>
      <c r="C1044" s="4">
        <v>1.0</v>
      </c>
      <c r="D1044" s="3"/>
      <c r="E1044" s="3"/>
      <c r="F1044" s="3"/>
      <c r="G1044" s="3"/>
      <c r="H1044" s="3"/>
      <c r="I1044" s="4">
        <v>15.0</v>
      </c>
      <c r="J1044" s="4" t="s">
        <v>1757</v>
      </c>
    </row>
    <row r="1045">
      <c r="A1045" s="4" t="s">
        <v>5577</v>
      </c>
      <c r="B1045" s="13" t="s">
        <v>48</v>
      </c>
      <c r="C1045" s="4">
        <v>1.0</v>
      </c>
      <c r="D1045" s="3"/>
      <c r="E1045" s="3"/>
      <c r="F1045" s="3"/>
      <c r="G1045" s="3"/>
      <c r="H1045" s="3"/>
      <c r="I1045" s="4">
        <v>15.0</v>
      </c>
      <c r="J1045" s="4" t="s">
        <v>1757</v>
      </c>
    </row>
    <row r="1046">
      <c r="A1046" s="4" t="s">
        <v>5578</v>
      </c>
      <c r="B1046" s="13" t="s">
        <v>48</v>
      </c>
      <c r="C1046" s="4">
        <v>1.0</v>
      </c>
      <c r="D1046" s="3"/>
      <c r="E1046" s="3"/>
      <c r="F1046" s="3"/>
      <c r="G1046" s="3"/>
      <c r="H1046" s="3"/>
      <c r="I1046" s="4">
        <v>15.0</v>
      </c>
      <c r="J1046" s="4" t="s">
        <v>1757</v>
      </c>
    </row>
    <row r="1047">
      <c r="A1047" s="4" t="s">
        <v>5579</v>
      </c>
      <c r="B1047" s="13" t="s">
        <v>48</v>
      </c>
      <c r="C1047" s="4">
        <v>1.0</v>
      </c>
      <c r="D1047" s="3"/>
      <c r="E1047" s="3"/>
      <c r="F1047" s="3"/>
      <c r="G1047" s="3"/>
      <c r="H1047" s="3"/>
      <c r="I1047" s="4">
        <v>15.0</v>
      </c>
      <c r="J1047" s="4" t="s">
        <v>1757</v>
      </c>
    </row>
    <row r="1048">
      <c r="A1048" s="4" t="s">
        <v>5580</v>
      </c>
      <c r="B1048" s="13" t="s">
        <v>48</v>
      </c>
      <c r="C1048" s="4">
        <v>1.0</v>
      </c>
      <c r="D1048" s="3"/>
      <c r="E1048" s="3"/>
      <c r="F1048" s="3"/>
      <c r="G1048" s="3"/>
      <c r="H1048" s="3"/>
      <c r="I1048" s="4">
        <v>15.0</v>
      </c>
      <c r="J1048" s="4" t="s">
        <v>1757</v>
      </c>
    </row>
    <row r="1049">
      <c r="A1049" s="4" t="s">
        <v>5581</v>
      </c>
      <c r="B1049" s="13" t="s">
        <v>48</v>
      </c>
      <c r="C1049" s="4">
        <v>1.0</v>
      </c>
      <c r="D1049" s="3"/>
      <c r="E1049" s="3"/>
      <c r="F1049" s="3"/>
      <c r="G1049" s="3"/>
      <c r="H1049" s="3"/>
      <c r="I1049" s="4">
        <v>15.0</v>
      </c>
      <c r="J1049" s="4" t="s">
        <v>1757</v>
      </c>
    </row>
    <row r="1050">
      <c r="A1050" s="4" t="s">
        <v>5582</v>
      </c>
      <c r="B1050" s="13" t="s">
        <v>48</v>
      </c>
      <c r="C1050" s="4">
        <v>1.0</v>
      </c>
      <c r="D1050" s="3"/>
      <c r="E1050" s="3"/>
      <c r="F1050" s="3"/>
      <c r="G1050" s="3"/>
      <c r="H1050" s="3"/>
      <c r="I1050" s="4">
        <v>15.0</v>
      </c>
      <c r="J1050" s="4" t="s">
        <v>1757</v>
      </c>
    </row>
    <row r="1051">
      <c r="A1051" s="4" t="s">
        <v>5583</v>
      </c>
      <c r="B1051" s="13" t="s">
        <v>48</v>
      </c>
      <c r="C1051" s="4">
        <v>2.0</v>
      </c>
      <c r="D1051" s="3"/>
      <c r="E1051" s="3"/>
      <c r="F1051" s="4">
        <v>9.0</v>
      </c>
      <c r="G1051" s="3"/>
      <c r="H1051" s="3"/>
      <c r="I1051" s="4">
        <v>15.0</v>
      </c>
      <c r="J1051" s="4" t="s">
        <v>1757</v>
      </c>
    </row>
    <row r="1052">
      <c r="A1052" s="4" t="s">
        <v>5584</v>
      </c>
      <c r="B1052" s="13" t="s">
        <v>48</v>
      </c>
      <c r="C1052" s="4">
        <v>2.0</v>
      </c>
      <c r="D1052" s="3"/>
      <c r="E1052" s="3"/>
      <c r="F1052" s="4">
        <v>9.0</v>
      </c>
      <c r="G1052" s="3"/>
      <c r="H1052" s="3"/>
      <c r="I1052" s="4">
        <v>15.0</v>
      </c>
      <c r="J1052" s="4" t="s">
        <v>1757</v>
      </c>
    </row>
    <row r="1053">
      <c r="A1053" s="4" t="s">
        <v>5585</v>
      </c>
      <c r="B1053" s="13" t="s">
        <v>48</v>
      </c>
      <c r="C1053" s="4">
        <v>2.0</v>
      </c>
      <c r="D1053" s="3"/>
      <c r="E1053" s="3"/>
      <c r="F1053" s="4">
        <v>9.0</v>
      </c>
      <c r="G1053" s="3"/>
      <c r="H1053" s="3"/>
      <c r="I1053" s="4">
        <v>15.0</v>
      </c>
      <c r="J1053" s="4" t="s">
        <v>1757</v>
      </c>
    </row>
    <row r="1054">
      <c r="A1054" s="4" t="s">
        <v>5586</v>
      </c>
      <c r="B1054" s="13" t="s">
        <v>48</v>
      </c>
      <c r="C1054" s="4">
        <v>1.0</v>
      </c>
      <c r="D1054" s="3"/>
      <c r="E1054" s="3"/>
      <c r="F1054" s="4">
        <v>9.0</v>
      </c>
      <c r="G1054" s="3"/>
      <c r="H1054" s="3"/>
      <c r="I1054" s="3"/>
      <c r="J1054" s="4" t="s">
        <v>1757</v>
      </c>
    </row>
    <row r="1055">
      <c r="A1055" s="4" t="s">
        <v>5587</v>
      </c>
      <c r="B1055" s="13" t="s">
        <v>48</v>
      </c>
      <c r="C1055" s="4">
        <v>1.0</v>
      </c>
      <c r="D1055" s="3"/>
      <c r="E1055" s="3"/>
      <c r="F1055" s="4">
        <v>9.0</v>
      </c>
      <c r="G1055" s="3"/>
      <c r="H1055" s="3"/>
      <c r="I1055" s="3"/>
      <c r="J1055" s="4" t="s">
        <v>1757</v>
      </c>
    </row>
    <row r="1056">
      <c r="A1056" s="4" t="s">
        <v>5588</v>
      </c>
      <c r="B1056" s="13" t="s">
        <v>48</v>
      </c>
      <c r="C1056" s="4">
        <v>1.0</v>
      </c>
      <c r="D1056" s="3"/>
      <c r="E1056" s="3"/>
      <c r="F1056" s="4">
        <v>9.0</v>
      </c>
      <c r="G1056" s="3"/>
      <c r="H1056" s="3"/>
      <c r="I1056" s="3"/>
      <c r="J1056" s="4" t="s">
        <v>1757</v>
      </c>
    </row>
    <row r="1057">
      <c r="A1057" s="4" t="s">
        <v>5589</v>
      </c>
      <c r="B1057" s="13" t="s">
        <v>43</v>
      </c>
      <c r="D1057" s="3"/>
      <c r="E1057" s="3"/>
      <c r="F1057" s="3"/>
      <c r="G1057" s="3"/>
      <c r="H1057" s="3"/>
      <c r="I1057" s="3"/>
      <c r="J1057" s="4" t="s">
        <v>1757</v>
      </c>
    </row>
    <row r="1058">
      <c r="A1058" s="4" t="s">
        <v>5590</v>
      </c>
      <c r="B1058" s="13" t="s">
        <v>43</v>
      </c>
      <c r="D1058" s="3"/>
      <c r="E1058" s="3"/>
      <c r="F1058" s="3"/>
      <c r="G1058" s="3"/>
      <c r="H1058" s="3"/>
      <c r="I1058" s="3"/>
      <c r="J1058" s="4" t="s">
        <v>1757</v>
      </c>
    </row>
    <row r="1059">
      <c r="A1059" s="4" t="s">
        <v>5591</v>
      </c>
      <c r="B1059" s="13" t="s">
        <v>43</v>
      </c>
      <c r="D1059" s="3"/>
      <c r="E1059" s="3"/>
      <c r="F1059" s="3"/>
      <c r="G1059" s="3"/>
      <c r="H1059" s="3"/>
      <c r="I1059" s="3"/>
      <c r="J1059" s="4" t="s">
        <v>1757</v>
      </c>
    </row>
    <row r="1060">
      <c r="A1060" s="4" t="s">
        <v>5592</v>
      </c>
      <c r="B1060" s="13" t="s">
        <v>43</v>
      </c>
      <c r="D1060" s="3"/>
      <c r="E1060" s="3"/>
      <c r="F1060" s="3"/>
      <c r="G1060" s="3"/>
      <c r="H1060" s="3"/>
      <c r="I1060" s="3"/>
      <c r="J1060" s="4" t="s">
        <v>1757</v>
      </c>
    </row>
    <row r="1061">
      <c r="A1061" s="4" t="s">
        <v>5593</v>
      </c>
      <c r="B1061" s="13" t="s">
        <v>43</v>
      </c>
      <c r="D1061" s="3"/>
      <c r="E1061" s="3"/>
      <c r="F1061" s="3"/>
      <c r="G1061" s="3"/>
      <c r="H1061" s="3"/>
      <c r="I1061" s="3"/>
      <c r="J1061" s="4" t="s">
        <v>1757</v>
      </c>
    </row>
    <row r="1062">
      <c r="A1062" s="4" t="s">
        <v>5594</v>
      </c>
      <c r="B1062" s="13" t="s">
        <v>43</v>
      </c>
      <c r="D1062" s="3"/>
      <c r="E1062" s="3"/>
      <c r="F1062" s="3"/>
      <c r="G1062" s="3"/>
      <c r="H1062" s="3"/>
      <c r="I1062" s="3"/>
      <c r="J1062" s="4" t="s">
        <v>1757</v>
      </c>
    </row>
    <row r="1063">
      <c r="A1063" s="4" t="s">
        <v>5595</v>
      </c>
      <c r="B1063" s="13" t="s">
        <v>43</v>
      </c>
      <c r="D1063" s="3"/>
      <c r="E1063" s="3"/>
      <c r="F1063" s="3"/>
      <c r="G1063" s="3"/>
      <c r="H1063" s="3"/>
      <c r="I1063" s="3"/>
      <c r="J1063" s="4" t="s">
        <v>1757</v>
      </c>
    </row>
    <row r="1064">
      <c r="A1064" s="4" t="s">
        <v>5596</v>
      </c>
      <c r="B1064" s="13" t="s">
        <v>43</v>
      </c>
      <c r="D1064" s="3"/>
      <c r="E1064" s="3"/>
      <c r="F1064" s="3"/>
      <c r="G1064" s="3"/>
      <c r="H1064" s="3"/>
      <c r="I1064" s="3"/>
      <c r="J1064" s="4" t="s">
        <v>1757</v>
      </c>
    </row>
    <row r="1065">
      <c r="A1065" s="4" t="s">
        <v>5597</v>
      </c>
      <c r="B1065" s="13" t="s">
        <v>43</v>
      </c>
      <c r="D1065" s="3"/>
      <c r="E1065" s="3"/>
      <c r="F1065" s="3"/>
      <c r="G1065" s="3"/>
      <c r="H1065" s="3"/>
      <c r="I1065" s="3"/>
      <c r="J1065" s="4" t="s">
        <v>1757</v>
      </c>
    </row>
    <row r="1066">
      <c r="A1066" s="4" t="s">
        <v>5598</v>
      </c>
      <c r="B1066" s="13" t="s">
        <v>43</v>
      </c>
      <c r="D1066" s="3"/>
      <c r="E1066" s="3"/>
      <c r="F1066" s="3"/>
      <c r="G1066" s="3"/>
      <c r="H1066" s="3"/>
      <c r="I1066" s="3"/>
      <c r="J1066" s="4" t="s">
        <v>1757</v>
      </c>
    </row>
    <row r="1067">
      <c r="A1067" s="4" t="s">
        <v>5599</v>
      </c>
      <c r="B1067" s="13" t="s">
        <v>43</v>
      </c>
      <c r="D1067" s="3"/>
      <c r="E1067" s="3"/>
      <c r="F1067" s="3"/>
      <c r="G1067" s="3"/>
      <c r="H1067" s="3"/>
      <c r="I1067" s="3"/>
      <c r="J1067" s="4" t="s">
        <v>1757</v>
      </c>
    </row>
    <row r="1068">
      <c r="A1068" s="4" t="s">
        <v>5600</v>
      </c>
      <c r="B1068" s="13" t="s">
        <v>43</v>
      </c>
      <c r="D1068" s="3"/>
      <c r="E1068" s="3"/>
      <c r="F1068" s="3"/>
      <c r="G1068" s="3"/>
      <c r="H1068" s="3"/>
      <c r="I1068" s="3"/>
      <c r="J1068" s="4" t="s">
        <v>1757</v>
      </c>
    </row>
    <row r="1069">
      <c r="A1069" s="4" t="s">
        <v>5601</v>
      </c>
      <c r="B1069" s="13" t="s">
        <v>43</v>
      </c>
      <c r="D1069" s="3"/>
      <c r="E1069" s="3"/>
      <c r="F1069" s="3"/>
      <c r="G1069" s="3"/>
      <c r="H1069" s="3"/>
      <c r="I1069" s="3"/>
      <c r="J1069" s="4" t="s">
        <v>1757</v>
      </c>
    </row>
    <row r="1070">
      <c r="A1070" s="4" t="s">
        <v>5602</v>
      </c>
      <c r="B1070" s="13" t="s">
        <v>43</v>
      </c>
      <c r="D1070" s="3"/>
      <c r="E1070" s="3"/>
      <c r="F1070" s="3"/>
      <c r="G1070" s="3"/>
      <c r="H1070" s="3"/>
      <c r="I1070" s="3"/>
      <c r="J1070" s="4" t="s">
        <v>1757</v>
      </c>
    </row>
    <row r="1071">
      <c r="A1071" s="4" t="s">
        <v>5603</v>
      </c>
      <c r="B1071" s="13" t="s">
        <v>43</v>
      </c>
      <c r="D1071" s="3"/>
      <c r="E1071" s="3"/>
      <c r="F1071" s="3"/>
      <c r="G1071" s="3"/>
      <c r="H1071" s="3"/>
      <c r="I1071" s="3"/>
      <c r="J1071" s="4" t="s">
        <v>1757</v>
      </c>
    </row>
    <row r="1072">
      <c r="A1072" s="4" t="s">
        <v>5604</v>
      </c>
      <c r="B1072" s="13" t="s">
        <v>43</v>
      </c>
      <c r="D1072" s="3"/>
      <c r="E1072" s="3"/>
      <c r="F1072" s="3"/>
      <c r="G1072" s="3"/>
      <c r="H1072" s="3"/>
      <c r="I1072" s="3"/>
      <c r="J1072" s="4" t="s">
        <v>1757</v>
      </c>
    </row>
    <row r="1073">
      <c r="A1073" s="4" t="s">
        <v>5605</v>
      </c>
      <c r="B1073" s="13" t="s">
        <v>43</v>
      </c>
      <c r="D1073" s="3"/>
      <c r="E1073" s="3"/>
      <c r="F1073" s="3"/>
      <c r="G1073" s="3"/>
      <c r="H1073" s="3"/>
      <c r="I1073" s="3"/>
      <c r="J1073" s="4" t="s">
        <v>1757</v>
      </c>
    </row>
    <row r="1074">
      <c r="A1074" s="4" t="s">
        <v>5606</v>
      </c>
      <c r="B1074" s="13" t="s">
        <v>43</v>
      </c>
      <c r="D1074" s="3"/>
      <c r="E1074" s="3"/>
      <c r="F1074" s="3"/>
      <c r="G1074" s="3"/>
      <c r="H1074" s="3"/>
      <c r="I1074" s="3"/>
      <c r="J1074" s="4" t="s">
        <v>1757</v>
      </c>
    </row>
    <row r="1075">
      <c r="A1075" s="4" t="s">
        <v>5607</v>
      </c>
      <c r="B1075" s="13" t="s">
        <v>43</v>
      </c>
      <c r="D1075" s="3"/>
      <c r="E1075" s="3"/>
      <c r="F1075" s="3"/>
      <c r="G1075" s="3"/>
      <c r="H1075" s="3"/>
      <c r="I1075" s="3"/>
      <c r="J1075" s="4" t="s">
        <v>1757</v>
      </c>
    </row>
    <row r="1076">
      <c r="A1076" s="4" t="s">
        <v>5608</v>
      </c>
      <c r="B1076" s="13" t="s">
        <v>43</v>
      </c>
      <c r="D1076" s="3"/>
      <c r="E1076" s="3"/>
      <c r="F1076" s="3"/>
      <c r="G1076" s="3"/>
      <c r="H1076" s="3"/>
      <c r="I1076" s="3"/>
      <c r="J1076" s="4" t="s">
        <v>1757</v>
      </c>
    </row>
    <row r="1077">
      <c r="A1077" s="4" t="s">
        <v>5609</v>
      </c>
      <c r="B1077" s="13" t="s">
        <v>43</v>
      </c>
      <c r="D1077" s="3"/>
      <c r="E1077" s="3"/>
      <c r="F1077" s="3"/>
      <c r="G1077" s="3"/>
      <c r="H1077" s="3"/>
      <c r="I1077" s="3"/>
      <c r="J1077" s="4" t="s">
        <v>1757</v>
      </c>
    </row>
    <row r="1078">
      <c r="A1078" s="4" t="s">
        <v>5610</v>
      </c>
      <c r="B1078" s="13" t="s">
        <v>43</v>
      </c>
      <c r="D1078" s="3"/>
      <c r="E1078" s="3"/>
      <c r="F1078" s="3"/>
      <c r="G1078" s="3"/>
      <c r="H1078" s="3"/>
      <c r="I1078" s="3"/>
    </row>
    <row r="1079">
      <c r="A1079" s="4" t="s">
        <v>5611</v>
      </c>
      <c r="B1079" s="13" t="s">
        <v>43</v>
      </c>
      <c r="D1079" s="3"/>
      <c r="E1079" s="3"/>
      <c r="F1079" s="3"/>
      <c r="G1079" s="3"/>
      <c r="H1079" s="3"/>
      <c r="I1079" s="3"/>
    </row>
    <row r="1080">
      <c r="A1080" s="4" t="s">
        <v>5612</v>
      </c>
      <c r="B1080" s="13" t="s">
        <v>43</v>
      </c>
      <c r="D1080" s="3"/>
      <c r="E1080" s="3"/>
      <c r="F1080" s="3"/>
      <c r="G1080" s="3"/>
      <c r="H1080" s="3"/>
      <c r="I1080" s="3"/>
    </row>
    <row r="1081">
      <c r="A1081" s="4" t="s">
        <v>5613</v>
      </c>
      <c r="B1081" s="13" t="s">
        <v>43</v>
      </c>
      <c r="D1081" s="3"/>
      <c r="E1081" s="3"/>
      <c r="F1081" s="3"/>
      <c r="G1081" s="3"/>
      <c r="H1081" s="3"/>
      <c r="I1081" s="3"/>
    </row>
    <row r="1082">
      <c r="A1082" s="4" t="s">
        <v>5614</v>
      </c>
      <c r="B1082" s="13" t="s">
        <v>43</v>
      </c>
      <c r="D1082" s="3"/>
      <c r="E1082" s="3"/>
      <c r="F1082" s="3"/>
      <c r="G1082" s="3"/>
      <c r="H1082" s="3"/>
      <c r="I1082" s="3"/>
    </row>
    <row r="1083">
      <c r="A1083" s="4" t="s">
        <v>5615</v>
      </c>
      <c r="B1083" s="13" t="s">
        <v>43</v>
      </c>
      <c r="D1083" s="3"/>
      <c r="E1083" s="3"/>
      <c r="F1083" s="3"/>
      <c r="G1083" s="3"/>
      <c r="H1083" s="3"/>
      <c r="I1083" s="3"/>
    </row>
    <row r="1084">
      <c r="A1084" s="4" t="s">
        <v>5616</v>
      </c>
      <c r="B1084" s="13" t="s">
        <v>43</v>
      </c>
      <c r="D1084" s="3"/>
      <c r="E1084" s="3"/>
      <c r="F1084" s="3"/>
      <c r="G1084" s="3"/>
      <c r="H1084" s="3"/>
      <c r="I1084" s="3"/>
    </row>
    <row r="1085">
      <c r="A1085" s="4" t="s">
        <v>5617</v>
      </c>
      <c r="B1085" s="13" t="s">
        <v>43</v>
      </c>
      <c r="D1085" s="3"/>
      <c r="E1085" s="3"/>
      <c r="F1085" s="3"/>
      <c r="G1085" s="3"/>
      <c r="H1085" s="3"/>
      <c r="I1085" s="3"/>
    </row>
    <row r="1086">
      <c r="A1086" s="4" t="s">
        <v>5618</v>
      </c>
      <c r="B1086" s="13" t="s">
        <v>43</v>
      </c>
      <c r="D1086" s="3"/>
      <c r="E1086" s="3"/>
      <c r="F1086" s="3"/>
      <c r="G1086" s="3"/>
      <c r="H1086" s="3"/>
      <c r="I1086" s="3"/>
    </row>
    <row r="1087">
      <c r="A1087" s="4" t="s">
        <v>5619</v>
      </c>
      <c r="B1087" s="13" t="s">
        <v>43</v>
      </c>
      <c r="D1087" s="3"/>
      <c r="E1087" s="3"/>
      <c r="F1087" s="3"/>
      <c r="G1087" s="3"/>
      <c r="H1087" s="3"/>
      <c r="I1087" s="3"/>
    </row>
    <row r="1088">
      <c r="A1088" s="4" t="s">
        <v>5620</v>
      </c>
      <c r="B1088" s="13" t="s">
        <v>43</v>
      </c>
      <c r="D1088" s="3"/>
      <c r="E1088" s="3"/>
      <c r="F1088" s="3"/>
      <c r="G1088" s="3"/>
      <c r="H1088" s="3"/>
      <c r="I1088" s="3"/>
    </row>
    <row r="1089">
      <c r="A1089" s="4" t="s">
        <v>5621</v>
      </c>
      <c r="B1089" s="13" t="s">
        <v>43</v>
      </c>
      <c r="D1089" s="3"/>
      <c r="E1089" s="3"/>
      <c r="F1089" s="3"/>
      <c r="G1089" s="3"/>
      <c r="H1089" s="3"/>
      <c r="I1089" s="3"/>
    </row>
    <row r="1090">
      <c r="A1090" s="4" t="s">
        <v>5622</v>
      </c>
      <c r="B1090" s="13" t="s">
        <v>43</v>
      </c>
      <c r="D1090" s="3"/>
      <c r="E1090" s="3"/>
      <c r="F1090" s="3"/>
      <c r="G1090" s="3"/>
      <c r="H1090" s="3"/>
      <c r="I1090" s="3"/>
    </row>
    <row r="1091">
      <c r="A1091" s="4" t="s">
        <v>5623</v>
      </c>
      <c r="B1091" s="13" t="s">
        <v>43</v>
      </c>
      <c r="D1091" s="3"/>
      <c r="E1091" s="3"/>
      <c r="F1091" s="3"/>
      <c r="G1091" s="3"/>
      <c r="H1091" s="3"/>
      <c r="I1091" s="3"/>
    </row>
    <row r="1092">
      <c r="A1092" s="4" t="s">
        <v>5624</v>
      </c>
      <c r="B1092" s="13" t="s">
        <v>43</v>
      </c>
      <c r="D1092" s="3"/>
      <c r="E1092" s="3"/>
      <c r="F1092" s="3"/>
      <c r="G1092" s="3"/>
      <c r="H1092" s="3"/>
      <c r="I1092" s="3"/>
    </row>
    <row r="1093">
      <c r="A1093" s="4" t="s">
        <v>5625</v>
      </c>
      <c r="B1093" s="13" t="s">
        <v>43</v>
      </c>
      <c r="D1093" s="3"/>
      <c r="E1093" s="3"/>
      <c r="F1093" s="3"/>
      <c r="G1093" s="3"/>
      <c r="H1093" s="3"/>
      <c r="I1093" s="3"/>
    </row>
    <row r="1094">
      <c r="A1094" s="4" t="s">
        <v>5626</v>
      </c>
      <c r="B1094" s="13" t="s">
        <v>43</v>
      </c>
      <c r="D1094" s="3"/>
      <c r="E1094" s="3"/>
      <c r="F1094" s="3"/>
      <c r="G1094" s="3"/>
      <c r="H1094" s="3"/>
      <c r="I1094" s="3"/>
    </row>
    <row r="1095">
      <c r="A1095" s="4" t="s">
        <v>5627</v>
      </c>
      <c r="B1095" s="13" t="s">
        <v>43</v>
      </c>
      <c r="D1095" s="3"/>
      <c r="E1095" s="3"/>
      <c r="F1095" s="3"/>
      <c r="G1095" s="3"/>
      <c r="H1095" s="3"/>
      <c r="I1095" s="3"/>
    </row>
    <row r="1096">
      <c r="A1096" s="4" t="s">
        <v>5628</v>
      </c>
      <c r="B1096" s="13" t="s">
        <v>43</v>
      </c>
      <c r="D1096" s="3"/>
      <c r="E1096" s="3"/>
      <c r="F1096" s="3"/>
      <c r="G1096" s="3"/>
      <c r="H1096" s="3"/>
      <c r="I1096" s="3"/>
    </row>
    <row r="1097">
      <c r="A1097" s="4" t="s">
        <v>5629</v>
      </c>
      <c r="B1097" s="13" t="s">
        <v>43</v>
      </c>
      <c r="D1097" s="3"/>
      <c r="E1097" s="3"/>
      <c r="F1097" s="3"/>
      <c r="G1097" s="3"/>
      <c r="H1097" s="3"/>
      <c r="I1097" s="3"/>
    </row>
    <row r="1098">
      <c r="A1098" s="4" t="s">
        <v>5630</v>
      </c>
      <c r="B1098" s="13" t="s">
        <v>43</v>
      </c>
      <c r="D1098" s="3"/>
      <c r="E1098" s="3"/>
      <c r="F1098" s="3"/>
      <c r="G1098" s="3"/>
      <c r="H1098" s="3"/>
      <c r="I1098" s="3"/>
    </row>
    <row r="1099">
      <c r="A1099" s="4" t="s">
        <v>5631</v>
      </c>
      <c r="B1099" s="13" t="s">
        <v>43</v>
      </c>
      <c r="D1099" s="3"/>
      <c r="E1099" s="3"/>
      <c r="F1099" s="3"/>
      <c r="G1099" s="3"/>
      <c r="H1099" s="3"/>
      <c r="I1099" s="3"/>
    </row>
    <row r="1100">
      <c r="A1100" s="4" t="s">
        <v>5632</v>
      </c>
      <c r="B1100" s="13" t="s">
        <v>43</v>
      </c>
      <c r="D1100" s="3"/>
      <c r="E1100" s="3"/>
      <c r="F1100" s="3"/>
      <c r="G1100" s="3"/>
      <c r="H1100" s="3"/>
      <c r="I1100" s="3"/>
    </row>
    <row r="1101">
      <c r="A1101" s="4" t="s">
        <v>5633</v>
      </c>
      <c r="B1101" s="13" t="s">
        <v>43</v>
      </c>
      <c r="D1101" s="3"/>
      <c r="E1101" s="3"/>
      <c r="F1101" s="3"/>
      <c r="G1101" s="3"/>
      <c r="H1101" s="3"/>
      <c r="I1101" s="3"/>
    </row>
    <row r="1102">
      <c r="A1102" s="4" t="s">
        <v>5634</v>
      </c>
      <c r="B1102" s="13" t="s">
        <v>43</v>
      </c>
      <c r="D1102" s="3"/>
      <c r="E1102" s="3"/>
      <c r="F1102" s="3"/>
      <c r="G1102" s="3"/>
      <c r="H1102" s="3"/>
      <c r="I1102" s="3"/>
    </row>
    <row r="1103">
      <c r="A1103" s="4" t="s">
        <v>5635</v>
      </c>
      <c r="B1103" s="13" t="s">
        <v>43</v>
      </c>
      <c r="D1103" s="3"/>
      <c r="E1103" s="3"/>
      <c r="F1103" s="3"/>
      <c r="G1103" s="3"/>
      <c r="H1103" s="3"/>
      <c r="I1103" s="3"/>
    </row>
    <row r="1104">
      <c r="A1104" s="4" t="s">
        <v>5636</v>
      </c>
      <c r="B1104" s="13" t="s">
        <v>43</v>
      </c>
      <c r="D1104" s="3"/>
      <c r="E1104" s="3"/>
      <c r="F1104" s="3"/>
      <c r="G1104" s="3"/>
      <c r="H1104" s="3"/>
      <c r="I1104" s="3"/>
    </row>
    <row r="1105">
      <c r="A1105" s="4" t="s">
        <v>5637</v>
      </c>
      <c r="B1105" s="13" t="s">
        <v>43</v>
      </c>
      <c r="D1105" s="3"/>
      <c r="E1105" s="3"/>
      <c r="F1105" s="3"/>
      <c r="G1105" s="3"/>
      <c r="H1105" s="3"/>
      <c r="I1105" s="3"/>
    </row>
    <row r="1106">
      <c r="A1106" s="4" t="s">
        <v>5638</v>
      </c>
      <c r="B1106" s="13" t="s">
        <v>43</v>
      </c>
      <c r="D1106" s="3"/>
      <c r="E1106" s="3"/>
      <c r="F1106" s="3"/>
      <c r="G1106" s="3"/>
      <c r="H1106" s="3"/>
      <c r="I1106" s="3"/>
    </row>
    <row r="1107">
      <c r="A1107" s="4" t="s">
        <v>5639</v>
      </c>
      <c r="B1107" s="13" t="s">
        <v>43</v>
      </c>
      <c r="D1107" s="3"/>
      <c r="E1107" s="3"/>
      <c r="F1107" s="3"/>
      <c r="G1107" s="3"/>
      <c r="H1107" s="3"/>
      <c r="I1107" s="3"/>
    </row>
    <row r="1108">
      <c r="A1108" s="4" t="s">
        <v>5640</v>
      </c>
      <c r="B1108" s="13" t="s">
        <v>43</v>
      </c>
      <c r="D1108" s="3"/>
      <c r="E1108" s="3"/>
      <c r="F1108" s="3"/>
      <c r="G1108" s="3"/>
      <c r="H1108" s="3"/>
      <c r="I1108" s="3"/>
    </row>
    <row r="1109">
      <c r="A1109" s="4" t="s">
        <v>5641</v>
      </c>
      <c r="B1109" s="13" t="s">
        <v>43</v>
      </c>
      <c r="D1109" s="3"/>
      <c r="E1109" s="3"/>
      <c r="F1109" s="3"/>
      <c r="G1109" s="3"/>
      <c r="H1109" s="3"/>
      <c r="I1109" s="3"/>
    </row>
    <row r="1110">
      <c r="A1110" s="4" t="s">
        <v>5642</v>
      </c>
      <c r="B1110" s="13" t="s">
        <v>43</v>
      </c>
      <c r="D1110" s="3"/>
      <c r="E1110" s="3"/>
      <c r="F1110" s="3"/>
      <c r="G1110" s="3"/>
      <c r="H1110" s="3"/>
      <c r="I1110" s="3"/>
    </row>
    <row r="1111">
      <c r="A1111" s="4" t="s">
        <v>5643</v>
      </c>
      <c r="B1111" s="13" t="s">
        <v>43</v>
      </c>
      <c r="D1111" s="3"/>
      <c r="E1111" s="3"/>
      <c r="F1111" s="3"/>
      <c r="G1111" s="3"/>
      <c r="H1111" s="3"/>
      <c r="I1111" s="3"/>
    </row>
    <row r="1112">
      <c r="A1112" s="4" t="s">
        <v>5644</v>
      </c>
      <c r="B1112" s="13" t="s">
        <v>43</v>
      </c>
      <c r="D1112" s="3"/>
      <c r="E1112" s="3"/>
      <c r="F1112" s="3"/>
      <c r="G1112" s="3"/>
      <c r="H1112" s="3"/>
      <c r="I1112" s="3"/>
    </row>
    <row r="1113">
      <c r="A1113" s="4" t="s">
        <v>5645</v>
      </c>
      <c r="B1113" s="13" t="s">
        <v>43</v>
      </c>
      <c r="D1113" s="3"/>
      <c r="E1113" s="3"/>
      <c r="F1113" s="3"/>
      <c r="G1113" s="3"/>
      <c r="H1113" s="3"/>
      <c r="I1113" s="3"/>
    </row>
    <row r="1114">
      <c r="A1114" s="4" t="s">
        <v>5646</v>
      </c>
      <c r="B1114" s="13" t="s">
        <v>43</v>
      </c>
      <c r="D1114" s="3"/>
      <c r="E1114" s="3"/>
      <c r="F1114" s="3"/>
      <c r="G1114" s="3"/>
      <c r="H1114" s="3"/>
      <c r="I1114" s="3"/>
    </row>
    <row r="1115">
      <c r="A1115" s="4" t="s">
        <v>5647</v>
      </c>
      <c r="B1115" s="13" t="s">
        <v>43</v>
      </c>
      <c r="D1115" s="3"/>
      <c r="E1115" s="3"/>
      <c r="F1115" s="3"/>
      <c r="G1115" s="3"/>
      <c r="H1115" s="3"/>
      <c r="I1115" s="3"/>
    </row>
    <row r="1116">
      <c r="A1116" s="4" t="s">
        <v>5648</v>
      </c>
      <c r="B1116" s="13" t="s">
        <v>43</v>
      </c>
      <c r="D1116" s="3"/>
      <c r="E1116" s="3"/>
      <c r="F1116" s="3"/>
      <c r="G1116" s="3"/>
      <c r="H1116" s="3"/>
      <c r="I1116" s="3"/>
    </row>
    <row r="1117">
      <c r="A1117" s="4" t="s">
        <v>5649</v>
      </c>
      <c r="B1117" s="13" t="s">
        <v>43</v>
      </c>
      <c r="D1117" s="3"/>
      <c r="E1117" s="3"/>
      <c r="F1117" s="3"/>
      <c r="G1117" s="3"/>
      <c r="H1117" s="3"/>
      <c r="I1117" s="3"/>
    </row>
    <row r="1118">
      <c r="A1118" s="4" t="s">
        <v>5650</v>
      </c>
      <c r="B1118" s="13" t="s">
        <v>43</v>
      </c>
      <c r="D1118" s="3"/>
      <c r="E1118" s="3"/>
      <c r="F1118" s="3"/>
      <c r="G1118" s="3"/>
      <c r="H1118" s="3"/>
      <c r="I1118" s="3"/>
    </row>
    <row r="1119">
      <c r="A1119" s="4" t="s">
        <v>5651</v>
      </c>
      <c r="B1119" s="13" t="s">
        <v>43</v>
      </c>
      <c r="D1119" s="3"/>
      <c r="E1119" s="3"/>
      <c r="F1119" s="3"/>
      <c r="G1119" s="3"/>
      <c r="H1119" s="3"/>
      <c r="I1119" s="3"/>
    </row>
    <row r="1120">
      <c r="A1120" s="4" t="s">
        <v>5652</v>
      </c>
      <c r="B1120" s="13" t="s">
        <v>43</v>
      </c>
      <c r="D1120" s="3"/>
      <c r="E1120" s="3"/>
      <c r="F1120" s="3"/>
      <c r="G1120" s="3"/>
      <c r="H1120" s="3"/>
      <c r="I1120" s="3"/>
    </row>
    <row r="1121">
      <c r="A1121" s="4" t="s">
        <v>5653</v>
      </c>
      <c r="B1121" s="13" t="s">
        <v>43</v>
      </c>
      <c r="D1121" s="3"/>
      <c r="E1121" s="3"/>
      <c r="F1121" s="3"/>
      <c r="G1121" s="3"/>
      <c r="H1121" s="3"/>
      <c r="I1121" s="3"/>
    </row>
    <row r="1122">
      <c r="A1122" s="4" t="s">
        <v>5654</v>
      </c>
      <c r="B1122" s="13" t="s">
        <v>43</v>
      </c>
      <c r="D1122" s="3"/>
      <c r="E1122" s="3"/>
      <c r="F1122" s="3"/>
      <c r="G1122" s="3"/>
      <c r="H1122" s="3"/>
      <c r="I1122" s="3"/>
    </row>
    <row r="1123">
      <c r="A1123" s="4" t="s">
        <v>5655</v>
      </c>
      <c r="B1123" s="13" t="s">
        <v>43</v>
      </c>
      <c r="D1123" s="3"/>
      <c r="E1123" s="3"/>
      <c r="F1123" s="3"/>
      <c r="G1123" s="3"/>
      <c r="H1123" s="3"/>
      <c r="I1123" s="3"/>
    </row>
    <row r="1124">
      <c r="A1124" s="4" t="s">
        <v>5656</v>
      </c>
      <c r="B1124" s="13" t="s">
        <v>43</v>
      </c>
      <c r="D1124" s="3"/>
      <c r="E1124" s="3"/>
      <c r="F1124" s="3"/>
      <c r="G1124" s="3"/>
      <c r="H1124" s="3"/>
      <c r="I1124" s="3"/>
    </row>
    <row r="1125">
      <c r="A1125" s="4" t="s">
        <v>5657</v>
      </c>
      <c r="B1125" s="13" t="s">
        <v>43</v>
      </c>
      <c r="D1125" s="3"/>
      <c r="E1125" s="3"/>
      <c r="F1125" s="3"/>
      <c r="G1125" s="3"/>
      <c r="H1125" s="3"/>
      <c r="I1125" s="3"/>
    </row>
    <row r="1126">
      <c r="A1126" s="4" t="s">
        <v>5658</v>
      </c>
      <c r="B1126" s="13" t="s">
        <v>43</v>
      </c>
      <c r="D1126" s="3"/>
      <c r="E1126" s="3"/>
      <c r="F1126" s="3"/>
      <c r="G1126" s="3"/>
      <c r="H1126" s="3"/>
      <c r="I1126" s="3"/>
    </row>
    <row r="1127">
      <c r="A1127" s="4" t="s">
        <v>5659</v>
      </c>
      <c r="B1127" s="13" t="s">
        <v>43</v>
      </c>
      <c r="D1127" s="3"/>
      <c r="E1127" s="3"/>
      <c r="F1127" s="3"/>
      <c r="G1127" s="3"/>
      <c r="H1127" s="3"/>
      <c r="I1127" s="3"/>
    </row>
    <row r="1128">
      <c r="A1128" s="4" t="s">
        <v>5660</v>
      </c>
      <c r="B1128" s="13" t="s">
        <v>43</v>
      </c>
      <c r="D1128" s="3"/>
      <c r="E1128" s="3"/>
      <c r="F1128" s="3"/>
      <c r="G1128" s="3"/>
      <c r="H1128" s="3"/>
      <c r="I1128" s="3"/>
    </row>
    <row r="1129">
      <c r="A1129" s="4" t="s">
        <v>5661</v>
      </c>
      <c r="B1129" s="13" t="s">
        <v>43</v>
      </c>
      <c r="D1129" s="3"/>
      <c r="E1129" s="3"/>
      <c r="F1129" s="3"/>
      <c r="G1129" s="3"/>
      <c r="H1129" s="3"/>
      <c r="I1129" s="3"/>
    </row>
    <row r="1130">
      <c r="A1130" s="4" t="s">
        <v>5662</v>
      </c>
      <c r="B1130" s="13" t="s">
        <v>43</v>
      </c>
      <c r="D1130" s="3"/>
      <c r="E1130" s="3"/>
      <c r="F1130" s="3"/>
      <c r="G1130" s="3"/>
      <c r="H1130" s="3"/>
      <c r="I1130" s="3"/>
    </row>
    <row r="1131">
      <c r="A1131" s="4" t="s">
        <v>5663</v>
      </c>
      <c r="B1131" s="13" t="s">
        <v>43</v>
      </c>
      <c r="D1131" s="3"/>
      <c r="E1131" s="3"/>
      <c r="F1131" s="3"/>
      <c r="G1131" s="3"/>
      <c r="H1131" s="3"/>
      <c r="I1131" s="3"/>
    </row>
    <row r="1132">
      <c r="A1132" s="4" t="s">
        <v>5664</v>
      </c>
      <c r="B1132" s="13" t="s">
        <v>43</v>
      </c>
      <c r="D1132" s="3"/>
      <c r="E1132" s="3"/>
      <c r="F1132" s="3"/>
      <c r="G1132" s="3"/>
      <c r="H1132" s="3"/>
      <c r="I1132" s="3"/>
    </row>
    <row r="1133">
      <c r="A1133" s="4" t="s">
        <v>5665</v>
      </c>
      <c r="B1133" s="13" t="s">
        <v>43</v>
      </c>
      <c r="D1133" s="3"/>
      <c r="E1133" s="3"/>
      <c r="F1133" s="3"/>
      <c r="G1133" s="3"/>
      <c r="H1133" s="3"/>
      <c r="I1133" s="3"/>
    </row>
    <row r="1134">
      <c r="A1134" s="4" t="s">
        <v>5666</v>
      </c>
      <c r="B1134" s="13" t="s">
        <v>43</v>
      </c>
      <c r="D1134" s="3"/>
      <c r="E1134" s="3"/>
      <c r="F1134" s="3"/>
      <c r="G1134" s="3"/>
      <c r="H1134" s="3"/>
      <c r="I1134" s="3"/>
    </row>
    <row r="1135">
      <c r="A1135" s="4" t="s">
        <v>5667</v>
      </c>
      <c r="B1135" s="13" t="s">
        <v>43</v>
      </c>
      <c r="D1135" s="3"/>
      <c r="E1135" s="3"/>
      <c r="F1135" s="3"/>
      <c r="G1135" s="3"/>
      <c r="H1135" s="3"/>
      <c r="I1135" s="3"/>
    </row>
    <row r="1136">
      <c r="A1136" s="4" t="s">
        <v>5668</v>
      </c>
      <c r="B1136" s="13" t="s">
        <v>48</v>
      </c>
      <c r="C1136" s="4">
        <v>1.0</v>
      </c>
      <c r="D1136" s="3"/>
      <c r="E1136" s="3"/>
      <c r="F1136" s="3"/>
      <c r="G1136" s="4">
        <v>10.0</v>
      </c>
      <c r="H1136" s="3"/>
      <c r="I1136" s="3"/>
    </row>
    <row r="1137">
      <c r="A1137" s="4" t="s">
        <v>5669</v>
      </c>
      <c r="B1137" s="13" t="s">
        <v>48</v>
      </c>
      <c r="C1137" s="4">
        <v>1.0</v>
      </c>
      <c r="D1137" s="3"/>
      <c r="E1137" s="3"/>
      <c r="F1137" s="3"/>
      <c r="G1137" s="4">
        <v>10.0</v>
      </c>
      <c r="H1137" s="3"/>
      <c r="I1137" s="3"/>
    </row>
    <row r="1138">
      <c r="A1138" s="4" t="s">
        <v>5670</v>
      </c>
      <c r="B1138" s="13" t="s">
        <v>48</v>
      </c>
      <c r="C1138" s="4">
        <v>1.0</v>
      </c>
      <c r="D1138" s="3"/>
      <c r="E1138" s="3"/>
      <c r="F1138" s="3"/>
      <c r="G1138" s="4">
        <v>10.0</v>
      </c>
      <c r="H1138" s="3"/>
      <c r="I1138" s="3"/>
    </row>
    <row r="1139">
      <c r="A1139" s="4" t="s">
        <v>5671</v>
      </c>
      <c r="B1139" s="13" t="s">
        <v>48</v>
      </c>
      <c r="C1139" s="4">
        <v>1.0</v>
      </c>
      <c r="D1139" s="3"/>
      <c r="E1139" s="3"/>
      <c r="F1139" s="3"/>
      <c r="G1139" s="4">
        <v>10.0</v>
      </c>
      <c r="H1139" s="3"/>
      <c r="I1139" s="3"/>
    </row>
    <row r="1140">
      <c r="A1140" s="4" t="s">
        <v>5672</v>
      </c>
      <c r="B1140" s="13" t="s">
        <v>48</v>
      </c>
      <c r="C1140" s="4">
        <v>1.0</v>
      </c>
      <c r="D1140" s="3"/>
      <c r="E1140" s="3"/>
      <c r="F1140" s="3"/>
      <c r="G1140" s="4">
        <v>10.0</v>
      </c>
      <c r="H1140" s="3"/>
      <c r="I1140" s="3"/>
    </row>
    <row r="1141">
      <c r="A1141" s="4" t="s">
        <v>5673</v>
      </c>
      <c r="B1141" s="13" t="s">
        <v>48</v>
      </c>
      <c r="C1141" s="4">
        <v>1.0</v>
      </c>
      <c r="D1141" s="3"/>
      <c r="E1141" s="3"/>
      <c r="F1141" s="3"/>
      <c r="G1141" s="4">
        <v>10.0</v>
      </c>
      <c r="H1141" s="3"/>
      <c r="I1141" s="3"/>
    </row>
    <row r="1142">
      <c r="A1142" s="4" t="s">
        <v>5674</v>
      </c>
      <c r="B1142" s="13" t="s">
        <v>48</v>
      </c>
      <c r="C1142" s="4">
        <v>1.0</v>
      </c>
      <c r="D1142" s="3"/>
      <c r="E1142" s="3"/>
      <c r="F1142" s="3"/>
      <c r="G1142" s="4">
        <v>10.0</v>
      </c>
      <c r="H1142" s="3"/>
      <c r="I1142" s="3"/>
    </row>
    <row r="1143">
      <c r="A1143" s="4" t="s">
        <v>5675</v>
      </c>
      <c r="B1143" s="13" t="s">
        <v>48</v>
      </c>
      <c r="C1143" s="4">
        <v>1.0</v>
      </c>
      <c r="D1143" s="3"/>
      <c r="E1143" s="3"/>
      <c r="F1143" s="3"/>
      <c r="G1143" s="4">
        <v>10.0</v>
      </c>
      <c r="H1143" s="3"/>
      <c r="I1143" s="3"/>
    </row>
    <row r="1144">
      <c r="A1144" s="4" t="s">
        <v>5676</v>
      </c>
      <c r="B1144" s="13" t="s">
        <v>48</v>
      </c>
      <c r="C1144" s="4">
        <v>1.0</v>
      </c>
      <c r="D1144" s="3"/>
      <c r="E1144" s="3"/>
      <c r="F1144" s="3"/>
      <c r="G1144" s="4">
        <v>10.0</v>
      </c>
      <c r="H1144" s="3"/>
      <c r="I1144" s="3"/>
    </row>
    <row r="1145">
      <c r="A1145" s="4" t="s">
        <v>5677</v>
      </c>
      <c r="B1145" s="13" t="s">
        <v>48</v>
      </c>
      <c r="C1145" s="4">
        <v>1.0</v>
      </c>
      <c r="D1145" s="3"/>
      <c r="E1145" s="3"/>
      <c r="F1145" s="3"/>
      <c r="G1145" s="4">
        <v>10.0</v>
      </c>
      <c r="H1145" s="3"/>
      <c r="I1145" s="3"/>
    </row>
    <row r="1146">
      <c r="A1146" s="4" t="s">
        <v>5678</v>
      </c>
      <c r="B1146" s="13" t="s">
        <v>48</v>
      </c>
      <c r="C1146" s="4">
        <v>1.0</v>
      </c>
      <c r="D1146" s="3"/>
      <c r="E1146" s="3"/>
      <c r="F1146" s="3"/>
      <c r="G1146" s="4">
        <v>10.0</v>
      </c>
      <c r="H1146" s="3"/>
      <c r="I1146" s="3"/>
    </row>
    <row r="1147">
      <c r="A1147" s="4" t="s">
        <v>5679</v>
      </c>
      <c r="B1147" s="13" t="s">
        <v>48</v>
      </c>
      <c r="C1147" s="4">
        <v>2.0</v>
      </c>
      <c r="D1147" s="3"/>
      <c r="E1147" s="3"/>
      <c r="F1147" s="4">
        <v>9.0</v>
      </c>
      <c r="G1147" s="4">
        <v>10.0</v>
      </c>
      <c r="H1147" s="3"/>
      <c r="I1147" s="3"/>
    </row>
    <row r="1148">
      <c r="A1148" s="4" t="s">
        <v>5680</v>
      </c>
      <c r="B1148" s="13" t="s">
        <v>48</v>
      </c>
      <c r="C1148" s="4">
        <v>2.0</v>
      </c>
      <c r="D1148" s="3"/>
      <c r="E1148" s="3"/>
      <c r="F1148" s="4">
        <v>9.0</v>
      </c>
      <c r="G1148" s="4">
        <v>10.0</v>
      </c>
      <c r="H1148" s="3"/>
      <c r="I1148" s="3"/>
    </row>
    <row r="1149">
      <c r="A1149" s="4" t="s">
        <v>5681</v>
      </c>
      <c r="B1149" s="13" t="s">
        <v>48</v>
      </c>
      <c r="C1149" s="4">
        <v>1.0</v>
      </c>
      <c r="D1149" s="3"/>
      <c r="E1149" s="3"/>
      <c r="F1149" s="4">
        <v>9.0</v>
      </c>
      <c r="G1149" s="3"/>
      <c r="H1149" s="3"/>
      <c r="I1149" s="3"/>
      <c r="J1149" s="4" t="s">
        <v>1757</v>
      </c>
    </row>
    <row r="1150">
      <c r="A1150" s="4" t="s">
        <v>5682</v>
      </c>
      <c r="B1150" s="13" t="s">
        <v>48</v>
      </c>
      <c r="C1150" s="4">
        <v>2.0</v>
      </c>
      <c r="D1150" s="3"/>
      <c r="E1150" s="3"/>
      <c r="F1150" s="4">
        <v>9.0</v>
      </c>
      <c r="G1150" s="3"/>
      <c r="H1150" s="4">
        <v>13.0</v>
      </c>
      <c r="I1150" s="3"/>
      <c r="J1150" s="4" t="s">
        <v>1757</v>
      </c>
    </row>
    <row r="1151">
      <c r="A1151" s="4" t="s">
        <v>5683</v>
      </c>
      <c r="B1151" s="13" t="s">
        <v>48</v>
      </c>
      <c r="C1151" s="4">
        <v>2.0</v>
      </c>
      <c r="D1151" s="3"/>
      <c r="E1151" s="3"/>
      <c r="F1151" s="4">
        <v>9.0</v>
      </c>
      <c r="G1151" s="3"/>
      <c r="H1151" s="4">
        <v>13.0</v>
      </c>
      <c r="I1151" s="3"/>
      <c r="J1151" s="4" t="s">
        <v>1757</v>
      </c>
      <c r="K1151" s="4" t="s">
        <v>1757</v>
      </c>
    </row>
    <row r="1152">
      <c r="A1152" s="4" t="s">
        <v>5684</v>
      </c>
      <c r="B1152" s="13" t="s">
        <v>48</v>
      </c>
      <c r="C1152" s="4">
        <v>2.0</v>
      </c>
      <c r="D1152" s="3"/>
      <c r="E1152" s="3"/>
      <c r="F1152" s="4">
        <v>9.0</v>
      </c>
      <c r="G1152" s="3"/>
      <c r="H1152" s="4">
        <v>13.0</v>
      </c>
      <c r="I1152" s="3"/>
      <c r="J1152" s="4" t="s">
        <v>1757</v>
      </c>
      <c r="K1152" s="4" t="s">
        <v>1757</v>
      </c>
    </row>
    <row r="1153">
      <c r="A1153" s="4" t="s">
        <v>5685</v>
      </c>
      <c r="B1153" s="13" t="s">
        <v>48</v>
      </c>
      <c r="C1153" s="4">
        <v>3.0</v>
      </c>
      <c r="D1153" s="3"/>
      <c r="E1153" s="3"/>
      <c r="F1153" s="4">
        <v>9.0</v>
      </c>
      <c r="G1153" s="3"/>
      <c r="H1153" s="4">
        <v>13.0</v>
      </c>
      <c r="I1153" s="4">
        <v>15.0</v>
      </c>
      <c r="J1153" s="4" t="s">
        <v>1757</v>
      </c>
      <c r="K1153" s="4" t="s">
        <v>1757</v>
      </c>
    </row>
    <row r="1154">
      <c r="A1154" s="4" t="s">
        <v>5686</v>
      </c>
      <c r="B1154" s="13" t="s">
        <v>48</v>
      </c>
      <c r="C1154" s="4">
        <v>4.0</v>
      </c>
      <c r="D1154" s="4">
        <v>1.0</v>
      </c>
      <c r="E1154" s="3"/>
      <c r="F1154" s="4">
        <v>9.0</v>
      </c>
      <c r="G1154" s="3"/>
      <c r="H1154" s="4">
        <v>13.0</v>
      </c>
      <c r="I1154" s="4">
        <v>15.0</v>
      </c>
      <c r="J1154" s="4" t="s">
        <v>1757</v>
      </c>
      <c r="K1154" s="4" t="s">
        <v>1757</v>
      </c>
    </row>
    <row r="1155">
      <c r="A1155" s="4" t="s">
        <v>5687</v>
      </c>
      <c r="B1155" s="13" t="s">
        <v>48</v>
      </c>
      <c r="C1155" s="4">
        <v>4.0</v>
      </c>
      <c r="D1155" s="4">
        <v>1.0</v>
      </c>
      <c r="E1155" s="3"/>
      <c r="F1155" s="4">
        <v>9.0</v>
      </c>
      <c r="G1155" s="3"/>
      <c r="H1155" s="4">
        <v>13.0</v>
      </c>
      <c r="I1155" s="4">
        <v>15.0</v>
      </c>
      <c r="J1155" s="4" t="s">
        <v>1757</v>
      </c>
      <c r="K1155" s="4" t="s">
        <v>1757</v>
      </c>
    </row>
    <row r="1156">
      <c r="A1156" s="4" t="s">
        <v>5688</v>
      </c>
      <c r="B1156" s="13" t="s">
        <v>48</v>
      </c>
      <c r="C1156" s="4">
        <v>4.0</v>
      </c>
      <c r="D1156" s="4">
        <v>1.0</v>
      </c>
      <c r="E1156" s="3"/>
      <c r="F1156" s="4">
        <v>9.0</v>
      </c>
      <c r="G1156" s="3"/>
      <c r="H1156" s="4">
        <v>13.0</v>
      </c>
      <c r="I1156" s="4">
        <v>15.0</v>
      </c>
      <c r="J1156" s="4" t="s">
        <v>1757</v>
      </c>
      <c r="K1156" s="4" t="s">
        <v>1757</v>
      </c>
    </row>
    <row r="1157">
      <c r="A1157" s="4" t="s">
        <v>5689</v>
      </c>
      <c r="B1157" s="13" t="s">
        <v>48</v>
      </c>
      <c r="C1157" s="4">
        <v>4.0</v>
      </c>
      <c r="D1157" s="4">
        <v>1.0</v>
      </c>
      <c r="E1157" s="3"/>
      <c r="F1157" s="4">
        <v>9.0</v>
      </c>
      <c r="G1157" s="3"/>
      <c r="H1157" s="4">
        <v>13.0</v>
      </c>
      <c r="I1157" s="4">
        <v>15.0</v>
      </c>
      <c r="J1157" s="4" t="s">
        <v>1757</v>
      </c>
      <c r="K1157" s="4" t="s">
        <v>1757</v>
      </c>
    </row>
    <row r="1158">
      <c r="A1158" s="4" t="s">
        <v>5690</v>
      </c>
      <c r="B1158" s="13" t="s">
        <v>48</v>
      </c>
      <c r="C1158" s="4">
        <v>4.0</v>
      </c>
      <c r="D1158" s="4">
        <v>1.0</v>
      </c>
      <c r="E1158" s="3"/>
      <c r="F1158" s="4">
        <v>9.0</v>
      </c>
      <c r="G1158" s="3"/>
      <c r="H1158" s="4">
        <v>13.0</v>
      </c>
      <c r="I1158" s="4">
        <v>15.0</v>
      </c>
      <c r="J1158" s="4" t="s">
        <v>1757</v>
      </c>
      <c r="K1158" s="4" t="s">
        <v>1757</v>
      </c>
    </row>
    <row r="1159">
      <c r="A1159" s="4" t="s">
        <v>5691</v>
      </c>
      <c r="B1159" s="13" t="s">
        <v>48</v>
      </c>
      <c r="C1159" s="4">
        <v>4.0</v>
      </c>
      <c r="D1159" s="4">
        <v>1.0</v>
      </c>
      <c r="E1159" s="3"/>
      <c r="F1159" s="4">
        <v>9.0</v>
      </c>
      <c r="G1159" s="3"/>
      <c r="H1159" s="4">
        <v>13.0</v>
      </c>
      <c r="I1159" s="4">
        <v>15.0</v>
      </c>
      <c r="J1159" s="4" t="s">
        <v>1757</v>
      </c>
      <c r="K1159" s="4" t="s">
        <v>1757</v>
      </c>
    </row>
    <row r="1160">
      <c r="A1160" s="4" t="s">
        <v>5692</v>
      </c>
      <c r="B1160" s="13" t="s">
        <v>48</v>
      </c>
      <c r="C1160" s="4">
        <v>4.0</v>
      </c>
      <c r="D1160" s="4">
        <v>1.0</v>
      </c>
      <c r="E1160" s="3"/>
      <c r="F1160" s="4">
        <v>9.0</v>
      </c>
      <c r="G1160" s="3"/>
      <c r="H1160" s="4">
        <v>13.0</v>
      </c>
      <c r="I1160" s="4">
        <v>15.0</v>
      </c>
      <c r="J1160" s="4" t="s">
        <v>1757</v>
      </c>
      <c r="K1160" s="4" t="s">
        <v>1757</v>
      </c>
    </row>
    <row r="1161">
      <c r="A1161" s="4" t="s">
        <v>5693</v>
      </c>
      <c r="B1161" s="13" t="s">
        <v>48</v>
      </c>
      <c r="C1161" s="4">
        <v>4.0</v>
      </c>
      <c r="D1161" s="4">
        <v>1.0</v>
      </c>
      <c r="E1161" s="3"/>
      <c r="F1161" s="4">
        <v>9.0</v>
      </c>
      <c r="G1161" s="3"/>
      <c r="H1161" s="4">
        <v>13.0</v>
      </c>
      <c r="I1161" s="4">
        <v>15.0</v>
      </c>
      <c r="J1161" s="4" t="s">
        <v>1757</v>
      </c>
      <c r="K1161" s="4" t="s">
        <v>1757</v>
      </c>
    </row>
    <row r="1162">
      <c r="A1162" s="4" t="s">
        <v>5694</v>
      </c>
      <c r="B1162" s="13" t="s">
        <v>48</v>
      </c>
      <c r="C1162" s="4">
        <v>4.0</v>
      </c>
      <c r="D1162" s="4">
        <v>1.0</v>
      </c>
      <c r="E1162" s="3"/>
      <c r="F1162" s="4">
        <v>9.0</v>
      </c>
      <c r="G1162" s="3"/>
      <c r="H1162" s="4">
        <v>13.0</v>
      </c>
      <c r="I1162" s="4">
        <v>15.0</v>
      </c>
      <c r="J1162" s="4" t="s">
        <v>1757</v>
      </c>
      <c r="K1162" s="4" t="s">
        <v>1757</v>
      </c>
    </row>
    <row r="1163">
      <c r="A1163" s="4" t="s">
        <v>5695</v>
      </c>
      <c r="B1163" s="13" t="s">
        <v>48</v>
      </c>
      <c r="C1163" s="4">
        <v>3.0</v>
      </c>
      <c r="D1163" s="3"/>
      <c r="E1163" s="3"/>
      <c r="F1163" s="4">
        <v>9.0</v>
      </c>
      <c r="G1163" s="3"/>
      <c r="H1163" s="4">
        <v>13.0</v>
      </c>
      <c r="I1163" s="4">
        <v>15.0</v>
      </c>
      <c r="J1163" s="4" t="s">
        <v>1757</v>
      </c>
      <c r="K1163" s="4" t="s">
        <v>1757</v>
      </c>
    </row>
    <row r="1164">
      <c r="A1164" s="4" t="s">
        <v>5696</v>
      </c>
      <c r="B1164" s="13" t="s">
        <v>48</v>
      </c>
      <c r="C1164" s="4">
        <v>3.0</v>
      </c>
      <c r="D1164" s="3"/>
      <c r="E1164" s="3"/>
      <c r="F1164" s="4">
        <v>9.0</v>
      </c>
      <c r="G1164" s="3"/>
      <c r="H1164" s="4">
        <v>13.0</v>
      </c>
      <c r="I1164" s="4">
        <v>15.0</v>
      </c>
      <c r="J1164" s="4" t="s">
        <v>1757</v>
      </c>
      <c r="K1164" s="4" t="s">
        <v>1757</v>
      </c>
    </row>
    <row r="1165">
      <c r="A1165" s="4" t="s">
        <v>5697</v>
      </c>
      <c r="B1165" s="13" t="s">
        <v>48</v>
      </c>
      <c r="C1165" s="4">
        <v>3.0</v>
      </c>
      <c r="D1165" s="3"/>
      <c r="E1165" s="3"/>
      <c r="F1165" s="4">
        <v>9.0</v>
      </c>
      <c r="G1165" s="3"/>
      <c r="H1165" s="4">
        <v>13.0</v>
      </c>
      <c r="I1165" s="4">
        <v>15.0</v>
      </c>
      <c r="J1165" s="4" t="s">
        <v>1757</v>
      </c>
      <c r="K1165" s="4" t="s">
        <v>1757</v>
      </c>
    </row>
    <row r="1166">
      <c r="A1166" s="4" t="s">
        <v>5698</v>
      </c>
      <c r="B1166" s="13" t="s">
        <v>48</v>
      </c>
      <c r="C1166" s="4">
        <v>3.0</v>
      </c>
      <c r="D1166" s="3"/>
      <c r="E1166" s="3"/>
      <c r="F1166" s="4">
        <v>9.0</v>
      </c>
      <c r="G1166" s="3"/>
      <c r="H1166" s="4">
        <v>13.0</v>
      </c>
      <c r="I1166" s="4">
        <v>15.0</v>
      </c>
      <c r="J1166" s="4" t="s">
        <v>1757</v>
      </c>
      <c r="K1166" s="4" t="s">
        <v>1757</v>
      </c>
    </row>
    <row r="1167">
      <c r="A1167" s="4" t="s">
        <v>5699</v>
      </c>
      <c r="B1167" s="13" t="s">
        <v>48</v>
      </c>
      <c r="C1167" s="4">
        <v>3.0</v>
      </c>
      <c r="D1167" s="3"/>
      <c r="E1167" s="3"/>
      <c r="F1167" s="4">
        <v>9.0</v>
      </c>
      <c r="G1167" s="3"/>
      <c r="H1167" s="4">
        <v>13.0</v>
      </c>
      <c r="I1167" s="4">
        <v>15.0</v>
      </c>
      <c r="J1167" s="4" t="s">
        <v>1757</v>
      </c>
      <c r="K1167" s="4" t="s">
        <v>1757</v>
      </c>
    </row>
    <row r="1168">
      <c r="A1168" s="4" t="s">
        <v>5700</v>
      </c>
      <c r="B1168" s="13" t="s">
        <v>48</v>
      </c>
      <c r="C1168" s="4">
        <v>4.0</v>
      </c>
      <c r="D1168" s="4">
        <v>1.0</v>
      </c>
      <c r="E1168" s="3"/>
      <c r="F1168" s="4">
        <v>9.0</v>
      </c>
      <c r="G1168" s="3"/>
      <c r="H1168" s="4">
        <v>13.0</v>
      </c>
      <c r="I1168" s="4">
        <v>15.0</v>
      </c>
      <c r="J1168" s="4" t="s">
        <v>1757</v>
      </c>
      <c r="K1168" s="4" t="s">
        <v>1757</v>
      </c>
    </row>
    <row r="1169">
      <c r="A1169" s="4" t="s">
        <v>5701</v>
      </c>
      <c r="B1169" s="13" t="s">
        <v>48</v>
      </c>
      <c r="C1169" s="4">
        <v>4.0</v>
      </c>
      <c r="D1169" s="4">
        <v>1.0</v>
      </c>
      <c r="E1169" s="3"/>
      <c r="F1169" s="4">
        <v>9.0</v>
      </c>
      <c r="G1169" s="3"/>
      <c r="H1169" s="4">
        <v>13.0</v>
      </c>
      <c r="I1169" s="4">
        <v>15.0</v>
      </c>
      <c r="J1169" s="4" t="s">
        <v>1757</v>
      </c>
      <c r="K1169" s="4" t="s">
        <v>1757</v>
      </c>
    </row>
    <row r="1170">
      <c r="A1170" s="4" t="s">
        <v>5702</v>
      </c>
      <c r="B1170" s="13" t="s">
        <v>48</v>
      </c>
      <c r="C1170" s="4">
        <v>3.0</v>
      </c>
      <c r="D1170" s="3"/>
      <c r="E1170" s="3"/>
      <c r="F1170" s="4">
        <v>9.0</v>
      </c>
      <c r="G1170" s="3"/>
      <c r="H1170" s="4">
        <v>13.0</v>
      </c>
      <c r="I1170" s="4">
        <v>15.0</v>
      </c>
      <c r="J1170" s="4" t="s">
        <v>1757</v>
      </c>
      <c r="K1170" s="4" t="s">
        <v>1757</v>
      </c>
    </row>
    <row r="1171">
      <c r="A1171" s="4" t="s">
        <v>5703</v>
      </c>
      <c r="B1171" s="13" t="s">
        <v>48</v>
      </c>
      <c r="C1171" s="4">
        <v>4.0</v>
      </c>
      <c r="D1171" s="4">
        <v>1.0</v>
      </c>
      <c r="E1171" s="3"/>
      <c r="F1171" s="4">
        <v>9.0</v>
      </c>
      <c r="G1171" s="3"/>
      <c r="H1171" s="4">
        <v>13.0</v>
      </c>
      <c r="I1171" s="4">
        <v>15.0</v>
      </c>
      <c r="J1171" s="4" t="s">
        <v>1757</v>
      </c>
      <c r="K1171" s="4" t="s">
        <v>1757</v>
      </c>
    </row>
    <row r="1172">
      <c r="A1172" s="4" t="s">
        <v>5704</v>
      </c>
      <c r="B1172" s="13" t="s">
        <v>48</v>
      </c>
      <c r="C1172" s="4">
        <v>4.0</v>
      </c>
      <c r="D1172" s="4">
        <v>1.0</v>
      </c>
      <c r="E1172" s="3"/>
      <c r="F1172" s="4">
        <v>9.0</v>
      </c>
      <c r="G1172" s="3"/>
      <c r="H1172" s="4">
        <v>13.0</v>
      </c>
      <c r="I1172" s="4">
        <v>15.0</v>
      </c>
      <c r="J1172" s="4" t="s">
        <v>1757</v>
      </c>
      <c r="K1172" s="4" t="s">
        <v>1757</v>
      </c>
    </row>
    <row r="1173">
      <c r="A1173" s="4" t="s">
        <v>5705</v>
      </c>
      <c r="B1173" s="13" t="s">
        <v>48</v>
      </c>
      <c r="C1173" s="4">
        <v>4.0</v>
      </c>
      <c r="D1173" s="4">
        <v>1.0</v>
      </c>
      <c r="E1173" s="3"/>
      <c r="F1173" s="4">
        <v>9.0</v>
      </c>
      <c r="G1173" s="3"/>
      <c r="H1173" s="4">
        <v>13.0</v>
      </c>
      <c r="I1173" s="4">
        <v>15.0</v>
      </c>
      <c r="J1173" s="4" t="s">
        <v>1757</v>
      </c>
      <c r="K1173" s="4" t="s">
        <v>1757</v>
      </c>
    </row>
    <row r="1174">
      <c r="A1174" s="4" t="s">
        <v>5706</v>
      </c>
      <c r="B1174" s="13" t="s">
        <v>48</v>
      </c>
      <c r="C1174" s="4">
        <v>4.0</v>
      </c>
      <c r="D1174" s="4">
        <v>1.0</v>
      </c>
      <c r="E1174" s="3"/>
      <c r="F1174" s="4">
        <v>9.0</v>
      </c>
      <c r="G1174" s="3"/>
      <c r="H1174" s="4">
        <v>13.0</v>
      </c>
      <c r="I1174" s="4">
        <v>15.0</v>
      </c>
      <c r="J1174" s="4" t="s">
        <v>1757</v>
      </c>
      <c r="K1174" s="4" t="s">
        <v>1757</v>
      </c>
    </row>
    <row r="1175">
      <c r="A1175" s="4" t="s">
        <v>5707</v>
      </c>
      <c r="B1175" s="13" t="s">
        <v>48</v>
      </c>
      <c r="C1175" s="4">
        <v>4.0</v>
      </c>
      <c r="D1175" s="4">
        <v>1.0</v>
      </c>
      <c r="E1175" s="3"/>
      <c r="F1175" s="4">
        <v>9.0</v>
      </c>
      <c r="G1175" s="3"/>
      <c r="H1175" s="4">
        <v>13.0</v>
      </c>
      <c r="I1175" s="4">
        <v>15.0</v>
      </c>
      <c r="J1175" s="4" t="s">
        <v>1757</v>
      </c>
      <c r="K1175" s="4" t="s">
        <v>1757</v>
      </c>
    </row>
    <row r="1176">
      <c r="A1176" s="4" t="s">
        <v>5708</v>
      </c>
      <c r="B1176" s="13" t="s">
        <v>48</v>
      </c>
      <c r="C1176" s="4">
        <v>4.0</v>
      </c>
      <c r="D1176" s="4">
        <v>1.0</v>
      </c>
      <c r="E1176" s="3"/>
      <c r="F1176" s="4">
        <v>9.0</v>
      </c>
      <c r="G1176" s="3"/>
      <c r="H1176" s="4">
        <v>13.0</v>
      </c>
      <c r="I1176" s="4">
        <v>15.0</v>
      </c>
      <c r="J1176" s="4" t="s">
        <v>1757</v>
      </c>
      <c r="K1176" s="4" t="s">
        <v>1757</v>
      </c>
    </row>
    <row r="1177">
      <c r="A1177" s="4" t="s">
        <v>5709</v>
      </c>
      <c r="B1177" s="13" t="s">
        <v>48</v>
      </c>
      <c r="C1177" s="4">
        <v>4.0</v>
      </c>
      <c r="D1177" s="4">
        <v>1.0</v>
      </c>
      <c r="E1177" s="3"/>
      <c r="F1177" s="4">
        <v>9.0</v>
      </c>
      <c r="G1177" s="3"/>
      <c r="H1177" s="4">
        <v>13.0</v>
      </c>
      <c r="I1177" s="4">
        <v>15.0</v>
      </c>
      <c r="J1177" s="4" t="s">
        <v>1757</v>
      </c>
      <c r="K1177" s="4" t="s">
        <v>1757</v>
      </c>
    </row>
    <row r="1178">
      <c r="A1178" s="4" t="s">
        <v>5710</v>
      </c>
      <c r="B1178" s="13" t="s">
        <v>48</v>
      </c>
      <c r="C1178" s="4">
        <v>4.0</v>
      </c>
      <c r="D1178" s="4">
        <v>1.0</v>
      </c>
      <c r="E1178" s="3"/>
      <c r="F1178" s="4">
        <v>9.0</v>
      </c>
      <c r="G1178" s="3"/>
      <c r="H1178" s="4">
        <v>13.0</v>
      </c>
      <c r="I1178" s="4">
        <v>15.0</v>
      </c>
      <c r="J1178" s="4" t="s">
        <v>1757</v>
      </c>
      <c r="K1178" s="4" t="s">
        <v>1757</v>
      </c>
    </row>
    <row r="1179">
      <c r="A1179" s="4" t="s">
        <v>5711</v>
      </c>
      <c r="B1179" s="13" t="s">
        <v>48</v>
      </c>
      <c r="C1179" s="4">
        <v>4.0</v>
      </c>
      <c r="D1179" s="4">
        <v>1.0</v>
      </c>
      <c r="E1179" s="3"/>
      <c r="F1179" s="4">
        <v>9.0</v>
      </c>
      <c r="G1179" s="3"/>
      <c r="H1179" s="4">
        <v>13.0</v>
      </c>
      <c r="I1179" s="4">
        <v>15.0</v>
      </c>
      <c r="J1179" s="4" t="s">
        <v>1757</v>
      </c>
      <c r="K1179" s="4" t="s">
        <v>1757</v>
      </c>
    </row>
    <row r="1180">
      <c r="A1180" s="4" t="s">
        <v>5712</v>
      </c>
      <c r="B1180" s="13" t="s">
        <v>48</v>
      </c>
      <c r="C1180" s="4">
        <v>5.0</v>
      </c>
      <c r="D1180" s="4">
        <v>1.0</v>
      </c>
      <c r="E1180" s="4">
        <v>2.0</v>
      </c>
      <c r="F1180" s="4">
        <v>9.0</v>
      </c>
      <c r="G1180" s="3"/>
      <c r="H1180" s="4">
        <v>13.0</v>
      </c>
      <c r="I1180" s="4">
        <v>15.0</v>
      </c>
      <c r="J1180" s="4" t="s">
        <v>1757</v>
      </c>
      <c r="K1180" s="4" t="s">
        <v>1757</v>
      </c>
    </row>
    <row r="1181">
      <c r="A1181" s="4" t="s">
        <v>5713</v>
      </c>
      <c r="B1181" s="13" t="s">
        <v>48</v>
      </c>
      <c r="C1181" s="4">
        <v>5.0</v>
      </c>
      <c r="D1181" s="4">
        <v>1.0</v>
      </c>
      <c r="E1181" s="4">
        <v>2.0</v>
      </c>
      <c r="F1181" s="4">
        <v>9.0</v>
      </c>
      <c r="G1181" s="3"/>
      <c r="H1181" s="4">
        <v>13.0</v>
      </c>
      <c r="I1181" s="4">
        <v>15.0</v>
      </c>
      <c r="J1181" s="4" t="s">
        <v>1757</v>
      </c>
      <c r="K1181" s="4" t="s">
        <v>1757</v>
      </c>
    </row>
    <row r="1182">
      <c r="A1182" s="4" t="s">
        <v>5714</v>
      </c>
      <c r="B1182" s="13" t="s">
        <v>48</v>
      </c>
      <c r="C1182" s="4">
        <v>4.0</v>
      </c>
      <c r="D1182" s="4">
        <v>1.0</v>
      </c>
      <c r="E1182" s="3"/>
      <c r="F1182" s="4">
        <v>9.0</v>
      </c>
      <c r="G1182" s="3"/>
      <c r="H1182" s="4">
        <v>13.0</v>
      </c>
      <c r="I1182" s="4">
        <v>15.0</v>
      </c>
      <c r="J1182" s="4" t="s">
        <v>1757</v>
      </c>
      <c r="K1182" s="4" t="s">
        <v>1757</v>
      </c>
    </row>
    <row r="1183">
      <c r="A1183" s="4" t="s">
        <v>5715</v>
      </c>
      <c r="B1183" s="13" t="s">
        <v>48</v>
      </c>
      <c r="C1183" s="4">
        <v>4.0</v>
      </c>
      <c r="D1183" s="4">
        <v>1.0</v>
      </c>
      <c r="E1183" s="3"/>
      <c r="F1183" s="4">
        <v>9.0</v>
      </c>
      <c r="G1183" s="3"/>
      <c r="H1183" s="4">
        <v>13.0</v>
      </c>
      <c r="I1183" s="4">
        <v>15.0</v>
      </c>
      <c r="J1183" s="4" t="s">
        <v>1757</v>
      </c>
      <c r="K1183" s="4" t="s">
        <v>1757</v>
      </c>
    </row>
    <row r="1184">
      <c r="A1184" s="4" t="s">
        <v>5716</v>
      </c>
      <c r="B1184" s="13" t="s">
        <v>48</v>
      </c>
      <c r="C1184" s="4">
        <v>4.0</v>
      </c>
      <c r="D1184" s="4">
        <v>1.0</v>
      </c>
      <c r="E1184" s="3"/>
      <c r="F1184" s="4">
        <v>9.0</v>
      </c>
      <c r="G1184" s="3"/>
      <c r="H1184" s="4">
        <v>13.0</v>
      </c>
      <c r="I1184" s="4">
        <v>15.0</v>
      </c>
      <c r="J1184" s="4" t="s">
        <v>1757</v>
      </c>
      <c r="K1184" s="4" t="s">
        <v>1757</v>
      </c>
    </row>
    <row r="1185">
      <c r="A1185" s="4" t="s">
        <v>5717</v>
      </c>
      <c r="B1185" s="13" t="s">
        <v>48</v>
      </c>
      <c r="C1185" s="4">
        <v>4.0</v>
      </c>
      <c r="D1185" s="4">
        <v>1.0</v>
      </c>
      <c r="E1185" s="3"/>
      <c r="F1185" s="4">
        <v>9.0</v>
      </c>
      <c r="G1185" s="3"/>
      <c r="H1185" s="4">
        <v>13.0</v>
      </c>
      <c r="I1185" s="4">
        <v>15.0</v>
      </c>
      <c r="J1185" s="4" t="s">
        <v>1757</v>
      </c>
      <c r="K1185" s="4" t="s">
        <v>1757</v>
      </c>
    </row>
    <row r="1186">
      <c r="A1186" s="4" t="s">
        <v>5718</v>
      </c>
      <c r="B1186" s="13" t="s">
        <v>48</v>
      </c>
      <c r="C1186" s="4">
        <v>5.0</v>
      </c>
      <c r="D1186" s="4">
        <v>1.0</v>
      </c>
      <c r="E1186" s="4">
        <v>2.0</v>
      </c>
      <c r="F1186" s="4">
        <v>9.0</v>
      </c>
      <c r="G1186" s="3"/>
      <c r="H1186" s="4">
        <v>13.0</v>
      </c>
      <c r="I1186" s="4">
        <v>15.0</v>
      </c>
      <c r="J1186" s="4" t="s">
        <v>1757</v>
      </c>
      <c r="K1186" s="4" t="s">
        <v>1757</v>
      </c>
    </row>
    <row r="1187">
      <c r="A1187" s="4" t="s">
        <v>5719</v>
      </c>
      <c r="B1187" s="13" t="s">
        <v>48</v>
      </c>
      <c r="C1187" s="4">
        <v>5.0</v>
      </c>
      <c r="D1187" s="4">
        <v>1.0</v>
      </c>
      <c r="E1187" s="4">
        <v>2.0</v>
      </c>
      <c r="F1187" s="4">
        <v>9.0</v>
      </c>
      <c r="G1187" s="3"/>
      <c r="H1187" s="4">
        <v>13.0</v>
      </c>
      <c r="I1187" s="4">
        <v>15.0</v>
      </c>
      <c r="J1187" s="4" t="s">
        <v>1757</v>
      </c>
      <c r="K1187" s="4" t="s">
        <v>1757</v>
      </c>
    </row>
    <row r="1188">
      <c r="A1188" s="4" t="s">
        <v>5720</v>
      </c>
      <c r="B1188" s="13" t="s">
        <v>48</v>
      </c>
      <c r="C1188" s="4">
        <v>5.0</v>
      </c>
      <c r="D1188" s="4">
        <v>1.0</v>
      </c>
      <c r="E1188" s="4">
        <v>2.0</v>
      </c>
      <c r="F1188" s="4">
        <v>9.0</v>
      </c>
      <c r="G1188" s="3"/>
      <c r="H1188" s="4">
        <v>13.0</v>
      </c>
      <c r="I1188" s="4">
        <v>15.0</v>
      </c>
      <c r="J1188" s="4" t="s">
        <v>1757</v>
      </c>
      <c r="K1188" s="4" t="s">
        <v>1757</v>
      </c>
    </row>
    <row r="1189">
      <c r="A1189" s="4" t="s">
        <v>5721</v>
      </c>
      <c r="B1189" s="13" t="s">
        <v>48</v>
      </c>
      <c r="C1189" s="4">
        <v>5.0</v>
      </c>
      <c r="D1189" s="4">
        <v>1.0</v>
      </c>
      <c r="E1189" s="4">
        <v>2.0</v>
      </c>
      <c r="F1189" s="4">
        <v>9.0</v>
      </c>
      <c r="G1189" s="3"/>
      <c r="H1189" s="4">
        <v>13.0</v>
      </c>
      <c r="I1189" s="4">
        <v>15.0</v>
      </c>
      <c r="J1189" s="4" t="s">
        <v>1757</v>
      </c>
      <c r="K1189" s="4" t="s">
        <v>1757</v>
      </c>
    </row>
    <row r="1190">
      <c r="A1190" s="4" t="s">
        <v>5722</v>
      </c>
      <c r="B1190" s="13" t="s">
        <v>48</v>
      </c>
      <c r="C1190" s="4">
        <v>5.0</v>
      </c>
      <c r="D1190" s="4">
        <v>1.0</v>
      </c>
      <c r="E1190" s="4">
        <v>2.0</v>
      </c>
      <c r="F1190" s="4">
        <v>9.0</v>
      </c>
      <c r="G1190" s="3"/>
      <c r="H1190" s="4">
        <v>13.0</v>
      </c>
      <c r="I1190" s="4">
        <v>15.0</v>
      </c>
      <c r="J1190" s="4" t="s">
        <v>1757</v>
      </c>
      <c r="K1190" s="4" t="s">
        <v>1757</v>
      </c>
    </row>
    <row r="1191">
      <c r="A1191" s="4" t="s">
        <v>5723</v>
      </c>
      <c r="B1191" s="13" t="s">
        <v>48</v>
      </c>
      <c r="C1191" s="4">
        <v>5.0</v>
      </c>
      <c r="D1191" s="4">
        <v>1.0</v>
      </c>
      <c r="E1191" s="4">
        <v>2.0</v>
      </c>
      <c r="F1191" s="4">
        <v>9.0</v>
      </c>
      <c r="G1191" s="3"/>
      <c r="H1191" s="4">
        <v>13.0</v>
      </c>
      <c r="I1191" s="4">
        <v>15.0</v>
      </c>
      <c r="J1191" s="4" t="s">
        <v>1757</v>
      </c>
    </row>
    <row r="1192">
      <c r="A1192" s="4" t="s">
        <v>5724</v>
      </c>
      <c r="B1192" s="13" t="s">
        <v>48</v>
      </c>
      <c r="C1192" s="4">
        <v>5.0</v>
      </c>
      <c r="D1192" s="4">
        <v>1.0</v>
      </c>
      <c r="E1192" s="4">
        <v>2.0</v>
      </c>
      <c r="F1192" s="4">
        <v>9.0</v>
      </c>
      <c r="G1192" s="3"/>
      <c r="H1192" s="4">
        <v>13.0</v>
      </c>
      <c r="I1192" s="4">
        <v>15.0</v>
      </c>
      <c r="J1192" s="4" t="s">
        <v>1757</v>
      </c>
    </row>
    <row r="1193">
      <c r="A1193" s="4" t="s">
        <v>5725</v>
      </c>
      <c r="B1193" s="13" t="s">
        <v>48</v>
      </c>
      <c r="C1193" s="4">
        <v>5.0</v>
      </c>
      <c r="D1193" s="4">
        <v>1.0</v>
      </c>
      <c r="E1193" s="4">
        <v>2.0</v>
      </c>
      <c r="F1193" s="4">
        <v>9.0</v>
      </c>
      <c r="G1193" s="3"/>
      <c r="H1193" s="4">
        <v>13.0</v>
      </c>
      <c r="I1193" s="4">
        <v>15.0</v>
      </c>
      <c r="J1193" s="4" t="s">
        <v>1757</v>
      </c>
    </row>
    <row r="1194">
      <c r="A1194" s="4" t="s">
        <v>5726</v>
      </c>
      <c r="B1194" s="13" t="s">
        <v>48</v>
      </c>
      <c r="C1194" s="4">
        <v>5.0</v>
      </c>
      <c r="D1194" s="4">
        <v>1.0</v>
      </c>
      <c r="E1194" s="4">
        <v>2.0</v>
      </c>
      <c r="F1194" s="4">
        <v>9.0</v>
      </c>
      <c r="G1194" s="3"/>
      <c r="H1194" s="4">
        <v>13.0</v>
      </c>
      <c r="I1194" s="4">
        <v>15.0</v>
      </c>
      <c r="J1194" s="4" t="s">
        <v>1757</v>
      </c>
    </row>
    <row r="1195">
      <c r="A1195" s="4" t="s">
        <v>5727</v>
      </c>
      <c r="B1195" s="13" t="s">
        <v>48</v>
      </c>
      <c r="C1195" s="4">
        <v>5.0</v>
      </c>
      <c r="D1195" s="4">
        <v>1.0</v>
      </c>
      <c r="E1195" s="4">
        <v>2.0</v>
      </c>
      <c r="F1195" s="4">
        <v>9.0</v>
      </c>
      <c r="G1195" s="3"/>
      <c r="H1195" s="4">
        <v>13.0</v>
      </c>
      <c r="I1195" s="4">
        <v>15.0</v>
      </c>
      <c r="J1195" s="4" t="s">
        <v>1757</v>
      </c>
    </row>
    <row r="1196">
      <c r="A1196" s="4" t="s">
        <v>5728</v>
      </c>
      <c r="B1196" s="13" t="s">
        <v>48</v>
      </c>
      <c r="C1196" s="4">
        <v>5.0</v>
      </c>
      <c r="D1196" s="4">
        <v>1.0</v>
      </c>
      <c r="E1196" s="4">
        <v>2.0</v>
      </c>
      <c r="F1196" s="4">
        <v>9.0</v>
      </c>
      <c r="G1196" s="3"/>
      <c r="H1196" s="4">
        <v>13.0</v>
      </c>
      <c r="I1196" s="4">
        <v>15.0</v>
      </c>
      <c r="J1196" s="4" t="s">
        <v>1757</v>
      </c>
    </row>
    <row r="1197">
      <c r="A1197" s="4" t="s">
        <v>5729</v>
      </c>
      <c r="B1197" s="13" t="s">
        <v>48</v>
      </c>
      <c r="C1197" s="4">
        <v>4.0</v>
      </c>
      <c r="D1197" s="4">
        <v>1.0</v>
      </c>
      <c r="E1197" s="3"/>
      <c r="F1197" s="4">
        <v>9.0</v>
      </c>
      <c r="G1197" s="3"/>
      <c r="H1197" s="4">
        <v>13.0</v>
      </c>
      <c r="I1197" s="4">
        <v>15.0</v>
      </c>
      <c r="J1197" s="4" t="s">
        <v>1757</v>
      </c>
    </row>
    <row r="1198">
      <c r="A1198" s="4" t="s">
        <v>5730</v>
      </c>
      <c r="B1198" s="13" t="s">
        <v>48</v>
      </c>
      <c r="C1198" s="4">
        <v>3.0</v>
      </c>
      <c r="D1198" s="4">
        <v>1.0</v>
      </c>
      <c r="E1198" s="3"/>
      <c r="F1198" s="3"/>
      <c r="G1198" s="3"/>
      <c r="H1198" s="4">
        <v>13.0</v>
      </c>
      <c r="I1198" s="4">
        <v>15.0</v>
      </c>
      <c r="J1198" s="4" t="s">
        <v>1757</v>
      </c>
    </row>
    <row r="1199">
      <c r="A1199" s="4" t="s">
        <v>5731</v>
      </c>
      <c r="B1199" s="13" t="s">
        <v>48</v>
      </c>
      <c r="C1199" s="4">
        <v>3.0</v>
      </c>
      <c r="D1199" s="4">
        <v>1.0</v>
      </c>
      <c r="E1199" s="3"/>
      <c r="F1199" s="3"/>
      <c r="G1199" s="3"/>
      <c r="H1199" s="4">
        <v>13.0</v>
      </c>
      <c r="I1199" s="4">
        <v>15.0</v>
      </c>
      <c r="J1199" s="4" t="s">
        <v>1757</v>
      </c>
    </row>
    <row r="1200">
      <c r="A1200" s="4" t="s">
        <v>5732</v>
      </c>
      <c r="B1200" s="13" t="s">
        <v>48</v>
      </c>
      <c r="C1200" s="4">
        <v>3.0</v>
      </c>
      <c r="D1200" s="4">
        <v>1.0</v>
      </c>
      <c r="E1200" s="3"/>
      <c r="F1200" s="3"/>
      <c r="G1200" s="3"/>
      <c r="H1200" s="4">
        <v>13.0</v>
      </c>
      <c r="I1200" s="4">
        <v>15.0</v>
      </c>
      <c r="J1200" s="4" t="s">
        <v>1757</v>
      </c>
    </row>
    <row r="1201">
      <c r="A1201" s="4" t="s">
        <v>5733</v>
      </c>
      <c r="B1201" s="13" t="s">
        <v>48</v>
      </c>
      <c r="C1201" s="4">
        <v>3.0</v>
      </c>
      <c r="D1201" s="4">
        <v>1.0</v>
      </c>
      <c r="E1201" s="3"/>
      <c r="F1201" s="3"/>
      <c r="G1201" s="3"/>
      <c r="H1201" s="4">
        <v>13.0</v>
      </c>
      <c r="I1201" s="4">
        <v>15.0</v>
      </c>
      <c r="J1201" s="4" t="s">
        <v>1757</v>
      </c>
    </row>
    <row r="1202">
      <c r="A1202" s="4" t="s">
        <v>5734</v>
      </c>
      <c r="B1202" s="13" t="s">
        <v>48</v>
      </c>
      <c r="C1202" s="4">
        <v>3.0</v>
      </c>
      <c r="D1202" s="4">
        <v>1.0</v>
      </c>
      <c r="E1202" s="3"/>
      <c r="F1202" s="3"/>
      <c r="G1202" s="3"/>
      <c r="H1202" s="4">
        <v>13.0</v>
      </c>
      <c r="I1202" s="4">
        <v>15.0</v>
      </c>
      <c r="J1202" s="4" t="s">
        <v>1757</v>
      </c>
    </row>
    <row r="1203">
      <c r="A1203" s="4" t="s">
        <v>5735</v>
      </c>
      <c r="B1203" s="13" t="s">
        <v>48</v>
      </c>
      <c r="C1203" s="4">
        <v>3.0</v>
      </c>
      <c r="D1203" s="4">
        <v>1.0</v>
      </c>
      <c r="E1203" s="3"/>
      <c r="F1203" s="3"/>
      <c r="G1203" s="3"/>
      <c r="H1203" s="4">
        <v>13.0</v>
      </c>
      <c r="I1203" s="4">
        <v>15.0</v>
      </c>
      <c r="J1203" s="4" t="s">
        <v>1757</v>
      </c>
    </row>
    <row r="1204">
      <c r="A1204" s="4" t="s">
        <v>5736</v>
      </c>
      <c r="B1204" s="13" t="s">
        <v>48</v>
      </c>
      <c r="C1204" s="4">
        <v>3.0</v>
      </c>
      <c r="D1204" s="4">
        <v>1.0</v>
      </c>
      <c r="E1204" s="3"/>
      <c r="F1204" s="3"/>
      <c r="G1204" s="3"/>
      <c r="H1204" s="4">
        <v>13.0</v>
      </c>
      <c r="I1204" s="4">
        <v>15.0</v>
      </c>
      <c r="J1204" s="4" t="s">
        <v>1757</v>
      </c>
    </row>
    <row r="1205">
      <c r="A1205" s="4" t="s">
        <v>5737</v>
      </c>
      <c r="B1205" s="13" t="s">
        <v>48</v>
      </c>
      <c r="C1205" s="4">
        <v>3.0</v>
      </c>
      <c r="D1205" s="4">
        <v>1.0</v>
      </c>
      <c r="E1205" s="3"/>
      <c r="F1205" s="3"/>
      <c r="G1205" s="3"/>
      <c r="H1205" s="4">
        <v>13.0</v>
      </c>
      <c r="I1205" s="4">
        <v>15.0</v>
      </c>
      <c r="J1205" s="4" t="s">
        <v>1757</v>
      </c>
    </row>
    <row r="1206">
      <c r="A1206" s="4" t="s">
        <v>5738</v>
      </c>
      <c r="B1206" s="13" t="s">
        <v>48</v>
      </c>
      <c r="C1206" s="4">
        <v>3.0</v>
      </c>
      <c r="D1206" s="4">
        <v>1.0</v>
      </c>
      <c r="E1206" s="3"/>
      <c r="F1206" s="3"/>
      <c r="G1206" s="3"/>
      <c r="H1206" s="4">
        <v>13.0</v>
      </c>
      <c r="I1206" s="4">
        <v>15.0</v>
      </c>
      <c r="J1206" s="4" t="s">
        <v>1757</v>
      </c>
    </row>
    <row r="1207">
      <c r="A1207" s="4" t="s">
        <v>5739</v>
      </c>
      <c r="B1207" s="13" t="s">
        <v>48</v>
      </c>
      <c r="C1207" s="4">
        <v>3.0</v>
      </c>
      <c r="D1207" s="4">
        <v>1.0</v>
      </c>
      <c r="E1207" s="3"/>
      <c r="F1207" s="3"/>
      <c r="G1207" s="3"/>
      <c r="H1207" s="4">
        <v>13.0</v>
      </c>
      <c r="I1207" s="4">
        <v>15.0</v>
      </c>
      <c r="J1207" s="4" t="s">
        <v>1757</v>
      </c>
    </row>
    <row r="1208">
      <c r="A1208" s="4" t="s">
        <v>5740</v>
      </c>
      <c r="B1208" s="13" t="s">
        <v>48</v>
      </c>
      <c r="C1208" s="4">
        <v>2.0</v>
      </c>
      <c r="D1208" s="4">
        <v>1.0</v>
      </c>
      <c r="E1208" s="3"/>
      <c r="F1208" s="3"/>
      <c r="G1208" s="3"/>
      <c r="H1208" s="4">
        <v>13.0</v>
      </c>
      <c r="I1208" s="3"/>
      <c r="J1208" s="4" t="s">
        <v>1757</v>
      </c>
    </row>
    <row r="1209">
      <c r="A1209" s="4" t="s">
        <v>5741</v>
      </c>
      <c r="B1209" s="13" t="s">
        <v>48</v>
      </c>
      <c r="C1209" s="4">
        <v>2.0</v>
      </c>
      <c r="D1209" s="4">
        <v>1.0</v>
      </c>
      <c r="E1209" s="3"/>
      <c r="F1209" s="3"/>
      <c r="G1209" s="3"/>
      <c r="H1209" s="4">
        <v>13.0</v>
      </c>
      <c r="I1209" s="3"/>
      <c r="J1209" s="4" t="s">
        <v>1757</v>
      </c>
    </row>
    <row r="1210">
      <c r="A1210" s="4" t="s">
        <v>5742</v>
      </c>
      <c r="B1210" s="13" t="s">
        <v>48</v>
      </c>
      <c r="C1210" s="4">
        <v>2.0</v>
      </c>
      <c r="D1210" s="4">
        <v>1.0</v>
      </c>
      <c r="E1210" s="3"/>
      <c r="F1210" s="3"/>
      <c r="G1210" s="3"/>
      <c r="H1210" s="4">
        <v>13.0</v>
      </c>
      <c r="I1210" s="3"/>
      <c r="J1210" s="4" t="s">
        <v>1757</v>
      </c>
    </row>
    <row r="1211">
      <c r="A1211" s="4" t="s">
        <v>5743</v>
      </c>
      <c r="B1211" s="13" t="s">
        <v>48</v>
      </c>
      <c r="C1211" s="4">
        <v>2.0</v>
      </c>
      <c r="D1211" s="4">
        <v>1.0</v>
      </c>
      <c r="E1211" s="3"/>
      <c r="F1211" s="3"/>
      <c r="G1211" s="3"/>
      <c r="H1211" s="4">
        <v>13.0</v>
      </c>
      <c r="I1211" s="3"/>
      <c r="J1211" s="4" t="s">
        <v>1757</v>
      </c>
    </row>
    <row r="1212">
      <c r="A1212" s="4" t="s">
        <v>5744</v>
      </c>
      <c r="B1212" s="13" t="s">
        <v>48</v>
      </c>
      <c r="C1212" s="4">
        <v>2.0</v>
      </c>
      <c r="D1212" s="4">
        <v>1.0</v>
      </c>
      <c r="E1212" s="3"/>
      <c r="F1212" s="3"/>
      <c r="G1212" s="3"/>
      <c r="H1212" s="4">
        <v>13.0</v>
      </c>
      <c r="I1212" s="3"/>
      <c r="J1212" s="4" t="s">
        <v>1757</v>
      </c>
    </row>
    <row r="1213">
      <c r="A1213" s="4" t="s">
        <v>5745</v>
      </c>
      <c r="B1213" s="13" t="s">
        <v>48</v>
      </c>
      <c r="C1213" s="4">
        <v>2.0</v>
      </c>
      <c r="D1213" s="4">
        <v>1.0</v>
      </c>
      <c r="E1213" s="3"/>
      <c r="F1213" s="3"/>
      <c r="G1213" s="3"/>
      <c r="H1213" s="4">
        <v>13.0</v>
      </c>
      <c r="I1213" s="3"/>
      <c r="J1213" s="4" t="s">
        <v>1757</v>
      </c>
    </row>
    <row r="1214">
      <c r="A1214" s="4" t="s">
        <v>5746</v>
      </c>
      <c r="B1214" s="13" t="s">
        <v>48</v>
      </c>
      <c r="C1214" s="4">
        <v>2.0</v>
      </c>
      <c r="D1214" s="4">
        <v>1.0</v>
      </c>
      <c r="E1214" s="3"/>
      <c r="F1214" s="3"/>
      <c r="G1214" s="3"/>
      <c r="H1214" s="4">
        <v>13.0</v>
      </c>
      <c r="I1214" s="3"/>
      <c r="J1214" s="4" t="s">
        <v>1757</v>
      </c>
    </row>
    <row r="1215">
      <c r="A1215" s="4" t="s">
        <v>5747</v>
      </c>
      <c r="B1215" s="13" t="s">
        <v>48</v>
      </c>
      <c r="C1215" s="4">
        <v>1.0</v>
      </c>
      <c r="D1215" s="3"/>
      <c r="E1215" s="3"/>
      <c r="F1215" s="3"/>
      <c r="G1215" s="3"/>
      <c r="H1215" s="4">
        <v>13.0</v>
      </c>
      <c r="I1215" s="3"/>
      <c r="J1215" s="4" t="s">
        <v>1757</v>
      </c>
    </row>
    <row r="1216">
      <c r="A1216" s="4" t="s">
        <v>5748</v>
      </c>
      <c r="B1216" s="13" t="s">
        <v>48</v>
      </c>
      <c r="C1216" s="4">
        <v>1.0</v>
      </c>
      <c r="D1216" s="3"/>
      <c r="E1216" s="3"/>
      <c r="F1216" s="3"/>
      <c r="G1216" s="3"/>
      <c r="H1216" s="4">
        <v>13.0</v>
      </c>
      <c r="I1216" s="3"/>
      <c r="J1216" s="4" t="s">
        <v>1757</v>
      </c>
    </row>
    <row r="1217">
      <c r="A1217" s="4" t="s">
        <v>5749</v>
      </c>
      <c r="B1217" s="13" t="s">
        <v>48</v>
      </c>
      <c r="C1217" s="4">
        <v>1.0</v>
      </c>
      <c r="D1217" s="3"/>
      <c r="E1217" s="3"/>
      <c r="F1217" s="3"/>
      <c r="G1217" s="3"/>
      <c r="H1217" s="4">
        <v>13.0</v>
      </c>
      <c r="I1217" s="3"/>
      <c r="J1217" s="4" t="s">
        <v>1757</v>
      </c>
    </row>
    <row r="1218">
      <c r="A1218" s="4" t="s">
        <v>5750</v>
      </c>
      <c r="B1218" s="13" t="s">
        <v>48</v>
      </c>
      <c r="C1218" s="4">
        <v>1.0</v>
      </c>
      <c r="D1218" s="3"/>
      <c r="E1218" s="3"/>
      <c r="F1218" s="3"/>
      <c r="G1218" s="3"/>
      <c r="H1218" s="4">
        <v>13.0</v>
      </c>
      <c r="I1218" s="3"/>
      <c r="J1218" s="4" t="s">
        <v>1757</v>
      </c>
    </row>
    <row r="1219">
      <c r="A1219" s="4" t="s">
        <v>5751</v>
      </c>
      <c r="B1219" s="13" t="s">
        <v>48</v>
      </c>
      <c r="C1219" s="4">
        <v>1.0</v>
      </c>
      <c r="D1219" s="3"/>
      <c r="E1219" s="3"/>
      <c r="F1219" s="3"/>
      <c r="G1219" s="3"/>
      <c r="H1219" s="4">
        <v>13.0</v>
      </c>
      <c r="I1219" s="3"/>
      <c r="J1219" s="4" t="s">
        <v>1757</v>
      </c>
    </row>
    <row r="1220">
      <c r="A1220" s="4" t="s">
        <v>5752</v>
      </c>
      <c r="B1220" s="13" t="s">
        <v>48</v>
      </c>
      <c r="C1220" s="4">
        <v>1.0</v>
      </c>
      <c r="D1220" s="3"/>
      <c r="E1220" s="3"/>
      <c r="F1220" s="3"/>
      <c r="G1220" s="3"/>
      <c r="H1220" s="4">
        <v>13.0</v>
      </c>
      <c r="I1220" s="3"/>
      <c r="J1220" s="4" t="s">
        <v>1757</v>
      </c>
    </row>
    <row r="1221">
      <c r="A1221" s="4" t="s">
        <v>5753</v>
      </c>
      <c r="B1221" s="13" t="s">
        <v>43</v>
      </c>
      <c r="D1221" s="3"/>
      <c r="E1221" s="3"/>
      <c r="F1221" s="3"/>
      <c r="G1221" s="3"/>
      <c r="H1221" s="3"/>
      <c r="I1221" s="3"/>
      <c r="J1221" s="4" t="s">
        <v>1757</v>
      </c>
    </row>
    <row r="1222">
      <c r="A1222" s="4" t="s">
        <v>5754</v>
      </c>
      <c r="B1222" s="13" t="s">
        <v>43</v>
      </c>
      <c r="D1222" s="3"/>
      <c r="E1222" s="3"/>
      <c r="F1222" s="3"/>
      <c r="G1222" s="3"/>
      <c r="H1222" s="3"/>
      <c r="I1222" s="3"/>
      <c r="J1222" s="4" t="s">
        <v>1757</v>
      </c>
    </row>
    <row r="1223">
      <c r="A1223" s="4" t="s">
        <v>5755</v>
      </c>
      <c r="B1223" s="13" t="s">
        <v>43</v>
      </c>
      <c r="D1223" s="3"/>
      <c r="E1223" s="3"/>
      <c r="F1223" s="3"/>
      <c r="G1223" s="3"/>
      <c r="H1223" s="3"/>
      <c r="I1223" s="3"/>
      <c r="J1223" s="4" t="s">
        <v>1757</v>
      </c>
    </row>
    <row r="1224">
      <c r="A1224" s="4" t="s">
        <v>5756</v>
      </c>
      <c r="B1224" s="13" t="s">
        <v>43</v>
      </c>
      <c r="D1224" s="3"/>
      <c r="E1224" s="3"/>
      <c r="F1224" s="3"/>
      <c r="G1224" s="3"/>
      <c r="H1224" s="3"/>
      <c r="I1224" s="3"/>
      <c r="J1224" s="4" t="s">
        <v>1757</v>
      </c>
    </row>
    <row r="1225">
      <c r="A1225" s="4" t="s">
        <v>5757</v>
      </c>
      <c r="B1225" s="13" t="s">
        <v>43</v>
      </c>
      <c r="D1225" s="3"/>
      <c r="E1225" s="3"/>
      <c r="F1225" s="3"/>
      <c r="G1225" s="3"/>
      <c r="H1225" s="3"/>
      <c r="I1225" s="3"/>
      <c r="J1225" s="4" t="s">
        <v>1757</v>
      </c>
    </row>
    <row r="1226">
      <c r="A1226" s="4" t="s">
        <v>5758</v>
      </c>
      <c r="B1226" s="13" t="s">
        <v>43</v>
      </c>
      <c r="D1226" s="3"/>
      <c r="E1226" s="3"/>
      <c r="F1226" s="3"/>
      <c r="G1226" s="3"/>
      <c r="H1226" s="3"/>
      <c r="I1226" s="3"/>
    </row>
    <row r="1227">
      <c r="A1227" s="4" t="s">
        <v>5759</v>
      </c>
      <c r="B1227" s="13" t="s">
        <v>43</v>
      </c>
      <c r="D1227" s="3"/>
      <c r="E1227" s="3"/>
      <c r="F1227" s="3"/>
      <c r="G1227" s="3"/>
      <c r="H1227" s="3"/>
      <c r="I1227" s="3"/>
    </row>
    <row r="1228">
      <c r="A1228" s="4" t="s">
        <v>5760</v>
      </c>
      <c r="B1228" s="13" t="s">
        <v>43</v>
      </c>
      <c r="D1228" s="3"/>
      <c r="E1228" s="3"/>
      <c r="F1228" s="3"/>
      <c r="G1228" s="3"/>
      <c r="H1228" s="3"/>
      <c r="I1228" s="3"/>
    </row>
    <row r="1229">
      <c r="A1229" s="4" t="s">
        <v>5761</v>
      </c>
      <c r="B1229" s="13" t="s">
        <v>43</v>
      </c>
      <c r="D1229" s="3"/>
      <c r="E1229" s="3"/>
      <c r="F1229" s="3"/>
      <c r="G1229" s="3"/>
      <c r="H1229" s="3"/>
      <c r="I1229" s="3"/>
    </row>
    <row r="1230">
      <c r="A1230" s="4" t="s">
        <v>5762</v>
      </c>
      <c r="B1230" s="13" t="s">
        <v>43</v>
      </c>
      <c r="D1230" s="3"/>
      <c r="E1230" s="3"/>
      <c r="F1230" s="3"/>
      <c r="G1230" s="3"/>
      <c r="H1230" s="3"/>
      <c r="I1230" s="3"/>
    </row>
    <row r="1231">
      <c r="A1231" s="4" t="s">
        <v>5763</v>
      </c>
      <c r="B1231" s="13" t="s">
        <v>43</v>
      </c>
      <c r="D1231" s="3"/>
      <c r="E1231" s="3"/>
      <c r="F1231" s="3"/>
      <c r="G1231" s="3"/>
      <c r="H1231" s="3"/>
      <c r="I1231" s="3"/>
    </row>
    <row r="1232">
      <c r="A1232" s="4" t="s">
        <v>5764</v>
      </c>
      <c r="B1232" s="13" t="s">
        <v>43</v>
      </c>
      <c r="D1232" s="3"/>
      <c r="E1232" s="3"/>
      <c r="F1232" s="3"/>
      <c r="G1232" s="3"/>
      <c r="H1232" s="3"/>
      <c r="I1232" s="3"/>
    </row>
    <row r="1233">
      <c r="A1233" s="4" t="s">
        <v>5765</v>
      </c>
      <c r="B1233" s="13" t="s">
        <v>43</v>
      </c>
      <c r="D1233" s="3"/>
      <c r="E1233" s="3"/>
      <c r="F1233" s="3"/>
      <c r="G1233" s="3"/>
      <c r="H1233" s="3"/>
      <c r="I1233" s="3"/>
    </row>
    <row r="1234">
      <c r="A1234" s="4" t="s">
        <v>5766</v>
      </c>
      <c r="B1234" s="13" t="s">
        <v>43</v>
      </c>
      <c r="D1234" s="3"/>
      <c r="E1234" s="3"/>
      <c r="F1234" s="3"/>
      <c r="G1234" s="3"/>
      <c r="H1234" s="3"/>
      <c r="I1234" s="3"/>
    </row>
    <row r="1235">
      <c r="A1235" s="4" t="s">
        <v>5767</v>
      </c>
      <c r="B1235" s="13" t="s">
        <v>43</v>
      </c>
      <c r="D1235" s="3"/>
      <c r="E1235" s="3"/>
      <c r="F1235" s="3"/>
      <c r="G1235" s="3"/>
      <c r="H1235" s="3"/>
      <c r="I1235" s="3"/>
    </row>
    <row r="1236">
      <c r="A1236" s="4" t="s">
        <v>5768</v>
      </c>
      <c r="B1236" s="13" t="s">
        <v>43</v>
      </c>
      <c r="D1236" s="3"/>
      <c r="E1236" s="3"/>
      <c r="F1236" s="3"/>
      <c r="G1236" s="3"/>
      <c r="H1236" s="3"/>
      <c r="I1236" s="3"/>
    </row>
    <row r="1237">
      <c r="A1237" s="4" t="s">
        <v>5769</v>
      </c>
      <c r="B1237" s="13" t="s">
        <v>43</v>
      </c>
      <c r="D1237" s="3"/>
      <c r="E1237" s="3"/>
      <c r="F1237" s="3"/>
      <c r="G1237" s="3"/>
      <c r="H1237" s="3"/>
      <c r="I1237" s="3"/>
    </row>
    <row r="1238">
      <c r="A1238" s="4" t="s">
        <v>5770</v>
      </c>
      <c r="B1238" s="13" t="s">
        <v>43</v>
      </c>
      <c r="D1238" s="3"/>
      <c r="E1238" s="3"/>
      <c r="F1238" s="3"/>
      <c r="G1238" s="3"/>
      <c r="H1238" s="3"/>
      <c r="I1238" s="3"/>
    </row>
    <row r="1239">
      <c r="A1239" s="4" t="s">
        <v>5771</v>
      </c>
      <c r="B1239" s="13" t="s">
        <v>43</v>
      </c>
      <c r="D1239" s="3"/>
      <c r="E1239" s="3"/>
      <c r="F1239" s="3"/>
      <c r="G1239" s="3"/>
      <c r="H1239" s="3"/>
      <c r="I1239" s="3"/>
    </row>
    <row r="1240">
      <c r="A1240" s="4" t="s">
        <v>5772</v>
      </c>
      <c r="B1240" s="13" t="s">
        <v>43</v>
      </c>
      <c r="D1240" s="3"/>
      <c r="E1240" s="3"/>
      <c r="F1240" s="3"/>
      <c r="G1240" s="3"/>
      <c r="H1240" s="3"/>
      <c r="I1240" s="3"/>
    </row>
    <row r="1241">
      <c r="A1241" s="4" t="s">
        <v>5773</v>
      </c>
      <c r="B1241" s="13" t="s">
        <v>43</v>
      </c>
      <c r="D1241" s="3"/>
      <c r="E1241" s="3"/>
      <c r="F1241" s="3"/>
      <c r="G1241" s="3"/>
      <c r="H1241" s="3"/>
      <c r="I1241" s="3"/>
    </row>
    <row r="1242">
      <c r="A1242" s="4" t="s">
        <v>5774</v>
      </c>
      <c r="B1242" s="13" t="s">
        <v>43</v>
      </c>
      <c r="D1242" s="3"/>
      <c r="E1242" s="3"/>
      <c r="F1242" s="3"/>
      <c r="G1242" s="3"/>
      <c r="H1242" s="3"/>
      <c r="I1242" s="3"/>
    </row>
    <row r="1243">
      <c r="A1243" s="4" t="s">
        <v>5775</v>
      </c>
      <c r="B1243" s="13" t="s">
        <v>43</v>
      </c>
      <c r="D1243" s="3"/>
      <c r="E1243" s="3"/>
      <c r="F1243" s="3"/>
      <c r="G1243" s="3"/>
      <c r="H1243" s="3"/>
      <c r="I1243" s="3"/>
    </row>
    <row r="1244">
      <c r="A1244" s="4" t="s">
        <v>5776</v>
      </c>
      <c r="B1244" s="13" t="s">
        <v>43</v>
      </c>
      <c r="D1244" s="3"/>
      <c r="E1244" s="3"/>
      <c r="F1244" s="3"/>
      <c r="G1244" s="3"/>
      <c r="H1244" s="3"/>
      <c r="I1244" s="3"/>
    </row>
    <row r="1245">
      <c r="A1245" s="4" t="s">
        <v>5777</v>
      </c>
      <c r="B1245" s="13" t="s">
        <v>43</v>
      </c>
      <c r="D1245" s="3"/>
      <c r="E1245" s="3"/>
      <c r="F1245" s="3"/>
      <c r="G1245" s="3"/>
      <c r="H1245" s="3"/>
      <c r="I1245" s="3"/>
    </row>
    <row r="1246">
      <c r="A1246" s="4" t="s">
        <v>5778</v>
      </c>
      <c r="B1246" s="13" t="s">
        <v>43</v>
      </c>
      <c r="D1246" s="3"/>
      <c r="E1246" s="3"/>
      <c r="F1246" s="3"/>
      <c r="G1246" s="3"/>
      <c r="H1246" s="3"/>
      <c r="I1246" s="3"/>
    </row>
    <row r="1247">
      <c r="A1247" s="4" t="s">
        <v>5779</v>
      </c>
      <c r="B1247" s="13" t="s">
        <v>43</v>
      </c>
      <c r="D1247" s="3"/>
      <c r="E1247" s="3"/>
      <c r="F1247" s="3"/>
      <c r="G1247" s="3"/>
      <c r="H1247" s="3"/>
      <c r="I1247" s="3"/>
    </row>
    <row r="1248">
      <c r="A1248" s="4" t="s">
        <v>5780</v>
      </c>
      <c r="B1248" s="13" t="s">
        <v>43</v>
      </c>
      <c r="D1248" s="3"/>
      <c r="E1248" s="3"/>
      <c r="F1248" s="3"/>
      <c r="G1248" s="3"/>
      <c r="H1248" s="3"/>
      <c r="I1248" s="3"/>
    </row>
    <row r="1249">
      <c r="A1249" s="4" t="s">
        <v>5781</v>
      </c>
      <c r="B1249" s="13" t="s">
        <v>43</v>
      </c>
      <c r="D1249" s="3"/>
      <c r="E1249" s="3"/>
      <c r="F1249" s="3"/>
      <c r="G1249" s="3"/>
      <c r="H1249" s="3"/>
      <c r="I1249" s="3"/>
    </row>
    <row r="1250">
      <c r="A1250" s="4" t="s">
        <v>5782</v>
      </c>
      <c r="B1250" s="13" t="s">
        <v>43</v>
      </c>
      <c r="D1250" s="3"/>
      <c r="E1250" s="3"/>
      <c r="F1250" s="3"/>
      <c r="G1250" s="3"/>
      <c r="H1250" s="3"/>
      <c r="I1250" s="3"/>
    </row>
    <row r="1251">
      <c r="A1251" s="4" t="s">
        <v>5783</v>
      </c>
      <c r="B1251" s="13" t="s">
        <v>43</v>
      </c>
      <c r="D1251" s="3"/>
      <c r="E1251" s="3"/>
      <c r="F1251" s="3"/>
      <c r="G1251" s="3"/>
      <c r="H1251" s="3"/>
      <c r="I1251" s="3"/>
    </row>
    <row r="1252">
      <c r="A1252" s="4" t="s">
        <v>5784</v>
      </c>
      <c r="B1252" s="13" t="s">
        <v>43</v>
      </c>
      <c r="D1252" s="3"/>
      <c r="E1252" s="3"/>
      <c r="F1252" s="3"/>
      <c r="G1252" s="3"/>
      <c r="H1252" s="3"/>
      <c r="I1252" s="3"/>
    </row>
    <row r="1253">
      <c r="A1253" s="4" t="s">
        <v>5785</v>
      </c>
      <c r="B1253" s="13" t="s">
        <v>43</v>
      </c>
      <c r="D1253" s="3"/>
      <c r="E1253" s="3"/>
      <c r="F1253" s="3"/>
      <c r="G1253" s="3"/>
      <c r="H1253" s="3"/>
      <c r="I1253" s="3"/>
    </row>
    <row r="1254">
      <c r="A1254" s="4" t="s">
        <v>5786</v>
      </c>
      <c r="B1254" s="13" t="s">
        <v>43</v>
      </c>
      <c r="D1254" s="3"/>
      <c r="E1254" s="3"/>
      <c r="F1254" s="3"/>
      <c r="G1254" s="3"/>
      <c r="H1254" s="3"/>
      <c r="I1254" s="3"/>
    </row>
    <row r="1255">
      <c r="A1255" s="4" t="s">
        <v>5787</v>
      </c>
      <c r="B1255" s="13" t="s">
        <v>43</v>
      </c>
      <c r="D1255" s="3"/>
      <c r="E1255" s="3"/>
      <c r="F1255" s="3"/>
      <c r="G1255" s="3"/>
      <c r="H1255" s="3"/>
      <c r="I1255" s="3"/>
    </row>
    <row r="1256">
      <c r="A1256" s="4" t="s">
        <v>5788</v>
      </c>
      <c r="B1256" s="13" t="s">
        <v>43</v>
      </c>
      <c r="D1256" s="3"/>
      <c r="E1256" s="3"/>
      <c r="F1256" s="3"/>
      <c r="G1256" s="3"/>
      <c r="H1256" s="3"/>
      <c r="I1256" s="3"/>
    </row>
    <row r="1257">
      <c r="A1257" s="4" t="s">
        <v>5789</v>
      </c>
      <c r="B1257" s="13" t="s">
        <v>43</v>
      </c>
      <c r="D1257" s="3"/>
      <c r="E1257" s="3"/>
      <c r="F1257" s="3"/>
      <c r="G1257" s="3"/>
      <c r="H1257" s="3"/>
      <c r="I1257" s="3"/>
    </row>
    <row r="1258">
      <c r="A1258" s="4" t="s">
        <v>5790</v>
      </c>
      <c r="B1258" s="13" t="s">
        <v>43</v>
      </c>
      <c r="D1258" s="3"/>
      <c r="E1258" s="3"/>
      <c r="F1258" s="3"/>
      <c r="G1258" s="3"/>
      <c r="H1258" s="3"/>
      <c r="I1258" s="3"/>
    </row>
    <row r="1259">
      <c r="A1259" s="4" t="s">
        <v>5791</v>
      </c>
      <c r="B1259" s="13" t="s">
        <v>43</v>
      </c>
      <c r="D1259" s="3"/>
      <c r="E1259" s="3"/>
      <c r="F1259" s="3"/>
      <c r="G1259" s="3"/>
      <c r="H1259" s="3"/>
      <c r="I1259" s="3"/>
    </row>
    <row r="1260">
      <c r="A1260" s="4" t="s">
        <v>5792</v>
      </c>
      <c r="B1260" s="13" t="s">
        <v>43</v>
      </c>
      <c r="D1260" s="3"/>
      <c r="E1260" s="3"/>
      <c r="F1260" s="3"/>
      <c r="G1260" s="3"/>
      <c r="H1260" s="3"/>
      <c r="I1260" s="3"/>
    </row>
    <row r="1261">
      <c r="A1261" s="4" t="s">
        <v>5793</v>
      </c>
      <c r="B1261" s="13" t="s">
        <v>43</v>
      </c>
      <c r="D1261" s="3"/>
      <c r="E1261" s="3"/>
      <c r="F1261" s="3"/>
      <c r="G1261" s="3"/>
      <c r="H1261" s="3"/>
      <c r="I1261" s="3"/>
    </row>
    <row r="1262">
      <c r="A1262" s="4" t="s">
        <v>5794</v>
      </c>
      <c r="B1262" s="13" t="s">
        <v>43</v>
      </c>
      <c r="D1262" s="3"/>
      <c r="E1262" s="3"/>
      <c r="F1262" s="3"/>
      <c r="G1262" s="3"/>
      <c r="H1262" s="3"/>
      <c r="I1262" s="3"/>
    </row>
    <row r="1263">
      <c r="A1263" s="4" t="s">
        <v>5795</v>
      </c>
      <c r="B1263" s="13" t="s">
        <v>43</v>
      </c>
      <c r="D1263" s="3"/>
      <c r="E1263" s="3"/>
      <c r="F1263" s="3"/>
      <c r="G1263" s="3"/>
      <c r="H1263" s="3"/>
      <c r="I1263" s="3"/>
    </row>
    <row r="1264">
      <c r="A1264" s="4" t="s">
        <v>5796</v>
      </c>
      <c r="B1264" s="13" t="s">
        <v>43</v>
      </c>
      <c r="D1264" s="3"/>
      <c r="E1264" s="3"/>
      <c r="F1264" s="3"/>
      <c r="G1264" s="3"/>
      <c r="H1264" s="3"/>
      <c r="I1264" s="3"/>
    </row>
    <row r="1265">
      <c r="A1265" s="4" t="s">
        <v>5797</v>
      </c>
      <c r="B1265" s="13" t="s">
        <v>43</v>
      </c>
      <c r="D1265" s="3"/>
      <c r="E1265" s="3"/>
      <c r="F1265" s="3"/>
      <c r="G1265" s="3"/>
      <c r="H1265" s="3"/>
      <c r="I1265" s="3"/>
    </row>
    <row r="1266">
      <c r="A1266" s="4" t="s">
        <v>5798</v>
      </c>
      <c r="B1266" s="13" t="s">
        <v>43</v>
      </c>
      <c r="D1266" s="3"/>
      <c r="E1266" s="3"/>
      <c r="F1266" s="3"/>
      <c r="G1266" s="3"/>
      <c r="H1266" s="3"/>
      <c r="I1266" s="3"/>
    </row>
    <row r="1267">
      <c r="A1267" s="4" t="s">
        <v>5799</v>
      </c>
      <c r="B1267" s="13" t="s">
        <v>43</v>
      </c>
      <c r="D1267" s="3"/>
      <c r="E1267" s="3"/>
      <c r="F1267" s="3"/>
      <c r="G1267" s="3"/>
      <c r="H1267" s="3"/>
      <c r="I1267" s="3"/>
    </row>
    <row r="1268">
      <c r="A1268" s="4" t="s">
        <v>5800</v>
      </c>
      <c r="B1268" s="13" t="s">
        <v>43</v>
      </c>
      <c r="D1268" s="3"/>
      <c r="E1268" s="3"/>
      <c r="F1268" s="3"/>
      <c r="G1268" s="3"/>
      <c r="H1268" s="3"/>
      <c r="I1268" s="3"/>
    </row>
    <row r="1269">
      <c r="A1269" s="4" t="s">
        <v>5801</v>
      </c>
      <c r="B1269" s="13" t="s">
        <v>43</v>
      </c>
      <c r="D1269" s="3"/>
      <c r="E1269" s="3"/>
      <c r="F1269" s="3"/>
      <c r="G1269" s="3"/>
      <c r="H1269" s="3"/>
      <c r="I1269" s="3"/>
      <c r="J1269" s="4" t="s">
        <v>1757</v>
      </c>
    </row>
    <row r="1270">
      <c r="A1270" s="4" t="s">
        <v>5802</v>
      </c>
      <c r="B1270" s="13" t="s">
        <v>43</v>
      </c>
      <c r="D1270" s="3"/>
      <c r="E1270" s="3"/>
      <c r="F1270" s="3"/>
      <c r="G1270" s="3"/>
      <c r="H1270" s="3"/>
      <c r="I1270" s="3"/>
      <c r="J1270" s="4" t="s">
        <v>1757</v>
      </c>
    </row>
    <row r="1271">
      <c r="A1271" s="4" t="s">
        <v>5803</v>
      </c>
      <c r="B1271" s="13" t="s">
        <v>43</v>
      </c>
      <c r="D1271" s="3"/>
      <c r="E1271" s="3"/>
      <c r="F1271" s="3"/>
      <c r="G1271" s="3"/>
      <c r="H1271" s="3"/>
      <c r="I1271" s="3"/>
      <c r="J1271" s="4" t="s">
        <v>1757</v>
      </c>
    </row>
    <row r="1272">
      <c r="A1272" s="4" t="s">
        <v>5804</v>
      </c>
      <c r="B1272" s="13" t="s">
        <v>43</v>
      </c>
      <c r="D1272" s="3"/>
      <c r="E1272" s="3"/>
      <c r="F1272" s="3"/>
      <c r="G1272" s="3"/>
      <c r="H1272" s="3"/>
      <c r="I1272" s="3"/>
      <c r="J1272" s="4" t="s">
        <v>1757</v>
      </c>
    </row>
    <row r="1273">
      <c r="A1273" s="4" t="s">
        <v>5805</v>
      </c>
      <c r="B1273" s="13" t="s">
        <v>43</v>
      </c>
      <c r="D1273" s="3"/>
      <c r="E1273" s="3"/>
      <c r="F1273" s="3"/>
      <c r="G1273" s="3"/>
      <c r="H1273" s="3"/>
      <c r="I1273" s="3"/>
      <c r="J1273" s="4" t="s">
        <v>1757</v>
      </c>
    </row>
    <row r="1274">
      <c r="A1274" s="4" t="s">
        <v>5806</v>
      </c>
      <c r="B1274" s="13" t="s">
        <v>43</v>
      </c>
      <c r="D1274" s="3"/>
      <c r="E1274" s="3"/>
      <c r="F1274" s="3"/>
      <c r="G1274" s="3"/>
      <c r="H1274" s="3"/>
      <c r="I1274" s="3"/>
      <c r="J1274" s="4" t="s">
        <v>1757</v>
      </c>
    </row>
    <row r="1275">
      <c r="A1275" s="4" t="s">
        <v>5807</v>
      </c>
      <c r="B1275" s="13" t="s">
        <v>43</v>
      </c>
      <c r="D1275" s="3"/>
      <c r="E1275" s="3"/>
      <c r="F1275" s="3"/>
      <c r="G1275" s="3"/>
      <c r="H1275" s="3"/>
      <c r="I1275" s="3"/>
      <c r="J1275" s="4" t="s">
        <v>1757</v>
      </c>
    </row>
    <row r="1276">
      <c r="A1276" s="4" t="s">
        <v>5808</v>
      </c>
      <c r="B1276" s="13" t="s">
        <v>43</v>
      </c>
      <c r="D1276" s="3"/>
      <c r="E1276" s="3"/>
      <c r="F1276" s="3"/>
      <c r="G1276" s="3"/>
      <c r="H1276" s="3"/>
      <c r="I1276" s="3"/>
      <c r="J1276" s="4" t="s">
        <v>1757</v>
      </c>
    </row>
    <row r="1277">
      <c r="A1277" s="4" t="s">
        <v>5809</v>
      </c>
      <c r="B1277" s="13" t="s">
        <v>43</v>
      </c>
      <c r="D1277" s="3"/>
      <c r="E1277" s="3"/>
      <c r="F1277" s="3"/>
      <c r="G1277" s="3"/>
      <c r="H1277" s="3"/>
      <c r="I1277" s="3"/>
      <c r="J1277" s="4" t="s">
        <v>1757</v>
      </c>
    </row>
    <row r="1278">
      <c r="A1278" s="4" t="s">
        <v>5810</v>
      </c>
      <c r="B1278" s="13" t="s">
        <v>43</v>
      </c>
      <c r="D1278" s="3"/>
      <c r="E1278" s="3"/>
      <c r="F1278" s="3"/>
      <c r="G1278" s="3"/>
      <c r="H1278" s="3"/>
      <c r="I1278" s="3"/>
      <c r="J1278" s="4" t="s">
        <v>1757</v>
      </c>
    </row>
    <row r="1279">
      <c r="A1279" s="4" t="s">
        <v>5811</v>
      </c>
      <c r="B1279" s="13" t="s">
        <v>43</v>
      </c>
      <c r="D1279" s="3"/>
      <c r="E1279" s="3"/>
      <c r="F1279" s="3"/>
      <c r="G1279" s="3"/>
      <c r="H1279" s="3"/>
      <c r="I1279" s="3"/>
      <c r="J1279" s="4" t="s">
        <v>1757</v>
      </c>
    </row>
    <row r="1280">
      <c r="A1280" s="4" t="s">
        <v>5812</v>
      </c>
      <c r="B1280" s="13" t="s">
        <v>43</v>
      </c>
      <c r="D1280" s="3"/>
      <c r="E1280" s="3"/>
      <c r="F1280" s="3"/>
      <c r="G1280" s="3"/>
      <c r="H1280" s="3"/>
      <c r="I1280" s="3"/>
      <c r="J1280" s="4" t="s">
        <v>1757</v>
      </c>
    </row>
    <row r="1281">
      <c r="A1281" s="4" t="s">
        <v>5813</v>
      </c>
      <c r="B1281" s="13" t="s">
        <v>43</v>
      </c>
      <c r="D1281" s="3"/>
      <c r="E1281" s="3"/>
      <c r="F1281" s="3"/>
      <c r="G1281" s="3"/>
      <c r="H1281" s="3"/>
      <c r="I1281" s="3"/>
      <c r="J1281" s="4" t="s">
        <v>1757</v>
      </c>
    </row>
    <row r="1282">
      <c r="A1282" s="4" t="s">
        <v>5814</v>
      </c>
      <c r="B1282" s="13" t="s">
        <v>43</v>
      </c>
      <c r="D1282" s="3"/>
      <c r="E1282" s="3"/>
      <c r="F1282" s="3"/>
      <c r="G1282" s="3"/>
      <c r="H1282" s="3"/>
      <c r="I1282" s="3"/>
      <c r="J1282" s="4" t="s">
        <v>1757</v>
      </c>
    </row>
    <row r="1283">
      <c r="A1283" s="4" t="s">
        <v>5815</v>
      </c>
      <c r="B1283" s="13" t="s">
        <v>43</v>
      </c>
      <c r="D1283" s="3"/>
      <c r="E1283" s="3"/>
      <c r="F1283" s="3"/>
      <c r="G1283" s="3"/>
      <c r="H1283" s="3"/>
      <c r="I1283" s="3"/>
      <c r="J1283" s="4" t="s">
        <v>1757</v>
      </c>
    </row>
    <row r="1284">
      <c r="A1284" s="4" t="s">
        <v>5816</v>
      </c>
      <c r="B1284" s="13" t="s">
        <v>43</v>
      </c>
      <c r="D1284" s="3"/>
      <c r="E1284" s="3"/>
      <c r="F1284" s="3"/>
      <c r="G1284" s="3"/>
      <c r="H1284" s="3"/>
      <c r="I1284" s="3"/>
      <c r="J1284" s="4" t="s">
        <v>1757</v>
      </c>
    </row>
    <row r="1285">
      <c r="A1285" s="4" t="s">
        <v>5817</v>
      </c>
      <c r="B1285" s="13" t="s">
        <v>43</v>
      </c>
      <c r="D1285" s="3"/>
      <c r="E1285" s="3"/>
      <c r="F1285" s="3"/>
      <c r="G1285" s="3"/>
      <c r="H1285" s="3"/>
      <c r="I1285" s="3"/>
      <c r="J1285" s="4" t="s">
        <v>1757</v>
      </c>
    </row>
    <row r="1286">
      <c r="A1286" s="4" t="s">
        <v>5818</v>
      </c>
      <c r="B1286" s="13" t="s">
        <v>43</v>
      </c>
      <c r="D1286" s="3"/>
      <c r="E1286" s="3"/>
      <c r="F1286" s="3"/>
      <c r="G1286" s="3"/>
      <c r="H1286" s="3"/>
      <c r="I1286" s="3"/>
      <c r="J1286" s="4" t="s">
        <v>1757</v>
      </c>
    </row>
    <row r="1287">
      <c r="A1287" s="4" t="s">
        <v>5819</v>
      </c>
      <c r="B1287" s="13" t="s">
        <v>43</v>
      </c>
      <c r="D1287" s="3"/>
      <c r="E1287" s="3"/>
      <c r="F1287" s="3"/>
      <c r="G1287" s="3"/>
      <c r="H1287" s="3"/>
      <c r="I1287" s="3"/>
      <c r="J1287" s="4" t="s">
        <v>1757</v>
      </c>
    </row>
    <row r="1288">
      <c r="A1288" s="4" t="s">
        <v>5820</v>
      </c>
      <c r="B1288" s="13" t="s">
        <v>43</v>
      </c>
      <c r="D1288" s="3"/>
      <c r="E1288" s="3"/>
      <c r="F1288" s="3"/>
      <c r="G1288" s="3"/>
      <c r="H1288" s="3"/>
      <c r="I1288" s="3"/>
      <c r="J1288" s="4" t="s">
        <v>1757</v>
      </c>
    </row>
    <row r="1289">
      <c r="A1289" s="4" t="s">
        <v>5821</v>
      </c>
      <c r="B1289" s="13" t="s">
        <v>43</v>
      </c>
      <c r="D1289" s="3"/>
      <c r="E1289" s="3"/>
      <c r="F1289" s="3"/>
      <c r="G1289" s="3"/>
      <c r="H1289" s="3"/>
      <c r="I1289" s="3"/>
      <c r="J1289" s="4" t="s">
        <v>1757</v>
      </c>
    </row>
    <row r="1290">
      <c r="A1290" s="4" t="s">
        <v>5822</v>
      </c>
      <c r="B1290" s="13" t="s">
        <v>43</v>
      </c>
      <c r="D1290" s="3"/>
      <c r="E1290" s="3"/>
      <c r="F1290" s="3"/>
      <c r="G1290" s="3"/>
      <c r="H1290" s="3"/>
      <c r="I1290" s="3"/>
      <c r="J1290" s="4" t="s">
        <v>1757</v>
      </c>
    </row>
    <row r="1291">
      <c r="A1291" s="4" t="s">
        <v>5823</v>
      </c>
      <c r="B1291" s="13" t="s">
        <v>43</v>
      </c>
      <c r="D1291" s="3"/>
      <c r="E1291" s="3"/>
      <c r="F1291" s="3"/>
      <c r="G1291" s="3"/>
      <c r="H1291" s="3"/>
      <c r="I1291" s="3"/>
      <c r="J1291" s="4" t="s">
        <v>1757</v>
      </c>
    </row>
    <row r="1292">
      <c r="A1292" s="4" t="s">
        <v>5824</v>
      </c>
      <c r="B1292" s="13" t="s">
        <v>43</v>
      </c>
      <c r="D1292" s="3"/>
      <c r="E1292" s="3"/>
      <c r="F1292" s="3"/>
      <c r="G1292" s="3"/>
      <c r="H1292" s="3"/>
      <c r="I1292" s="3"/>
      <c r="J1292" s="4" t="s">
        <v>1757</v>
      </c>
    </row>
    <row r="1293">
      <c r="A1293" s="4" t="s">
        <v>5825</v>
      </c>
      <c r="B1293" s="13" t="s">
        <v>43</v>
      </c>
      <c r="D1293" s="3"/>
      <c r="E1293" s="3"/>
      <c r="F1293" s="3"/>
      <c r="G1293" s="3"/>
      <c r="H1293" s="3"/>
      <c r="I1293" s="3"/>
      <c r="J1293" s="4" t="s">
        <v>1757</v>
      </c>
    </row>
    <row r="1294">
      <c r="A1294" s="4" t="s">
        <v>5826</v>
      </c>
      <c r="B1294" s="13" t="s">
        <v>43</v>
      </c>
      <c r="D1294" s="3"/>
      <c r="E1294" s="3"/>
      <c r="F1294" s="3"/>
      <c r="G1294" s="3"/>
      <c r="H1294" s="3"/>
      <c r="I1294" s="3"/>
      <c r="J1294" s="4" t="s">
        <v>1757</v>
      </c>
    </row>
    <row r="1295">
      <c r="A1295" s="4" t="s">
        <v>5827</v>
      </c>
      <c r="B1295" s="13" t="s">
        <v>43</v>
      </c>
      <c r="D1295" s="3"/>
      <c r="E1295" s="3"/>
      <c r="F1295" s="3"/>
      <c r="G1295" s="3"/>
      <c r="H1295" s="3"/>
      <c r="I1295" s="3"/>
      <c r="J1295" s="4" t="s">
        <v>1757</v>
      </c>
    </row>
    <row r="1296">
      <c r="A1296" s="4" t="s">
        <v>5828</v>
      </c>
      <c r="B1296" s="13" t="s">
        <v>43</v>
      </c>
      <c r="D1296" s="3"/>
      <c r="E1296" s="3"/>
      <c r="F1296" s="3"/>
      <c r="G1296" s="3"/>
      <c r="H1296" s="3"/>
      <c r="I1296" s="3"/>
      <c r="J1296" s="4" t="s">
        <v>1757</v>
      </c>
    </row>
    <row r="1297">
      <c r="A1297" s="4" t="s">
        <v>5829</v>
      </c>
      <c r="B1297" s="13" t="s">
        <v>43</v>
      </c>
      <c r="D1297" s="3"/>
      <c r="E1297" s="3"/>
      <c r="F1297" s="3"/>
      <c r="G1297" s="3"/>
      <c r="H1297" s="3"/>
      <c r="I1297" s="3"/>
      <c r="J1297" s="4" t="s">
        <v>1757</v>
      </c>
    </row>
    <row r="1298">
      <c r="A1298" s="4" t="s">
        <v>5830</v>
      </c>
      <c r="B1298" s="13" t="s">
        <v>43</v>
      </c>
      <c r="D1298" s="3"/>
      <c r="E1298" s="3"/>
      <c r="F1298" s="3"/>
      <c r="G1298" s="3"/>
      <c r="H1298" s="3"/>
      <c r="I1298" s="3"/>
      <c r="J1298" s="4" t="s">
        <v>1757</v>
      </c>
    </row>
    <row r="1299">
      <c r="A1299" s="4" t="s">
        <v>5831</v>
      </c>
      <c r="B1299" s="13" t="s">
        <v>43</v>
      </c>
      <c r="D1299" s="3"/>
      <c r="E1299" s="3"/>
      <c r="F1299" s="3"/>
      <c r="G1299" s="3"/>
      <c r="H1299" s="3"/>
      <c r="I1299" s="3"/>
      <c r="J1299" s="4" t="s">
        <v>1757</v>
      </c>
    </row>
    <row r="1300">
      <c r="A1300" s="4" t="s">
        <v>5832</v>
      </c>
      <c r="B1300" s="13" t="s">
        <v>43</v>
      </c>
      <c r="D1300" s="3"/>
      <c r="E1300" s="3"/>
      <c r="F1300" s="3"/>
      <c r="G1300" s="3"/>
      <c r="H1300" s="3"/>
      <c r="I1300" s="3"/>
      <c r="J1300" s="4" t="s">
        <v>1757</v>
      </c>
    </row>
    <row r="1301">
      <c r="A1301" s="4" t="s">
        <v>5833</v>
      </c>
      <c r="B1301" s="13" t="s">
        <v>43</v>
      </c>
      <c r="D1301" s="3"/>
      <c r="E1301" s="3"/>
      <c r="F1301" s="3"/>
      <c r="G1301" s="3"/>
      <c r="H1301" s="3"/>
      <c r="I1301" s="3"/>
      <c r="J1301" s="4" t="s">
        <v>1757</v>
      </c>
    </row>
    <row r="1302">
      <c r="A1302" s="4" t="s">
        <v>5834</v>
      </c>
      <c r="B1302" s="13" t="s">
        <v>43</v>
      </c>
      <c r="D1302" s="3"/>
      <c r="E1302" s="3"/>
      <c r="F1302" s="3"/>
      <c r="G1302" s="3"/>
      <c r="H1302" s="3"/>
      <c r="I1302" s="3"/>
      <c r="J1302" s="4" t="s">
        <v>1757</v>
      </c>
    </row>
    <row r="1303">
      <c r="A1303" s="4" t="s">
        <v>5835</v>
      </c>
      <c r="B1303" s="13" t="s">
        <v>43</v>
      </c>
      <c r="D1303" s="3"/>
      <c r="E1303" s="3"/>
      <c r="F1303" s="3"/>
      <c r="G1303" s="3"/>
      <c r="H1303" s="3"/>
      <c r="I1303" s="3"/>
      <c r="J1303" s="4" t="s">
        <v>1757</v>
      </c>
    </row>
    <row r="1304">
      <c r="A1304" s="4" t="s">
        <v>5836</v>
      </c>
      <c r="B1304" s="13" t="s">
        <v>43</v>
      </c>
      <c r="D1304" s="3"/>
      <c r="E1304" s="3"/>
      <c r="F1304" s="3"/>
      <c r="G1304" s="3"/>
      <c r="H1304" s="3"/>
      <c r="I1304" s="3"/>
      <c r="J1304" s="4" t="s">
        <v>1757</v>
      </c>
    </row>
    <row r="1305">
      <c r="A1305" s="4" t="s">
        <v>5837</v>
      </c>
      <c r="B1305" s="13" t="s">
        <v>43</v>
      </c>
      <c r="D1305" s="3"/>
      <c r="E1305" s="3"/>
      <c r="F1305" s="3"/>
      <c r="G1305" s="3"/>
      <c r="H1305" s="3"/>
      <c r="I1305" s="3"/>
      <c r="J1305" s="4" t="s">
        <v>1757</v>
      </c>
    </row>
    <row r="1306">
      <c r="A1306" s="4" t="s">
        <v>5838</v>
      </c>
      <c r="B1306" s="13" t="s">
        <v>43</v>
      </c>
      <c r="D1306" s="3"/>
      <c r="E1306" s="3"/>
      <c r="F1306" s="3"/>
      <c r="G1306" s="3"/>
      <c r="H1306" s="3"/>
      <c r="I1306" s="3"/>
      <c r="J1306" s="4" t="s">
        <v>1757</v>
      </c>
    </row>
    <row r="1307">
      <c r="A1307" s="4" t="s">
        <v>5839</v>
      </c>
      <c r="B1307" s="13" t="s">
        <v>43</v>
      </c>
      <c r="D1307" s="3"/>
      <c r="E1307" s="3"/>
      <c r="F1307" s="3"/>
      <c r="G1307" s="3"/>
      <c r="H1307" s="3"/>
      <c r="I1307" s="3"/>
      <c r="J1307" s="4" t="s">
        <v>1757</v>
      </c>
    </row>
    <row r="1308">
      <c r="A1308" s="4" t="s">
        <v>5840</v>
      </c>
      <c r="B1308" s="13" t="s">
        <v>43</v>
      </c>
      <c r="D1308" s="3"/>
      <c r="E1308" s="3"/>
      <c r="F1308" s="3"/>
      <c r="G1308" s="3"/>
      <c r="H1308" s="3"/>
      <c r="I1308" s="3"/>
      <c r="J1308" s="4" t="s">
        <v>1757</v>
      </c>
    </row>
    <row r="1309">
      <c r="A1309" s="4" t="s">
        <v>5841</v>
      </c>
      <c r="B1309" s="13" t="s">
        <v>43</v>
      </c>
      <c r="D1309" s="3"/>
      <c r="E1309" s="3"/>
      <c r="F1309" s="3"/>
      <c r="G1309" s="3"/>
      <c r="H1309" s="3"/>
      <c r="I1309" s="3"/>
      <c r="J1309" s="4" t="s">
        <v>1757</v>
      </c>
    </row>
    <row r="1310">
      <c r="A1310" s="4" t="s">
        <v>5842</v>
      </c>
      <c r="B1310" s="13" t="s">
        <v>43</v>
      </c>
      <c r="D1310" s="3"/>
      <c r="E1310" s="3"/>
      <c r="F1310" s="3"/>
      <c r="G1310" s="3"/>
      <c r="H1310" s="3"/>
      <c r="I1310" s="3"/>
    </row>
    <row r="1311">
      <c r="A1311" s="4" t="s">
        <v>5843</v>
      </c>
      <c r="B1311" s="13" t="s">
        <v>43</v>
      </c>
      <c r="D1311" s="3"/>
      <c r="E1311" s="3"/>
      <c r="F1311" s="3"/>
      <c r="G1311" s="3"/>
      <c r="H1311" s="3"/>
      <c r="I1311" s="3"/>
    </row>
    <row r="1312">
      <c r="A1312" s="4" t="s">
        <v>5844</v>
      </c>
      <c r="B1312" s="13" t="s">
        <v>43</v>
      </c>
      <c r="D1312" s="3"/>
      <c r="E1312" s="3"/>
      <c r="F1312" s="3"/>
      <c r="G1312" s="3"/>
      <c r="H1312" s="3"/>
      <c r="I1312" s="3"/>
    </row>
    <row r="1313">
      <c r="A1313" s="4" t="s">
        <v>5845</v>
      </c>
      <c r="B1313" s="13" t="s">
        <v>43</v>
      </c>
      <c r="D1313" s="3"/>
      <c r="E1313" s="3"/>
      <c r="F1313" s="3"/>
      <c r="G1313" s="3"/>
      <c r="H1313" s="3"/>
      <c r="I1313" s="3"/>
    </row>
    <row r="1314">
      <c r="A1314" s="4" t="s">
        <v>5846</v>
      </c>
      <c r="B1314" s="13" t="s">
        <v>43</v>
      </c>
      <c r="D1314" s="3"/>
      <c r="E1314" s="3"/>
      <c r="F1314" s="3"/>
      <c r="G1314" s="3"/>
      <c r="H1314" s="3"/>
      <c r="I1314" s="3"/>
    </row>
    <row r="1315">
      <c r="A1315" s="4" t="s">
        <v>5847</v>
      </c>
      <c r="B1315" s="13" t="s">
        <v>43</v>
      </c>
      <c r="D1315" s="3"/>
      <c r="E1315" s="3"/>
      <c r="F1315" s="3"/>
      <c r="G1315" s="3"/>
      <c r="H1315" s="3"/>
      <c r="I1315" s="3"/>
    </row>
    <row r="1316">
      <c r="A1316" s="4" t="s">
        <v>5848</v>
      </c>
      <c r="B1316" s="13" t="s">
        <v>43</v>
      </c>
      <c r="D1316" s="3"/>
      <c r="E1316" s="3"/>
      <c r="F1316" s="3"/>
      <c r="G1316" s="3"/>
      <c r="H1316" s="3"/>
      <c r="I1316" s="3"/>
    </row>
    <row r="1317">
      <c r="A1317" s="4" t="s">
        <v>5849</v>
      </c>
      <c r="B1317" s="13" t="s">
        <v>43</v>
      </c>
      <c r="D1317" s="3"/>
      <c r="E1317" s="3"/>
      <c r="F1317" s="3"/>
      <c r="G1317" s="3"/>
      <c r="H1317" s="3"/>
      <c r="I1317" s="3"/>
    </row>
    <row r="1318">
      <c r="A1318" s="4" t="s">
        <v>5850</v>
      </c>
      <c r="B1318" s="13" t="s">
        <v>43</v>
      </c>
      <c r="D1318" s="3"/>
      <c r="E1318" s="3"/>
      <c r="F1318" s="3"/>
      <c r="G1318" s="3"/>
      <c r="H1318" s="3"/>
      <c r="I1318" s="3"/>
    </row>
    <row r="1319">
      <c r="A1319" s="4" t="s">
        <v>5851</v>
      </c>
      <c r="B1319" s="13" t="s">
        <v>43</v>
      </c>
      <c r="D1319" s="3"/>
      <c r="E1319" s="3"/>
      <c r="F1319" s="3"/>
      <c r="G1319" s="3"/>
      <c r="H1319" s="3"/>
      <c r="I1319" s="3"/>
    </row>
    <row r="1320">
      <c r="A1320" s="4" t="s">
        <v>5852</v>
      </c>
      <c r="B1320" s="13" t="s">
        <v>43</v>
      </c>
      <c r="D1320" s="3"/>
      <c r="E1320" s="3"/>
      <c r="F1320" s="3"/>
      <c r="G1320" s="3"/>
      <c r="H1320" s="3"/>
      <c r="I1320" s="3"/>
    </row>
    <row r="1321">
      <c r="A1321" s="4" t="s">
        <v>5853</v>
      </c>
      <c r="B1321" s="13" t="s">
        <v>43</v>
      </c>
      <c r="D1321" s="3"/>
      <c r="E1321" s="3"/>
      <c r="F1321" s="3"/>
      <c r="G1321" s="3"/>
      <c r="H1321" s="3"/>
      <c r="I1321" s="3"/>
    </row>
    <row r="1322">
      <c r="A1322" s="4" t="s">
        <v>5854</v>
      </c>
      <c r="B1322" s="13" t="s">
        <v>43</v>
      </c>
      <c r="D1322" s="3"/>
      <c r="E1322" s="3"/>
      <c r="F1322" s="3"/>
      <c r="G1322" s="3"/>
      <c r="H1322" s="3"/>
      <c r="I1322" s="3"/>
    </row>
    <row r="1323">
      <c r="A1323" s="4" t="s">
        <v>5855</v>
      </c>
      <c r="B1323" s="13" t="s">
        <v>43</v>
      </c>
      <c r="D1323" s="3"/>
      <c r="E1323" s="3"/>
      <c r="F1323" s="3"/>
      <c r="G1323" s="3"/>
      <c r="H1323" s="3"/>
      <c r="I1323" s="3"/>
    </row>
    <row r="1324">
      <c r="A1324" s="4" t="s">
        <v>5856</v>
      </c>
      <c r="B1324" s="13" t="s">
        <v>43</v>
      </c>
      <c r="D1324" s="3"/>
      <c r="E1324" s="3"/>
      <c r="F1324" s="3"/>
      <c r="G1324" s="3"/>
      <c r="H1324" s="3"/>
      <c r="I1324" s="3"/>
    </row>
    <row r="1325">
      <c r="A1325" s="4" t="s">
        <v>5857</v>
      </c>
      <c r="B1325" s="13" t="s">
        <v>43</v>
      </c>
      <c r="D1325" s="3"/>
      <c r="E1325" s="3"/>
      <c r="F1325" s="3"/>
      <c r="G1325" s="3"/>
      <c r="H1325" s="3"/>
      <c r="I1325" s="3"/>
    </row>
    <row r="1326">
      <c r="A1326" s="4" t="s">
        <v>5858</v>
      </c>
      <c r="B1326" s="13" t="s">
        <v>43</v>
      </c>
      <c r="D1326" s="3"/>
      <c r="E1326" s="3"/>
      <c r="F1326" s="3"/>
      <c r="G1326" s="3"/>
      <c r="H1326" s="3"/>
      <c r="I1326" s="3"/>
    </row>
    <row r="1327">
      <c r="A1327" s="4" t="s">
        <v>5859</v>
      </c>
      <c r="B1327" s="13" t="s">
        <v>43</v>
      </c>
      <c r="D1327" s="3"/>
      <c r="E1327" s="3"/>
      <c r="F1327" s="3"/>
      <c r="G1327" s="3"/>
      <c r="H1327" s="3"/>
      <c r="I1327" s="3"/>
    </row>
    <row r="1328">
      <c r="A1328" s="4" t="s">
        <v>5860</v>
      </c>
      <c r="B1328" s="13" t="s">
        <v>43</v>
      </c>
      <c r="D1328" s="3"/>
      <c r="E1328" s="3"/>
      <c r="F1328" s="3"/>
      <c r="G1328" s="3"/>
      <c r="H1328" s="3"/>
      <c r="I1328" s="3"/>
    </row>
    <row r="1329">
      <c r="A1329" s="4" t="s">
        <v>5861</v>
      </c>
      <c r="B1329" s="13" t="s">
        <v>43</v>
      </c>
      <c r="D1329" s="3"/>
      <c r="E1329" s="3"/>
      <c r="F1329" s="3"/>
      <c r="G1329" s="3"/>
      <c r="H1329" s="3"/>
      <c r="I1329" s="3"/>
    </row>
    <row r="1330">
      <c r="A1330" s="4" t="s">
        <v>5862</v>
      </c>
      <c r="B1330" s="13" t="s">
        <v>43</v>
      </c>
      <c r="D1330" s="3"/>
      <c r="E1330" s="3"/>
      <c r="F1330" s="3"/>
      <c r="G1330" s="3"/>
      <c r="H1330" s="3"/>
      <c r="I1330" s="3"/>
    </row>
    <row r="1331">
      <c r="A1331" s="4" t="s">
        <v>5863</v>
      </c>
      <c r="B1331" s="13" t="s">
        <v>43</v>
      </c>
      <c r="D1331" s="3"/>
      <c r="E1331" s="3"/>
      <c r="F1331" s="3"/>
      <c r="G1331" s="3"/>
      <c r="H1331" s="3"/>
      <c r="I1331" s="3"/>
    </row>
    <row r="1332">
      <c r="A1332" s="4" t="s">
        <v>5864</v>
      </c>
      <c r="B1332" s="13" t="s">
        <v>43</v>
      </c>
      <c r="D1332" s="3"/>
      <c r="E1332" s="3"/>
      <c r="F1332" s="3"/>
      <c r="G1332" s="3"/>
      <c r="H1332" s="3"/>
      <c r="I1332" s="3"/>
    </row>
    <row r="1333">
      <c r="A1333" s="4" t="s">
        <v>5865</v>
      </c>
      <c r="B1333" s="13" t="s">
        <v>43</v>
      </c>
      <c r="D1333" s="3"/>
      <c r="E1333" s="3"/>
      <c r="F1333" s="3"/>
      <c r="G1333" s="3"/>
      <c r="H1333" s="3"/>
      <c r="I1333" s="3"/>
    </row>
    <row r="1334">
      <c r="A1334" s="4" t="s">
        <v>5866</v>
      </c>
      <c r="B1334" s="13" t="s">
        <v>43</v>
      </c>
      <c r="D1334" s="3"/>
      <c r="E1334" s="3"/>
      <c r="F1334" s="3"/>
      <c r="G1334" s="3"/>
      <c r="H1334" s="3"/>
      <c r="I1334" s="3"/>
    </row>
    <row r="1335">
      <c r="A1335" s="4" t="s">
        <v>5867</v>
      </c>
      <c r="B1335" s="13" t="s">
        <v>43</v>
      </c>
      <c r="D1335" s="3"/>
      <c r="E1335" s="3"/>
      <c r="F1335" s="3"/>
      <c r="G1335" s="3"/>
      <c r="H1335" s="3"/>
      <c r="I1335" s="3"/>
    </row>
    <row r="1336">
      <c r="A1336" s="4" t="s">
        <v>5868</v>
      </c>
      <c r="B1336" s="13" t="s">
        <v>43</v>
      </c>
      <c r="D1336" s="3"/>
      <c r="E1336" s="3"/>
      <c r="F1336" s="3"/>
      <c r="G1336" s="3"/>
      <c r="H1336" s="3"/>
      <c r="I1336" s="3"/>
    </row>
    <row r="1337">
      <c r="A1337" s="4" t="s">
        <v>5869</v>
      </c>
      <c r="B1337" s="13" t="s">
        <v>43</v>
      </c>
      <c r="D1337" s="3"/>
      <c r="E1337" s="3"/>
      <c r="F1337" s="3"/>
      <c r="G1337" s="3"/>
      <c r="H1337" s="3"/>
      <c r="I1337" s="3"/>
    </row>
    <row r="1338">
      <c r="A1338" s="4" t="s">
        <v>5870</v>
      </c>
      <c r="B1338" s="13" t="s">
        <v>43</v>
      </c>
      <c r="D1338" s="3"/>
      <c r="E1338" s="3"/>
      <c r="F1338" s="3"/>
      <c r="G1338" s="3"/>
      <c r="H1338" s="3"/>
      <c r="I1338" s="3"/>
    </row>
    <row r="1339">
      <c r="A1339" s="4" t="s">
        <v>5871</v>
      </c>
      <c r="B1339" s="13" t="s">
        <v>43</v>
      </c>
      <c r="D1339" s="3"/>
      <c r="E1339" s="3"/>
      <c r="F1339" s="3"/>
      <c r="G1339" s="3"/>
      <c r="H1339" s="3"/>
      <c r="I1339" s="3"/>
    </row>
    <row r="1340">
      <c r="A1340" s="4" t="s">
        <v>5872</v>
      </c>
      <c r="B1340" s="13" t="s">
        <v>43</v>
      </c>
      <c r="D1340" s="3"/>
      <c r="E1340" s="3"/>
      <c r="F1340" s="3"/>
      <c r="G1340" s="3"/>
      <c r="H1340" s="3"/>
      <c r="I1340" s="3"/>
    </row>
    <row r="1341">
      <c r="A1341" s="4" t="s">
        <v>5873</v>
      </c>
      <c r="B1341" s="13" t="s">
        <v>43</v>
      </c>
      <c r="D1341" s="3"/>
      <c r="E1341" s="3"/>
      <c r="F1341" s="3"/>
      <c r="G1341" s="3"/>
      <c r="H1341" s="3"/>
      <c r="I1341" s="3"/>
    </row>
    <row r="1342">
      <c r="A1342" s="4" t="s">
        <v>5874</v>
      </c>
      <c r="B1342" s="13" t="s">
        <v>43</v>
      </c>
      <c r="D1342" s="3"/>
      <c r="E1342" s="3"/>
      <c r="F1342" s="3"/>
      <c r="G1342" s="3"/>
      <c r="H1342" s="3"/>
      <c r="I1342" s="3"/>
    </row>
    <row r="1343">
      <c r="A1343" s="4" t="s">
        <v>5875</v>
      </c>
      <c r="B1343" s="13" t="s">
        <v>43</v>
      </c>
      <c r="D1343" s="3"/>
      <c r="E1343" s="3"/>
      <c r="F1343" s="3"/>
      <c r="G1343" s="3"/>
      <c r="H1343" s="3"/>
      <c r="I1343" s="3"/>
    </row>
    <row r="1344">
      <c r="A1344" s="4" t="s">
        <v>5876</v>
      </c>
      <c r="B1344" s="13" t="s">
        <v>43</v>
      </c>
      <c r="D1344" s="3"/>
      <c r="E1344" s="3"/>
      <c r="F1344" s="3"/>
      <c r="G1344" s="3"/>
      <c r="H1344" s="3"/>
      <c r="I1344" s="3"/>
    </row>
    <row r="1345">
      <c r="A1345" s="4" t="s">
        <v>5877</v>
      </c>
      <c r="B1345" s="13" t="s">
        <v>43</v>
      </c>
      <c r="D1345" s="3"/>
      <c r="E1345" s="3"/>
      <c r="F1345" s="3"/>
      <c r="G1345" s="3"/>
      <c r="H1345" s="3"/>
      <c r="I1345" s="3"/>
    </row>
    <row r="1346">
      <c r="A1346" s="4" t="s">
        <v>5878</v>
      </c>
      <c r="B1346" s="13" t="s">
        <v>43</v>
      </c>
      <c r="D1346" s="3"/>
      <c r="E1346" s="3"/>
      <c r="F1346" s="3"/>
      <c r="G1346" s="3"/>
      <c r="H1346" s="3"/>
      <c r="I1346" s="3"/>
    </row>
    <row r="1347">
      <c r="A1347" s="4" t="s">
        <v>5879</v>
      </c>
      <c r="B1347" s="13" t="s">
        <v>43</v>
      </c>
      <c r="D1347" s="3"/>
      <c r="E1347" s="3"/>
      <c r="F1347" s="3"/>
      <c r="G1347" s="3"/>
      <c r="H1347" s="3"/>
      <c r="I1347" s="3"/>
    </row>
    <row r="1348">
      <c r="A1348" s="4" t="s">
        <v>5880</v>
      </c>
      <c r="B1348" s="13" t="s">
        <v>43</v>
      </c>
      <c r="D1348" s="3"/>
      <c r="E1348" s="3"/>
      <c r="F1348" s="3"/>
      <c r="G1348" s="3"/>
      <c r="H1348" s="3"/>
      <c r="I1348" s="3"/>
    </row>
    <row r="1349">
      <c r="A1349" s="4" t="s">
        <v>5881</v>
      </c>
      <c r="B1349" s="13" t="s">
        <v>43</v>
      </c>
      <c r="D1349" s="3"/>
      <c r="E1349" s="3"/>
      <c r="F1349" s="3"/>
      <c r="G1349" s="3"/>
      <c r="H1349" s="3"/>
      <c r="I1349" s="3"/>
    </row>
    <row r="1350">
      <c r="A1350" s="4" t="s">
        <v>5882</v>
      </c>
      <c r="B1350" s="13" t="s">
        <v>43</v>
      </c>
      <c r="D1350" s="3"/>
      <c r="E1350" s="3"/>
      <c r="F1350" s="3"/>
      <c r="G1350" s="3"/>
      <c r="H1350" s="3"/>
      <c r="I1350" s="3"/>
    </row>
    <row r="1351">
      <c r="A1351" s="4" t="s">
        <v>5883</v>
      </c>
      <c r="B1351" s="13" t="s">
        <v>43</v>
      </c>
      <c r="D1351" s="3"/>
      <c r="E1351" s="3"/>
      <c r="F1351" s="3"/>
      <c r="G1351" s="3"/>
      <c r="H1351" s="3"/>
      <c r="I1351" s="3"/>
    </row>
    <row r="1352">
      <c r="A1352" s="4" t="s">
        <v>5884</v>
      </c>
      <c r="B1352" s="13" t="s">
        <v>43</v>
      </c>
      <c r="D1352" s="3"/>
      <c r="E1352" s="3"/>
      <c r="F1352" s="3"/>
      <c r="G1352" s="3"/>
      <c r="H1352" s="3"/>
      <c r="I1352" s="3"/>
    </row>
    <row r="1353">
      <c r="A1353" s="4" t="s">
        <v>5885</v>
      </c>
      <c r="B1353" s="13" t="s">
        <v>43</v>
      </c>
      <c r="D1353" s="3"/>
      <c r="E1353" s="3"/>
      <c r="F1353" s="3"/>
      <c r="G1353" s="3"/>
      <c r="H1353" s="3"/>
      <c r="I1353" s="3"/>
    </row>
    <row r="1354">
      <c r="A1354" s="4" t="s">
        <v>5886</v>
      </c>
      <c r="B1354" s="13" t="s">
        <v>43</v>
      </c>
      <c r="D1354" s="3"/>
      <c r="E1354" s="3"/>
      <c r="F1354" s="3"/>
      <c r="G1354" s="3"/>
      <c r="H1354" s="3"/>
      <c r="I1354" s="3"/>
    </row>
    <row r="1355">
      <c r="A1355" s="4" t="s">
        <v>5887</v>
      </c>
      <c r="B1355" s="13" t="s">
        <v>43</v>
      </c>
      <c r="D1355" s="3"/>
      <c r="E1355" s="3"/>
      <c r="F1355" s="3"/>
      <c r="G1355" s="3"/>
      <c r="H1355" s="3"/>
      <c r="I1355" s="3"/>
    </row>
    <row r="1356">
      <c r="A1356" s="4" t="s">
        <v>5888</v>
      </c>
      <c r="B1356" s="13" t="s">
        <v>43</v>
      </c>
      <c r="D1356" s="3"/>
      <c r="E1356" s="3"/>
      <c r="F1356" s="3"/>
      <c r="G1356" s="3"/>
      <c r="H1356" s="3"/>
      <c r="I1356" s="3"/>
    </row>
    <row r="1357">
      <c r="A1357" s="4" t="s">
        <v>5889</v>
      </c>
      <c r="B1357" s="13" t="s">
        <v>43</v>
      </c>
      <c r="D1357" s="3"/>
      <c r="E1357" s="3"/>
      <c r="F1357" s="3"/>
      <c r="G1357" s="3"/>
      <c r="H1357" s="3"/>
      <c r="I1357" s="3"/>
    </row>
    <row r="1358">
      <c r="A1358" s="4" t="s">
        <v>5890</v>
      </c>
      <c r="B1358" s="13" t="s">
        <v>43</v>
      </c>
      <c r="D1358" s="3"/>
      <c r="E1358" s="3"/>
      <c r="F1358" s="3"/>
      <c r="G1358" s="3"/>
      <c r="H1358" s="3"/>
      <c r="I1358" s="3"/>
    </row>
    <row r="1359">
      <c r="A1359" s="4" t="s">
        <v>5891</v>
      </c>
      <c r="B1359" s="13" t="s">
        <v>43</v>
      </c>
      <c r="D1359" s="3"/>
      <c r="E1359" s="3"/>
      <c r="F1359" s="3"/>
      <c r="G1359" s="3"/>
      <c r="H1359" s="3"/>
      <c r="I1359" s="3"/>
    </row>
    <row r="1360">
      <c r="A1360" s="4" t="s">
        <v>5892</v>
      </c>
      <c r="B1360" s="13" t="s">
        <v>43</v>
      </c>
      <c r="D1360" s="3"/>
      <c r="E1360" s="3"/>
      <c r="F1360" s="3"/>
      <c r="G1360" s="3"/>
      <c r="H1360" s="3"/>
      <c r="I1360" s="3"/>
    </row>
    <row r="1361">
      <c r="A1361" s="4" t="s">
        <v>5893</v>
      </c>
      <c r="B1361" s="13" t="s">
        <v>43</v>
      </c>
      <c r="D1361" s="3"/>
      <c r="E1361" s="3"/>
      <c r="F1361" s="3"/>
      <c r="G1361" s="3"/>
      <c r="H1361" s="3"/>
      <c r="I1361" s="3"/>
    </row>
    <row r="1362">
      <c r="A1362" s="4" t="s">
        <v>5894</v>
      </c>
      <c r="B1362" s="13" t="s">
        <v>43</v>
      </c>
      <c r="D1362" s="3"/>
      <c r="E1362" s="3"/>
      <c r="F1362" s="3"/>
      <c r="G1362" s="3"/>
      <c r="H1362" s="3"/>
      <c r="I1362" s="3"/>
      <c r="J1362" s="4" t="s">
        <v>1757</v>
      </c>
    </row>
    <row r="1363">
      <c r="A1363" s="4" t="s">
        <v>5895</v>
      </c>
      <c r="B1363" s="13" t="s">
        <v>43</v>
      </c>
      <c r="D1363" s="3"/>
      <c r="E1363" s="3"/>
      <c r="F1363" s="3"/>
      <c r="G1363" s="3"/>
      <c r="H1363" s="3"/>
      <c r="I1363" s="3"/>
      <c r="J1363" s="4" t="s">
        <v>1757</v>
      </c>
    </row>
    <row r="1364">
      <c r="A1364" s="4" t="s">
        <v>5896</v>
      </c>
      <c r="B1364" s="13" t="s">
        <v>43</v>
      </c>
      <c r="D1364" s="3"/>
      <c r="E1364" s="3"/>
      <c r="F1364" s="3"/>
      <c r="G1364" s="3"/>
      <c r="H1364" s="3"/>
      <c r="I1364" s="3"/>
      <c r="J1364" s="4" t="s">
        <v>1757</v>
      </c>
    </row>
    <row r="1365">
      <c r="A1365" s="4" t="s">
        <v>5897</v>
      </c>
      <c r="B1365" s="13" t="s">
        <v>43</v>
      </c>
      <c r="D1365" s="3"/>
      <c r="E1365" s="3"/>
      <c r="F1365" s="3"/>
      <c r="G1365" s="3"/>
      <c r="H1365" s="3"/>
      <c r="I1365" s="3"/>
      <c r="J1365" s="4" t="s">
        <v>1757</v>
      </c>
    </row>
    <row r="1366">
      <c r="A1366" s="4" t="s">
        <v>5898</v>
      </c>
      <c r="B1366" s="13" t="s">
        <v>43</v>
      </c>
      <c r="D1366" s="3"/>
      <c r="E1366" s="3"/>
      <c r="F1366" s="3"/>
      <c r="G1366" s="3"/>
      <c r="H1366" s="3"/>
      <c r="I1366" s="3"/>
      <c r="J1366" s="4" t="s">
        <v>1757</v>
      </c>
    </row>
    <row r="1367">
      <c r="A1367" s="4" t="s">
        <v>5899</v>
      </c>
      <c r="B1367" s="13" t="s">
        <v>43</v>
      </c>
      <c r="D1367" s="3"/>
      <c r="E1367" s="3"/>
      <c r="F1367" s="3"/>
      <c r="G1367" s="3"/>
      <c r="H1367" s="3"/>
      <c r="I1367" s="3"/>
      <c r="J1367" s="4" t="s">
        <v>1757</v>
      </c>
    </row>
    <row r="1368">
      <c r="A1368" s="4" t="s">
        <v>5900</v>
      </c>
      <c r="B1368" s="13" t="s">
        <v>43</v>
      </c>
      <c r="D1368" s="3"/>
      <c r="E1368" s="3"/>
      <c r="F1368" s="3"/>
      <c r="G1368" s="3"/>
      <c r="H1368" s="3"/>
      <c r="I1368" s="3"/>
      <c r="J1368" s="4" t="s">
        <v>1757</v>
      </c>
    </row>
    <row r="1369">
      <c r="A1369" s="4" t="s">
        <v>5901</v>
      </c>
      <c r="B1369" s="13" t="s">
        <v>43</v>
      </c>
      <c r="D1369" s="3"/>
      <c r="E1369" s="3"/>
      <c r="F1369" s="3"/>
      <c r="G1369" s="3"/>
      <c r="H1369" s="3"/>
      <c r="I1369" s="3"/>
      <c r="J1369" s="4" t="s">
        <v>1757</v>
      </c>
    </row>
    <row r="1370">
      <c r="A1370" s="4" t="s">
        <v>5902</v>
      </c>
      <c r="B1370" s="13" t="s">
        <v>43</v>
      </c>
      <c r="D1370" s="3"/>
      <c r="E1370" s="3"/>
      <c r="F1370" s="3"/>
      <c r="G1370" s="3"/>
      <c r="H1370" s="3"/>
      <c r="I1370" s="3"/>
      <c r="J1370" s="4" t="s">
        <v>1757</v>
      </c>
    </row>
    <row r="1371">
      <c r="A1371" s="4" t="s">
        <v>5903</v>
      </c>
      <c r="B1371" s="13" t="s">
        <v>43</v>
      </c>
      <c r="D1371" s="3"/>
      <c r="E1371" s="3"/>
      <c r="F1371" s="3"/>
      <c r="G1371" s="3"/>
      <c r="H1371" s="3"/>
      <c r="I1371" s="3"/>
      <c r="J1371" s="4" t="s">
        <v>1757</v>
      </c>
    </row>
    <row r="1372">
      <c r="A1372" s="4" t="s">
        <v>5904</v>
      </c>
      <c r="B1372" s="13" t="s">
        <v>43</v>
      </c>
      <c r="D1372" s="3"/>
      <c r="E1372" s="3"/>
      <c r="F1372" s="3"/>
      <c r="G1372" s="3"/>
      <c r="H1372" s="3"/>
      <c r="I1372" s="3"/>
      <c r="J1372" s="4" t="s">
        <v>1757</v>
      </c>
    </row>
    <row r="1373">
      <c r="A1373" s="4" t="s">
        <v>5905</v>
      </c>
      <c r="B1373" s="13" t="s">
        <v>43</v>
      </c>
      <c r="D1373" s="3"/>
      <c r="E1373" s="3"/>
      <c r="F1373" s="3"/>
      <c r="G1373" s="3"/>
      <c r="H1373" s="3"/>
      <c r="I1373" s="3"/>
      <c r="J1373" s="4" t="s">
        <v>1757</v>
      </c>
    </row>
    <row r="1374">
      <c r="A1374" s="4" t="s">
        <v>5906</v>
      </c>
      <c r="B1374" s="13" t="s">
        <v>43</v>
      </c>
      <c r="D1374" s="3"/>
      <c r="E1374" s="3"/>
      <c r="F1374" s="3"/>
      <c r="G1374" s="3"/>
      <c r="H1374" s="3"/>
      <c r="I1374" s="3"/>
      <c r="J1374" s="4" t="s">
        <v>1757</v>
      </c>
    </row>
    <row r="1375">
      <c r="A1375" s="4" t="s">
        <v>5907</v>
      </c>
      <c r="B1375" s="13" t="s">
        <v>43</v>
      </c>
      <c r="D1375" s="3"/>
      <c r="E1375" s="3"/>
      <c r="F1375" s="3"/>
      <c r="G1375" s="3"/>
      <c r="H1375" s="3"/>
      <c r="I1375" s="3"/>
      <c r="J1375" s="4" t="s">
        <v>1757</v>
      </c>
    </row>
    <row r="1376">
      <c r="A1376" s="4" t="s">
        <v>5908</v>
      </c>
      <c r="B1376" s="13" t="s">
        <v>43</v>
      </c>
      <c r="D1376" s="3"/>
      <c r="E1376" s="3"/>
      <c r="F1376" s="3"/>
      <c r="G1376" s="3"/>
      <c r="H1376" s="3"/>
      <c r="I1376" s="3"/>
      <c r="J1376" s="4" t="s">
        <v>1757</v>
      </c>
    </row>
    <row r="1377">
      <c r="A1377" s="4" t="s">
        <v>5909</v>
      </c>
      <c r="B1377" s="13" t="s">
        <v>43</v>
      </c>
      <c r="D1377" s="3"/>
      <c r="E1377" s="3"/>
      <c r="F1377" s="3"/>
      <c r="G1377" s="3"/>
      <c r="H1377" s="3"/>
      <c r="I1377" s="3"/>
      <c r="J1377" s="4" t="s">
        <v>1757</v>
      </c>
    </row>
    <row r="1378">
      <c r="A1378" s="4" t="s">
        <v>5910</v>
      </c>
      <c r="B1378" s="13" t="s">
        <v>43</v>
      </c>
      <c r="D1378" s="3"/>
      <c r="E1378" s="3"/>
      <c r="F1378" s="3"/>
      <c r="G1378" s="3"/>
      <c r="H1378" s="3"/>
      <c r="I1378" s="3"/>
      <c r="J1378" s="4" t="s">
        <v>1757</v>
      </c>
    </row>
    <row r="1379">
      <c r="A1379" s="4" t="s">
        <v>5911</v>
      </c>
      <c r="B1379" s="13" t="s">
        <v>43</v>
      </c>
      <c r="D1379" s="3"/>
      <c r="E1379" s="3"/>
      <c r="F1379" s="3"/>
      <c r="G1379" s="3"/>
      <c r="H1379" s="3"/>
      <c r="I1379" s="3"/>
      <c r="J1379" s="4" t="s">
        <v>1757</v>
      </c>
    </row>
    <row r="1380">
      <c r="A1380" s="4" t="s">
        <v>5912</v>
      </c>
      <c r="B1380" s="13" t="s">
        <v>43</v>
      </c>
      <c r="D1380" s="3"/>
      <c r="E1380" s="3"/>
      <c r="F1380" s="3"/>
      <c r="G1380" s="3"/>
      <c r="H1380" s="3"/>
      <c r="I1380" s="3"/>
    </row>
    <row r="1381">
      <c r="A1381" s="4" t="s">
        <v>5913</v>
      </c>
      <c r="B1381" s="13" t="s">
        <v>43</v>
      </c>
      <c r="D1381" s="3"/>
      <c r="E1381" s="3"/>
      <c r="F1381" s="3"/>
      <c r="G1381" s="3"/>
      <c r="H1381" s="3"/>
      <c r="I1381" s="3"/>
    </row>
    <row r="1382">
      <c r="A1382" s="4" t="s">
        <v>5914</v>
      </c>
      <c r="B1382" s="13" t="s">
        <v>43</v>
      </c>
      <c r="D1382" s="3"/>
      <c r="E1382" s="3"/>
      <c r="F1382" s="3"/>
      <c r="G1382" s="3"/>
      <c r="H1382" s="3"/>
      <c r="I1382" s="3"/>
    </row>
    <row r="1383">
      <c r="A1383" s="4" t="s">
        <v>5915</v>
      </c>
      <c r="B1383" s="13" t="s">
        <v>43</v>
      </c>
      <c r="D1383" s="3"/>
      <c r="E1383" s="3"/>
      <c r="F1383" s="3"/>
      <c r="G1383" s="3"/>
      <c r="H1383" s="3"/>
      <c r="I1383" s="3"/>
    </row>
    <row r="1384">
      <c r="A1384" s="4" t="s">
        <v>5916</v>
      </c>
      <c r="B1384" s="13" t="s">
        <v>43</v>
      </c>
      <c r="D1384" s="3"/>
      <c r="E1384" s="3"/>
      <c r="F1384" s="3"/>
      <c r="G1384" s="3"/>
      <c r="H1384" s="3"/>
      <c r="I1384" s="3"/>
    </row>
    <row r="1385">
      <c r="A1385" s="4" t="s">
        <v>5917</v>
      </c>
      <c r="B1385" s="13" t="s">
        <v>43</v>
      </c>
      <c r="D1385" s="3"/>
      <c r="E1385" s="3"/>
      <c r="F1385" s="3"/>
      <c r="G1385" s="3"/>
      <c r="H1385" s="3"/>
      <c r="I1385" s="3"/>
    </row>
    <row r="1386">
      <c r="A1386" s="4" t="s">
        <v>5918</v>
      </c>
      <c r="B1386" s="13" t="s">
        <v>43</v>
      </c>
      <c r="D1386" s="3"/>
      <c r="E1386" s="3"/>
      <c r="F1386" s="3"/>
      <c r="G1386" s="3"/>
      <c r="H1386" s="3"/>
      <c r="I1386" s="3"/>
    </row>
    <row r="1387">
      <c r="A1387" s="4" t="s">
        <v>5919</v>
      </c>
      <c r="B1387" s="13" t="s">
        <v>43</v>
      </c>
      <c r="D1387" s="3"/>
      <c r="E1387" s="3"/>
      <c r="F1387" s="3"/>
      <c r="G1387" s="3"/>
      <c r="H1387" s="3"/>
      <c r="I1387" s="3"/>
    </row>
    <row r="1388">
      <c r="A1388" s="4" t="s">
        <v>5920</v>
      </c>
      <c r="B1388" s="13" t="s">
        <v>43</v>
      </c>
      <c r="D1388" s="3"/>
      <c r="E1388" s="3"/>
      <c r="F1388" s="3"/>
      <c r="G1388" s="3"/>
      <c r="H1388" s="3"/>
      <c r="I1388" s="3"/>
    </row>
    <row r="1389">
      <c r="A1389" s="4" t="s">
        <v>5921</v>
      </c>
      <c r="B1389" s="13" t="s">
        <v>43</v>
      </c>
      <c r="D1389" s="3"/>
      <c r="E1389" s="3"/>
      <c r="F1389" s="3"/>
      <c r="G1389" s="3"/>
      <c r="H1389" s="3"/>
      <c r="I1389" s="3"/>
    </row>
    <row r="1390">
      <c r="A1390" s="4" t="s">
        <v>5922</v>
      </c>
      <c r="B1390" s="13" t="s">
        <v>43</v>
      </c>
      <c r="D1390" s="3"/>
      <c r="E1390" s="3"/>
      <c r="F1390" s="3"/>
      <c r="G1390" s="3"/>
      <c r="H1390" s="3"/>
      <c r="I1390" s="3"/>
    </row>
    <row r="1391">
      <c r="A1391" s="4" t="s">
        <v>5923</v>
      </c>
      <c r="B1391" s="13" t="s">
        <v>43</v>
      </c>
      <c r="D1391" s="3"/>
      <c r="E1391" s="3"/>
      <c r="F1391" s="3"/>
      <c r="G1391" s="3"/>
      <c r="H1391" s="3"/>
      <c r="I1391" s="3"/>
    </row>
    <row r="1392">
      <c r="A1392" s="4" t="s">
        <v>5924</v>
      </c>
      <c r="B1392" s="13" t="s">
        <v>43</v>
      </c>
      <c r="D1392" s="3"/>
      <c r="E1392" s="3"/>
      <c r="F1392" s="3"/>
      <c r="G1392" s="3"/>
      <c r="H1392" s="3"/>
      <c r="I1392" s="3"/>
    </row>
    <row r="1393">
      <c r="A1393" s="4" t="s">
        <v>5925</v>
      </c>
      <c r="B1393" s="13" t="s">
        <v>43</v>
      </c>
      <c r="D1393" s="3"/>
      <c r="E1393" s="3"/>
      <c r="F1393" s="3"/>
      <c r="G1393" s="3"/>
      <c r="H1393" s="3"/>
      <c r="I1393" s="3"/>
    </row>
    <row r="1394">
      <c r="A1394" s="4" t="s">
        <v>5926</v>
      </c>
      <c r="B1394" s="13" t="s">
        <v>43</v>
      </c>
      <c r="D1394" s="3"/>
      <c r="E1394" s="3"/>
      <c r="F1394" s="3"/>
      <c r="G1394" s="3"/>
      <c r="H1394" s="3"/>
      <c r="I1394" s="3"/>
    </row>
    <row r="1395">
      <c r="A1395" s="4" t="s">
        <v>5927</v>
      </c>
      <c r="B1395" s="13" t="s">
        <v>43</v>
      </c>
      <c r="D1395" s="3"/>
      <c r="E1395" s="3"/>
      <c r="F1395" s="3"/>
      <c r="G1395" s="3"/>
      <c r="H1395" s="3"/>
      <c r="I1395" s="3"/>
    </row>
    <row r="1396">
      <c r="A1396" s="4" t="s">
        <v>5928</v>
      </c>
      <c r="B1396" s="13" t="s">
        <v>43</v>
      </c>
      <c r="D1396" s="3"/>
      <c r="E1396" s="3"/>
      <c r="F1396" s="3"/>
      <c r="G1396" s="3"/>
      <c r="H1396" s="3"/>
      <c r="I1396" s="3"/>
    </row>
    <row r="1397">
      <c r="A1397" s="4" t="s">
        <v>5929</v>
      </c>
      <c r="B1397" s="13" t="s">
        <v>43</v>
      </c>
      <c r="D1397" s="3"/>
      <c r="E1397" s="3"/>
      <c r="F1397" s="3"/>
      <c r="G1397" s="3"/>
      <c r="H1397" s="3"/>
      <c r="I1397" s="3"/>
    </row>
    <row r="1398">
      <c r="A1398" s="4" t="s">
        <v>5930</v>
      </c>
      <c r="B1398" s="13" t="s">
        <v>43</v>
      </c>
      <c r="D1398" s="3"/>
      <c r="E1398" s="3"/>
      <c r="F1398" s="3"/>
      <c r="G1398" s="3"/>
      <c r="H1398" s="3"/>
      <c r="I1398" s="3"/>
    </row>
    <row r="1399">
      <c r="A1399" s="4" t="s">
        <v>5931</v>
      </c>
      <c r="B1399" s="13" t="s">
        <v>43</v>
      </c>
      <c r="D1399" s="3"/>
      <c r="E1399" s="3"/>
      <c r="F1399" s="3"/>
      <c r="G1399" s="3"/>
      <c r="H1399" s="3"/>
      <c r="I1399" s="3"/>
    </row>
    <row r="1400">
      <c r="A1400" s="4" t="s">
        <v>5932</v>
      </c>
      <c r="B1400" s="13" t="s">
        <v>43</v>
      </c>
      <c r="D1400" s="3"/>
      <c r="E1400" s="3"/>
      <c r="F1400" s="3"/>
      <c r="G1400" s="3"/>
      <c r="H1400" s="3"/>
      <c r="I1400" s="3"/>
    </row>
    <row r="1401">
      <c r="A1401" s="4" t="s">
        <v>5933</v>
      </c>
      <c r="B1401" s="13" t="s">
        <v>43</v>
      </c>
      <c r="D1401" s="3"/>
      <c r="E1401" s="3"/>
      <c r="F1401" s="3"/>
      <c r="G1401" s="3"/>
      <c r="H1401" s="3"/>
      <c r="I1401" s="3"/>
    </row>
    <row r="1402">
      <c r="A1402" s="4" t="s">
        <v>5934</v>
      </c>
      <c r="B1402" s="13" t="s">
        <v>43</v>
      </c>
      <c r="D1402" s="3"/>
      <c r="E1402" s="3"/>
      <c r="F1402" s="3"/>
      <c r="G1402" s="3"/>
      <c r="H1402" s="3"/>
      <c r="I1402" s="3"/>
    </row>
    <row r="1403">
      <c r="A1403" s="4" t="s">
        <v>5935</v>
      </c>
      <c r="B1403" s="13" t="s">
        <v>43</v>
      </c>
      <c r="D1403" s="3"/>
      <c r="E1403" s="3"/>
      <c r="F1403" s="3"/>
      <c r="G1403" s="3"/>
      <c r="H1403" s="3"/>
      <c r="I1403" s="3"/>
    </row>
    <row r="1404">
      <c r="A1404" s="4" t="s">
        <v>5936</v>
      </c>
      <c r="B1404" s="13" t="s">
        <v>43</v>
      </c>
      <c r="D1404" s="3"/>
      <c r="E1404" s="3"/>
      <c r="F1404" s="3"/>
      <c r="G1404" s="3"/>
      <c r="H1404" s="3"/>
      <c r="I1404" s="3"/>
    </row>
    <row r="1405">
      <c r="A1405" s="4" t="s">
        <v>5937</v>
      </c>
      <c r="B1405" s="13" t="s">
        <v>43</v>
      </c>
      <c r="D1405" s="3"/>
      <c r="E1405" s="3"/>
      <c r="F1405" s="3"/>
      <c r="G1405" s="3"/>
      <c r="H1405" s="3"/>
      <c r="I1405" s="3"/>
    </row>
    <row r="1406">
      <c r="A1406" s="4" t="s">
        <v>5938</v>
      </c>
      <c r="B1406" s="13" t="s">
        <v>43</v>
      </c>
      <c r="D1406" s="3"/>
      <c r="E1406" s="3"/>
      <c r="F1406" s="3"/>
      <c r="G1406" s="3"/>
      <c r="H1406" s="3"/>
      <c r="I1406" s="3"/>
    </row>
    <row r="1407">
      <c r="A1407" s="4" t="s">
        <v>5939</v>
      </c>
      <c r="B1407" s="13" t="s">
        <v>43</v>
      </c>
      <c r="D1407" s="3"/>
      <c r="E1407" s="3"/>
      <c r="F1407" s="3"/>
      <c r="G1407" s="3"/>
      <c r="H1407" s="3"/>
      <c r="I1407" s="3"/>
    </row>
    <row r="1408">
      <c r="A1408" s="4" t="s">
        <v>5940</v>
      </c>
      <c r="B1408" s="13" t="s">
        <v>43</v>
      </c>
      <c r="D1408" s="3"/>
      <c r="E1408" s="3"/>
      <c r="F1408" s="3"/>
      <c r="G1408" s="3"/>
      <c r="H1408" s="3"/>
      <c r="I1408" s="3"/>
    </row>
    <row r="1409">
      <c r="A1409" s="4" t="s">
        <v>5941</v>
      </c>
      <c r="B1409" s="13" t="s">
        <v>43</v>
      </c>
      <c r="D1409" s="3"/>
      <c r="E1409" s="3"/>
      <c r="F1409" s="3"/>
      <c r="G1409" s="3"/>
      <c r="H1409" s="3"/>
      <c r="I1409" s="3"/>
    </row>
    <row r="1410">
      <c r="A1410" s="4" t="s">
        <v>5942</v>
      </c>
      <c r="B1410" s="13" t="s">
        <v>43</v>
      </c>
      <c r="D1410" s="3"/>
      <c r="E1410" s="3"/>
      <c r="F1410" s="3"/>
      <c r="G1410" s="3"/>
      <c r="H1410" s="3"/>
      <c r="I1410" s="3"/>
    </row>
    <row r="1411">
      <c r="A1411" s="4" t="s">
        <v>5943</v>
      </c>
      <c r="B1411" s="13" t="s">
        <v>43</v>
      </c>
      <c r="D1411" s="3"/>
      <c r="E1411" s="3"/>
      <c r="F1411" s="3"/>
      <c r="G1411" s="3"/>
      <c r="H1411" s="3"/>
      <c r="I1411" s="3"/>
    </row>
    <row r="1412">
      <c r="A1412" s="4" t="s">
        <v>5944</v>
      </c>
      <c r="B1412" s="13" t="s">
        <v>43</v>
      </c>
      <c r="D1412" s="3"/>
      <c r="E1412" s="3"/>
      <c r="F1412" s="3"/>
      <c r="G1412" s="3"/>
      <c r="H1412" s="3"/>
      <c r="I1412" s="3"/>
    </row>
    <row r="1413">
      <c r="A1413" s="4" t="s">
        <v>5945</v>
      </c>
      <c r="B1413" s="13" t="s">
        <v>43</v>
      </c>
      <c r="D1413" s="3"/>
      <c r="E1413" s="3"/>
      <c r="F1413" s="3"/>
      <c r="G1413" s="3"/>
      <c r="H1413" s="3"/>
      <c r="I1413" s="3"/>
    </row>
    <row r="1414">
      <c r="A1414" s="4" t="s">
        <v>5946</v>
      </c>
      <c r="B1414" s="13" t="s">
        <v>43</v>
      </c>
      <c r="D1414" s="3"/>
      <c r="E1414" s="3"/>
      <c r="F1414" s="3"/>
      <c r="G1414" s="3"/>
      <c r="H1414" s="3"/>
      <c r="I1414" s="3"/>
    </row>
    <row r="1415">
      <c r="A1415" s="4" t="s">
        <v>5947</v>
      </c>
      <c r="B1415" s="13" t="s">
        <v>43</v>
      </c>
      <c r="D1415" s="3"/>
      <c r="E1415" s="3"/>
      <c r="F1415" s="3"/>
      <c r="G1415" s="3"/>
      <c r="H1415" s="3"/>
      <c r="I1415" s="3"/>
    </row>
    <row r="1416">
      <c r="A1416" s="4" t="s">
        <v>5948</v>
      </c>
      <c r="B1416" s="13" t="s">
        <v>43</v>
      </c>
      <c r="D1416" s="3"/>
      <c r="E1416" s="3"/>
      <c r="F1416" s="3"/>
      <c r="G1416" s="3"/>
      <c r="H1416" s="3"/>
      <c r="I1416" s="3"/>
    </row>
    <row r="1417">
      <c r="A1417" s="4" t="s">
        <v>5949</v>
      </c>
      <c r="B1417" s="13" t="s">
        <v>43</v>
      </c>
      <c r="D1417" s="3"/>
      <c r="E1417" s="3"/>
      <c r="F1417" s="3"/>
      <c r="G1417" s="3"/>
      <c r="H1417" s="3"/>
      <c r="I1417" s="3"/>
    </row>
    <row r="1418">
      <c r="A1418" s="4" t="s">
        <v>5950</v>
      </c>
      <c r="B1418" s="13" t="s">
        <v>48</v>
      </c>
      <c r="C1418" s="4">
        <v>1.0</v>
      </c>
      <c r="D1418" s="4">
        <v>1.0</v>
      </c>
      <c r="E1418" s="3"/>
      <c r="F1418" s="3"/>
      <c r="G1418" s="3"/>
      <c r="H1418" s="3"/>
      <c r="I1418" s="3"/>
    </row>
    <row r="1419">
      <c r="A1419" s="4" t="s">
        <v>5951</v>
      </c>
      <c r="B1419" s="13" t="s">
        <v>48</v>
      </c>
      <c r="C1419" s="4">
        <v>1.0</v>
      </c>
      <c r="D1419" s="4">
        <v>1.0</v>
      </c>
      <c r="E1419" s="3"/>
      <c r="F1419" s="3"/>
      <c r="G1419" s="3"/>
      <c r="H1419" s="3"/>
      <c r="I1419" s="3"/>
    </row>
    <row r="1420">
      <c r="A1420" s="4" t="s">
        <v>5952</v>
      </c>
      <c r="B1420" s="13" t="s">
        <v>48</v>
      </c>
      <c r="C1420" s="4">
        <v>1.0</v>
      </c>
      <c r="D1420" s="4">
        <v>1.0</v>
      </c>
      <c r="E1420" s="3"/>
      <c r="F1420" s="3"/>
      <c r="G1420" s="3"/>
      <c r="H1420" s="3"/>
      <c r="I1420" s="3"/>
    </row>
    <row r="1421">
      <c r="A1421" s="4" t="s">
        <v>5953</v>
      </c>
      <c r="B1421" s="13" t="s">
        <v>48</v>
      </c>
      <c r="C1421" s="4">
        <v>1.0</v>
      </c>
      <c r="D1421" s="4">
        <v>1.0</v>
      </c>
      <c r="E1421" s="3"/>
      <c r="F1421" s="3"/>
      <c r="G1421" s="3"/>
      <c r="H1421" s="3"/>
      <c r="I1421" s="3"/>
    </row>
    <row r="1422">
      <c r="A1422" s="4" t="s">
        <v>5954</v>
      </c>
      <c r="B1422" s="13" t="s">
        <v>48</v>
      </c>
      <c r="C1422" s="4">
        <v>1.0</v>
      </c>
      <c r="D1422" s="4">
        <v>1.0</v>
      </c>
      <c r="E1422" s="3"/>
      <c r="F1422" s="3"/>
      <c r="G1422" s="3"/>
      <c r="H1422" s="3"/>
      <c r="I1422" s="3"/>
      <c r="J1422" s="4" t="s">
        <v>1757</v>
      </c>
    </row>
    <row r="1423">
      <c r="A1423" s="4" t="s">
        <v>5955</v>
      </c>
      <c r="B1423" s="13" t="s">
        <v>48</v>
      </c>
      <c r="C1423" s="4">
        <v>1.0</v>
      </c>
      <c r="D1423" s="4">
        <v>1.0</v>
      </c>
      <c r="E1423" s="3"/>
      <c r="F1423" s="3"/>
      <c r="G1423" s="3"/>
      <c r="H1423" s="3"/>
      <c r="I1423" s="3"/>
      <c r="J1423" s="4" t="s">
        <v>1757</v>
      </c>
    </row>
    <row r="1424">
      <c r="A1424" s="4" t="s">
        <v>5956</v>
      </c>
      <c r="B1424" s="13" t="s">
        <v>48</v>
      </c>
      <c r="C1424" s="4">
        <v>1.0</v>
      </c>
      <c r="D1424" s="4">
        <v>1.0</v>
      </c>
      <c r="E1424" s="3"/>
      <c r="F1424" s="3"/>
      <c r="G1424" s="3"/>
      <c r="H1424" s="3"/>
      <c r="I1424" s="3"/>
      <c r="J1424" s="4" t="s">
        <v>1757</v>
      </c>
    </row>
    <row r="1425">
      <c r="A1425" s="4" t="s">
        <v>5957</v>
      </c>
      <c r="B1425" s="13" t="s">
        <v>48</v>
      </c>
      <c r="C1425" s="4">
        <v>1.0</v>
      </c>
      <c r="D1425" s="4">
        <v>1.0</v>
      </c>
      <c r="E1425" s="3"/>
      <c r="F1425" s="3"/>
      <c r="G1425" s="3"/>
      <c r="H1425" s="3"/>
      <c r="I1425" s="3"/>
      <c r="J1425" s="4" t="s">
        <v>1757</v>
      </c>
    </row>
    <row r="1426">
      <c r="A1426" s="4" t="s">
        <v>5958</v>
      </c>
      <c r="B1426" s="13" t="s">
        <v>48</v>
      </c>
      <c r="C1426" s="4">
        <v>1.0</v>
      </c>
      <c r="D1426" s="4">
        <v>1.0</v>
      </c>
      <c r="E1426" s="3"/>
      <c r="F1426" s="3"/>
      <c r="G1426" s="3"/>
      <c r="H1426" s="3"/>
      <c r="I1426" s="3"/>
      <c r="J1426" s="4" t="s">
        <v>1757</v>
      </c>
    </row>
    <row r="1427">
      <c r="A1427" s="4" t="s">
        <v>5959</v>
      </c>
      <c r="B1427" s="13" t="s">
        <v>48</v>
      </c>
      <c r="C1427" s="4">
        <v>1.0</v>
      </c>
      <c r="D1427" s="4">
        <v>1.0</v>
      </c>
      <c r="E1427" s="3"/>
      <c r="F1427" s="3"/>
      <c r="G1427" s="3"/>
      <c r="H1427" s="3"/>
      <c r="I1427" s="3"/>
      <c r="J1427" s="4" t="s">
        <v>1757</v>
      </c>
    </row>
    <row r="1428">
      <c r="A1428" s="4" t="s">
        <v>5960</v>
      </c>
      <c r="B1428" s="13" t="s">
        <v>48</v>
      </c>
      <c r="C1428" s="4">
        <v>1.0</v>
      </c>
      <c r="D1428" s="4">
        <v>1.0</v>
      </c>
      <c r="E1428" s="3"/>
      <c r="F1428" s="3"/>
      <c r="G1428" s="3"/>
      <c r="H1428" s="3"/>
      <c r="I1428" s="3"/>
      <c r="J1428" s="4" t="s">
        <v>1757</v>
      </c>
    </row>
    <row r="1429">
      <c r="A1429" s="4" t="s">
        <v>5961</v>
      </c>
      <c r="B1429" s="13" t="s">
        <v>48</v>
      </c>
      <c r="C1429" s="4">
        <v>1.0</v>
      </c>
      <c r="D1429" s="4">
        <v>1.0</v>
      </c>
      <c r="E1429" s="3"/>
      <c r="F1429" s="3"/>
      <c r="G1429" s="3"/>
      <c r="H1429" s="3"/>
      <c r="I1429" s="3"/>
      <c r="J1429" s="4" t="s">
        <v>1757</v>
      </c>
    </row>
    <row r="1430">
      <c r="A1430" s="4" t="s">
        <v>5962</v>
      </c>
      <c r="B1430" s="13" t="s">
        <v>48</v>
      </c>
      <c r="C1430" s="4">
        <v>1.0</v>
      </c>
      <c r="D1430" s="4">
        <v>1.0</v>
      </c>
      <c r="E1430" s="3"/>
      <c r="F1430" s="3"/>
      <c r="G1430" s="3"/>
      <c r="H1430" s="3"/>
      <c r="I1430" s="3"/>
    </row>
    <row r="1431">
      <c r="A1431" s="4" t="s">
        <v>5963</v>
      </c>
      <c r="B1431" s="13" t="s">
        <v>48</v>
      </c>
      <c r="C1431" s="4">
        <v>1.0</v>
      </c>
      <c r="D1431" s="4">
        <v>1.0</v>
      </c>
      <c r="E1431" s="3"/>
      <c r="F1431" s="3"/>
      <c r="G1431" s="3"/>
      <c r="H1431" s="3"/>
      <c r="I1431" s="3"/>
    </row>
    <row r="1432">
      <c r="A1432" s="4" t="s">
        <v>5964</v>
      </c>
      <c r="B1432" s="13" t="s">
        <v>48</v>
      </c>
      <c r="C1432" s="4">
        <v>1.0</v>
      </c>
      <c r="D1432" s="4">
        <v>1.0</v>
      </c>
      <c r="E1432" s="3"/>
      <c r="F1432" s="3"/>
      <c r="G1432" s="3"/>
      <c r="H1432" s="3"/>
      <c r="I1432" s="3"/>
    </row>
    <row r="1433">
      <c r="A1433" s="4" t="s">
        <v>5965</v>
      </c>
      <c r="B1433" s="13" t="s">
        <v>48</v>
      </c>
      <c r="C1433" s="4">
        <v>1.0</v>
      </c>
      <c r="D1433" s="4">
        <v>1.0</v>
      </c>
      <c r="E1433" s="3"/>
      <c r="F1433" s="3"/>
      <c r="G1433" s="3"/>
      <c r="H1433" s="3"/>
      <c r="I1433" s="3"/>
    </row>
    <row r="1434">
      <c r="A1434" s="4" t="s">
        <v>5966</v>
      </c>
      <c r="B1434" s="13" t="s">
        <v>48</v>
      </c>
      <c r="C1434" s="4">
        <v>1.0</v>
      </c>
      <c r="D1434" s="4">
        <v>1.0</v>
      </c>
      <c r="E1434" s="3"/>
      <c r="F1434" s="3"/>
      <c r="G1434" s="3"/>
      <c r="H1434" s="3"/>
      <c r="I1434" s="3"/>
    </row>
    <row r="1435">
      <c r="A1435" s="4" t="s">
        <v>5967</v>
      </c>
      <c r="B1435" s="13" t="s">
        <v>48</v>
      </c>
      <c r="C1435" s="4">
        <v>1.0</v>
      </c>
      <c r="D1435" s="4">
        <v>1.0</v>
      </c>
      <c r="E1435" s="3"/>
      <c r="F1435" s="3"/>
      <c r="G1435" s="3"/>
      <c r="H1435" s="3"/>
      <c r="I1435" s="3"/>
    </row>
    <row r="1436">
      <c r="A1436" s="4" t="s">
        <v>5968</v>
      </c>
      <c r="B1436" s="13" t="s">
        <v>48</v>
      </c>
      <c r="C1436" s="4">
        <v>1.0</v>
      </c>
      <c r="D1436" s="4">
        <v>1.0</v>
      </c>
      <c r="E1436" s="3"/>
      <c r="F1436" s="3"/>
      <c r="G1436" s="3"/>
      <c r="H1436" s="3"/>
      <c r="I1436" s="3"/>
    </row>
    <row r="1437">
      <c r="A1437" s="4" t="s">
        <v>5969</v>
      </c>
      <c r="B1437" s="13" t="s">
        <v>48</v>
      </c>
      <c r="C1437" s="4">
        <v>1.0</v>
      </c>
      <c r="D1437" s="4">
        <v>1.0</v>
      </c>
      <c r="E1437" s="3"/>
      <c r="F1437" s="3"/>
      <c r="G1437" s="3"/>
      <c r="H1437" s="3"/>
      <c r="I1437" s="3"/>
    </row>
    <row r="1438">
      <c r="A1438" s="4" t="s">
        <v>5970</v>
      </c>
      <c r="B1438" s="13" t="s">
        <v>48</v>
      </c>
      <c r="C1438" s="4">
        <v>1.0</v>
      </c>
      <c r="D1438" s="4">
        <v>1.0</v>
      </c>
      <c r="E1438" s="3"/>
      <c r="F1438" s="3"/>
      <c r="G1438" s="3"/>
      <c r="H1438" s="3"/>
      <c r="I1438" s="3"/>
    </row>
    <row r="1439">
      <c r="A1439" s="4" t="s">
        <v>5971</v>
      </c>
      <c r="B1439" s="13" t="s">
        <v>48</v>
      </c>
      <c r="C1439" s="4">
        <v>1.0</v>
      </c>
      <c r="D1439" s="4">
        <v>1.0</v>
      </c>
      <c r="E1439" s="3"/>
      <c r="F1439" s="3"/>
      <c r="G1439" s="3"/>
      <c r="H1439" s="3"/>
      <c r="I1439" s="3"/>
    </row>
    <row r="1440">
      <c r="A1440" s="4" t="s">
        <v>5972</v>
      </c>
      <c r="B1440" s="13" t="s">
        <v>48</v>
      </c>
      <c r="C1440" s="4">
        <v>1.0</v>
      </c>
      <c r="D1440" s="4">
        <v>1.0</v>
      </c>
      <c r="E1440" s="3"/>
      <c r="F1440" s="3"/>
      <c r="G1440" s="3"/>
      <c r="H1440" s="3"/>
      <c r="I1440" s="3"/>
    </row>
    <row r="1441">
      <c r="A1441" s="4" t="s">
        <v>5973</v>
      </c>
      <c r="B1441" s="13" t="s">
        <v>48</v>
      </c>
      <c r="C1441" s="4">
        <v>1.0</v>
      </c>
      <c r="D1441" s="4">
        <v>1.0</v>
      </c>
      <c r="E1441" s="3"/>
      <c r="F1441" s="3"/>
      <c r="G1441" s="3"/>
      <c r="H1441" s="3"/>
      <c r="I1441" s="3"/>
    </row>
    <row r="1442">
      <c r="A1442" s="4" t="s">
        <v>5974</v>
      </c>
      <c r="B1442" s="13" t="s">
        <v>48</v>
      </c>
      <c r="C1442" s="4">
        <v>1.0</v>
      </c>
      <c r="D1442" s="4">
        <v>1.0</v>
      </c>
      <c r="E1442" s="3"/>
      <c r="F1442" s="3"/>
      <c r="G1442" s="3"/>
      <c r="H1442" s="3"/>
      <c r="I1442" s="3"/>
    </row>
    <row r="1443">
      <c r="A1443" s="4" t="s">
        <v>5975</v>
      </c>
      <c r="B1443" s="13" t="s">
        <v>48</v>
      </c>
      <c r="C1443" s="4">
        <v>1.0</v>
      </c>
      <c r="D1443" s="4">
        <v>1.0</v>
      </c>
      <c r="E1443" s="3"/>
      <c r="F1443" s="3"/>
      <c r="G1443" s="3"/>
      <c r="H1443" s="3"/>
      <c r="I1443" s="3"/>
    </row>
    <row r="1444">
      <c r="A1444" s="4" t="s">
        <v>5976</v>
      </c>
      <c r="B1444" s="13" t="s">
        <v>48</v>
      </c>
      <c r="C1444" s="4">
        <v>1.0</v>
      </c>
      <c r="D1444" s="4">
        <v>1.0</v>
      </c>
      <c r="E1444" s="3"/>
      <c r="F1444" s="3"/>
      <c r="G1444" s="3"/>
      <c r="H1444" s="3"/>
      <c r="I1444" s="3"/>
    </row>
    <row r="1445">
      <c r="A1445" s="4" t="s">
        <v>5977</v>
      </c>
      <c r="B1445" s="13" t="s">
        <v>43</v>
      </c>
      <c r="D1445" s="3"/>
      <c r="E1445" s="3"/>
      <c r="F1445" s="3"/>
      <c r="G1445" s="3"/>
      <c r="H1445" s="3"/>
      <c r="I1445" s="3"/>
    </row>
    <row r="1446">
      <c r="A1446" s="4" t="s">
        <v>5978</v>
      </c>
      <c r="B1446" s="13" t="s">
        <v>43</v>
      </c>
      <c r="D1446" s="3"/>
      <c r="E1446" s="3"/>
      <c r="F1446" s="3"/>
      <c r="G1446" s="3"/>
      <c r="H1446" s="3"/>
      <c r="I1446" s="3"/>
    </row>
    <row r="1447">
      <c r="A1447" s="4" t="s">
        <v>5979</v>
      </c>
      <c r="B1447" s="13" t="s">
        <v>43</v>
      </c>
      <c r="D1447" s="3"/>
      <c r="E1447" s="3"/>
      <c r="F1447" s="3"/>
      <c r="G1447" s="3"/>
      <c r="H1447" s="3"/>
      <c r="I1447" s="3"/>
    </row>
    <row r="1448">
      <c r="A1448" s="4" t="s">
        <v>5980</v>
      </c>
      <c r="B1448" s="13" t="s">
        <v>43</v>
      </c>
      <c r="D1448" s="3"/>
      <c r="E1448" s="3"/>
      <c r="F1448" s="3"/>
      <c r="G1448" s="3"/>
      <c r="H1448" s="3"/>
      <c r="I1448" s="3"/>
    </row>
    <row r="1449">
      <c r="A1449" s="4" t="s">
        <v>5981</v>
      </c>
      <c r="B1449" s="13" t="s">
        <v>43</v>
      </c>
      <c r="D1449" s="3"/>
      <c r="E1449" s="3"/>
      <c r="F1449" s="3"/>
      <c r="G1449" s="3"/>
      <c r="H1449" s="3"/>
      <c r="I1449" s="3"/>
    </row>
    <row r="1450">
      <c r="A1450" s="4" t="s">
        <v>5982</v>
      </c>
      <c r="B1450" s="13" t="s">
        <v>43</v>
      </c>
      <c r="D1450" s="3"/>
      <c r="E1450" s="3"/>
      <c r="F1450" s="3"/>
      <c r="G1450" s="3"/>
      <c r="H1450" s="3"/>
      <c r="I1450" s="3"/>
    </row>
    <row r="1451">
      <c r="A1451" s="4" t="s">
        <v>5983</v>
      </c>
      <c r="B1451" s="13" t="s">
        <v>43</v>
      </c>
      <c r="D1451" s="3"/>
      <c r="E1451" s="3"/>
      <c r="F1451" s="3"/>
      <c r="G1451" s="3"/>
      <c r="H1451" s="3"/>
      <c r="I1451" s="3"/>
    </row>
    <row r="1452">
      <c r="A1452" s="4" t="s">
        <v>5984</v>
      </c>
      <c r="B1452" s="13" t="s">
        <v>43</v>
      </c>
      <c r="D1452" s="3"/>
      <c r="E1452" s="3"/>
      <c r="F1452" s="3"/>
      <c r="G1452" s="3"/>
      <c r="H1452" s="3"/>
      <c r="I1452" s="3"/>
    </row>
    <row r="1453">
      <c r="A1453" s="4" t="s">
        <v>5985</v>
      </c>
      <c r="B1453" s="13" t="s">
        <v>43</v>
      </c>
      <c r="D1453" s="3"/>
      <c r="E1453" s="3"/>
      <c r="F1453" s="3"/>
      <c r="G1453" s="3"/>
      <c r="H1453" s="3"/>
      <c r="I1453" s="3"/>
    </row>
    <row r="1454">
      <c r="A1454" s="4" t="s">
        <v>5986</v>
      </c>
      <c r="B1454" s="13" t="s">
        <v>43</v>
      </c>
      <c r="D1454" s="3"/>
      <c r="E1454" s="3"/>
      <c r="F1454" s="3"/>
      <c r="G1454" s="3"/>
      <c r="H1454" s="3"/>
      <c r="I1454" s="3"/>
    </row>
    <row r="1455">
      <c r="A1455" s="4" t="s">
        <v>5987</v>
      </c>
      <c r="B1455" s="13" t="s">
        <v>43</v>
      </c>
      <c r="D1455" s="3"/>
      <c r="E1455" s="3"/>
      <c r="F1455" s="3"/>
      <c r="G1455" s="3"/>
      <c r="H1455" s="3"/>
      <c r="I1455" s="3"/>
    </row>
    <row r="1456">
      <c r="A1456" s="4" t="s">
        <v>5988</v>
      </c>
      <c r="B1456" s="13" t="s">
        <v>43</v>
      </c>
      <c r="D1456" s="3"/>
      <c r="E1456" s="3"/>
      <c r="F1456" s="3"/>
      <c r="G1456" s="3"/>
      <c r="H1456" s="3"/>
      <c r="I1456" s="3"/>
    </row>
    <row r="1457">
      <c r="A1457" s="4" t="s">
        <v>5989</v>
      </c>
      <c r="B1457" s="13" t="s">
        <v>43</v>
      </c>
      <c r="D1457" s="3"/>
      <c r="E1457" s="3"/>
      <c r="F1457" s="3"/>
      <c r="G1457" s="3"/>
      <c r="H1457" s="3"/>
      <c r="I1457" s="3"/>
    </row>
    <row r="1458">
      <c r="A1458" s="4" t="s">
        <v>5990</v>
      </c>
      <c r="B1458" s="13" t="s">
        <v>43</v>
      </c>
      <c r="D1458" s="3"/>
      <c r="E1458" s="3"/>
      <c r="F1458" s="3"/>
      <c r="G1458" s="3"/>
      <c r="H1458" s="3"/>
      <c r="I1458" s="3"/>
    </row>
    <row r="1459">
      <c r="A1459" s="4" t="s">
        <v>5991</v>
      </c>
      <c r="B1459" s="13" t="s">
        <v>43</v>
      </c>
      <c r="D1459" s="3"/>
      <c r="E1459" s="3"/>
      <c r="F1459" s="3"/>
      <c r="G1459" s="3"/>
      <c r="H1459" s="3"/>
      <c r="I1459" s="3"/>
    </row>
    <row r="1460">
      <c r="A1460" s="4" t="s">
        <v>5992</v>
      </c>
      <c r="B1460" s="13" t="s">
        <v>43</v>
      </c>
      <c r="D1460" s="3"/>
      <c r="E1460" s="3"/>
      <c r="F1460" s="3"/>
      <c r="G1460" s="3"/>
      <c r="H1460" s="3"/>
      <c r="I1460" s="3"/>
    </row>
    <row r="1461">
      <c r="A1461" s="4" t="s">
        <v>5993</v>
      </c>
      <c r="B1461" s="13" t="s">
        <v>43</v>
      </c>
      <c r="D1461" s="3"/>
      <c r="E1461" s="3"/>
      <c r="F1461" s="3"/>
      <c r="G1461" s="3"/>
      <c r="H1461" s="3"/>
      <c r="I1461" s="3"/>
    </row>
    <row r="1462">
      <c r="A1462" s="4" t="s">
        <v>5994</v>
      </c>
      <c r="B1462" s="13" t="s">
        <v>43</v>
      </c>
      <c r="D1462" s="3"/>
      <c r="E1462" s="3"/>
      <c r="F1462" s="3"/>
      <c r="G1462" s="3"/>
      <c r="H1462" s="3"/>
      <c r="I1462" s="3"/>
    </row>
    <row r="1463">
      <c r="A1463" s="4" t="s">
        <v>5995</v>
      </c>
      <c r="B1463" s="13" t="s">
        <v>48</v>
      </c>
      <c r="C1463" s="4">
        <v>1.0</v>
      </c>
      <c r="D1463" s="4">
        <v>1.0</v>
      </c>
      <c r="E1463" s="3"/>
      <c r="F1463" s="3"/>
      <c r="G1463" s="3"/>
      <c r="H1463" s="3"/>
      <c r="I1463" s="3"/>
    </row>
    <row r="1464">
      <c r="A1464" s="4" t="s">
        <v>5996</v>
      </c>
      <c r="B1464" s="13" t="s">
        <v>48</v>
      </c>
      <c r="C1464" s="4">
        <v>1.0</v>
      </c>
      <c r="D1464" s="4">
        <v>1.0</v>
      </c>
      <c r="E1464" s="3"/>
      <c r="F1464" s="3"/>
      <c r="G1464" s="3"/>
      <c r="H1464" s="3"/>
      <c r="I1464" s="3"/>
    </row>
    <row r="1465">
      <c r="A1465" s="4" t="s">
        <v>5997</v>
      </c>
      <c r="B1465" s="13" t="s">
        <v>48</v>
      </c>
      <c r="C1465" s="4">
        <v>1.0</v>
      </c>
      <c r="D1465" s="4">
        <v>1.0</v>
      </c>
      <c r="E1465" s="3"/>
      <c r="F1465" s="3"/>
      <c r="G1465" s="3"/>
      <c r="H1465" s="3"/>
      <c r="I1465" s="3"/>
    </row>
    <row r="1466">
      <c r="A1466" s="4" t="s">
        <v>5998</v>
      </c>
      <c r="B1466" s="13" t="s">
        <v>48</v>
      </c>
      <c r="C1466" s="4">
        <v>1.0</v>
      </c>
      <c r="D1466" s="4">
        <v>1.0</v>
      </c>
      <c r="E1466" s="3"/>
      <c r="F1466" s="3"/>
      <c r="G1466" s="3"/>
      <c r="H1466" s="3"/>
      <c r="I1466" s="3"/>
    </row>
    <row r="1467">
      <c r="A1467" s="4" t="s">
        <v>5999</v>
      </c>
      <c r="B1467" s="13" t="s">
        <v>48</v>
      </c>
      <c r="C1467" s="4">
        <v>1.0</v>
      </c>
      <c r="D1467" s="4">
        <v>1.0</v>
      </c>
      <c r="E1467" s="3"/>
      <c r="F1467" s="3"/>
      <c r="G1467" s="3"/>
      <c r="H1467" s="3"/>
      <c r="I1467" s="3"/>
    </row>
    <row r="1468">
      <c r="A1468" s="4" t="s">
        <v>6000</v>
      </c>
      <c r="B1468" s="13" t="s">
        <v>48</v>
      </c>
      <c r="C1468" s="4">
        <v>1.0</v>
      </c>
      <c r="D1468" s="4">
        <v>1.0</v>
      </c>
      <c r="E1468" s="3"/>
      <c r="F1468" s="3"/>
      <c r="G1468" s="3"/>
      <c r="H1468" s="3"/>
      <c r="I1468" s="3"/>
    </row>
    <row r="1469">
      <c r="A1469" s="4" t="s">
        <v>6001</v>
      </c>
      <c r="B1469" s="13" t="s">
        <v>48</v>
      </c>
      <c r="C1469" s="4">
        <v>1.0</v>
      </c>
      <c r="D1469" s="4">
        <v>1.0</v>
      </c>
      <c r="E1469" s="3"/>
      <c r="F1469" s="3"/>
      <c r="G1469" s="3"/>
      <c r="H1469" s="3"/>
      <c r="I1469" s="3"/>
    </row>
    <row r="1470">
      <c r="A1470" s="4" t="s">
        <v>6002</v>
      </c>
      <c r="B1470" s="13" t="s">
        <v>43</v>
      </c>
      <c r="D1470" s="3"/>
      <c r="E1470" s="3"/>
      <c r="F1470" s="3"/>
      <c r="G1470" s="3"/>
      <c r="H1470" s="3"/>
      <c r="I1470" s="3"/>
    </row>
    <row r="1471">
      <c r="A1471" s="4" t="s">
        <v>6003</v>
      </c>
      <c r="B1471" s="13" t="s">
        <v>43</v>
      </c>
      <c r="D1471" s="3"/>
      <c r="E1471" s="3"/>
      <c r="F1471" s="3"/>
      <c r="G1471" s="3"/>
      <c r="H1471" s="3"/>
      <c r="I1471" s="3"/>
    </row>
    <row r="1472">
      <c r="A1472" s="4" t="s">
        <v>6004</v>
      </c>
      <c r="B1472" s="13" t="s">
        <v>43</v>
      </c>
      <c r="D1472" s="3"/>
      <c r="E1472" s="3"/>
      <c r="F1472" s="3"/>
      <c r="G1472" s="3"/>
      <c r="H1472" s="3"/>
      <c r="I1472" s="3"/>
    </row>
    <row r="1473">
      <c r="A1473" s="4" t="s">
        <v>6005</v>
      </c>
      <c r="B1473" s="13" t="s">
        <v>43</v>
      </c>
      <c r="D1473" s="3"/>
      <c r="E1473" s="3"/>
      <c r="F1473" s="3"/>
      <c r="G1473" s="3"/>
      <c r="H1473" s="3"/>
      <c r="I1473" s="3"/>
    </row>
    <row r="1474">
      <c r="A1474" s="4" t="s">
        <v>6006</v>
      </c>
      <c r="B1474" s="13" t="s">
        <v>43</v>
      </c>
      <c r="D1474" s="3"/>
      <c r="E1474" s="3"/>
      <c r="F1474" s="3"/>
      <c r="G1474" s="3"/>
      <c r="H1474" s="3"/>
      <c r="I1474" s="3"/>
    </row>
    <row r="1475">
      <c r="A1475" s="4" t="s">
        <v>6007</v>
      </c>
      <c r="B1475" s="13" t="s">
        <v>43</v>
      </c>
      <c r="D1475" s="3"/>
      <c r="E1475" s="3"/>
      <c r="F1475" s="3"/>
      <c r="G1475" s="3"/>
      <c r="H1475" s="3"/>
      <c r="I1475" s="3"/>
    </row>
    <row r="1476">
      <c r="A1476" s="4" t="s">
        <v>6008</v>
      </c>
      <c r="B1476" s="13" t="s">
        <v>43</v>
      </c>
      <c r="D1476" s="3"/>
      <c r="E1476" s="3"/>
      <c r="F1476" s="3"/>
      <c r="G1476" s="3"/>
      <c r="H1476" s="3"/>
      <c r="I1476" s="3"/>
    </row>
    <row r="1477">
      <c r="A1477" s="4" t="s">
        <v>6009</v>
      </c>
      <c r="B1477" s="13" t="s">
        <v>43</v>
      </c>
      <c r="D1477" s="3"/>
      <c r="E1477" s="3"/>
      <c r="F1477" s="3"/>
      <c r="G1477" s="3"/>
      <c r="H1477" s="3"/>
      <c r="I1477" s="3"/>
    </row>
    <row r="1478">
      <c r="A1478" s="4" t="s">
        <v>6010</v>
      </c>
      <c r="B1478" s="13" t="s">
        <v>43</v>
      </c>
      <c r="D1478" s="3"/>
      <c r="E1478" s="3"/>
      <c r="F1478" s="3"/>
      <c r="G1478" s="3"/>
      <c r="H1478" s="3"/>
      <c r="I1478" s="3"/>
    </row>
    <row r="1479">
      <c r="A1479" s="4" t="s">
        <v>6011</v>
      </c>
      <c r="B1479" s="13" t="s">
        <v>43</v>
      </c>
      <c r="D1479" s="3"/>
      <c r="E1479" s="3"/>
      <c r="F1479" s="3"/>
      <c r="G1479" s="3"/>
      <c r="H1479" s="3"/>
      <c r="I1479" s="3"/>
    </row>
    <row r="1480">
      <c r="A1480" s="4" t="s">
        <v>6012</v>
      </c>
      <c r="B1480" s="13" t="s">
        <v>43</v>
      </c>
      <c r="D1480" s="3"/>
      <c r="E1480" s="3"/>
      <c r="F1480" s="3"/>
      <c r="G1480" s="3"/>
      <c r="H1480" s="3"/>
      <c r="I1480" s="3"/>
    </row>
    <row r="1481">
      <c r="A1481" s="4" t="s">
        <v>6013</v>
      </c>
      <c r="B1481" s="13" t="s">
        <v>43</v>
      </c>
      <c r="D1481" s="3"/>
      <c r="E1481" s="3"/>
      <c r="F1481" s="3"/>
      <c r="G1481" s="3"/>
      <c r="H1481" s="3"/>
      <c r="I1481" s="3"/>
    </row>
    <row r="1482">
      <c r="A1482" s="4" t="s">
        <v>6014</v>
      </c>
      <c r="B1482" s="13" t="s">
        <v>43</v>
      </c>
      <c r="D1482" s="3"/>
      <c r="E1482" s="3"/>
      <c r="F1482" s="3"/>
      <c r="G1482" s="3"/>
      <c r="H1482" s="3"/>
      <c r="I1482" s="3"/>
    </row>
    <row r="1483">
      <c r="A1483" s="4" t="s">
        <v>6015</v>
      </c>
      <c r="B1483" s="13" t="s">
        <v>43</v>
      </c>
      <c r="D1483" s="3"/>
      <c r="E1483" s="3"/>
      <c r="F1483" s="3"/>
      <c r="G1483" s="3"/>
      <c r="H1483" s="3"/>
      <c r="I1483" s="3"/>
    </row>
    <row r="1484">
      <c r="A1484" s="4" t="s">
        <v>6016</v>
      </c>
      <c r="B1484" s="13" t="s">
        <v>43</v>
      </c>
      <c r="D1484" s="3"/>
      <c r="E1484" s="3"/>
      <c r="F1484" s="3"/>
      <c r="G1484" s="3"/>
      <c r="H1484" s="3"/>
      <c r="I1484" s="3"/>
    </row>
    <row r="1485">
      <c r="A1485" s="4" t="s">
        <v>6017</v>
      </c>
      <c r="B1485" s="13" t="s">
        <v>43</v>
      </c>
      <c r="D1485" s="3"/>
      <c r="E1485" s="3"/>
      <c r="F1485" s="3"/>
      <c r="G1485" s="3"/>
      <c r="H1485" s="3"/>
      <c r="I1485" s="3"/>
    </row>
    <row r="1486">
      <c r="A1486" s="4" t="s">
        <v>6018</v>
      </c>
      <c r="B1486" s="13" t="s">
        <v>43</v>
      </c>
      <c r="D1486" s="3"/>
      <c r="E1486" s="3"/>
      <c r="F1486" s="3"/>
      <c r="G1486" s="3"/>
      <c r="H1486" s="3"/>
      <c r="I1486" s="3"/>
    </row>
    <row r="1487">
      <c r="A1487" s="4" t="s">
        <v>6019</v>
      </c>
      <c r="B1487" s="13" t="s">
        <v>43</v>
      </c>
      <c r="D1487" s="3"/>
      <c r="E1487" s="3"/>
      <c r="F1487" s="3"/>
      <c r="G1487" s="3"/>
      <c r="H1487" s="3"/>
      <c r="I1487" s="3"/>
    </row>
    <row r="1488">
      <c r="A1488" s="4" t="s">
        <v>6020</v>
      </c>
      <c r="B1488" s="13" t="s">
        <v>43</v>
      </c>
      <c r="D1488" s="3"/>
      <c r="E1488" s="3"/>
      <c r="F1488" s="3"/>
      <c r="G1488" s="3"/>
      <c r="H1488" s="3"/>
      <c r="I1488" s="3"/>
    </row>
    <row r="1489">
      <c r="A1489" s="4" t="s">
        <v>6021</v>
      </c>
      <c r="B1489" s="13" t="s">
        <v>43</v>
      </c>
      <c r="D1489" s="3"/>
      <c r="E1489" s="3"/>
      <c r="F1489" s="3"/>
      <c r="G1489" s="3"/>
      <c r="H1489" s="3"/>
      <c r="I1489" s="3"/>
    </row>
    <row r="1490">
      <c r="A1490" s="4" t="s">
        <v>6022</v>
      </c>
      <c r="B1490" s="13" t="s">
        <v>43</v>
      </c>
      <c r="D1490" s="3"/>
      <c r="E1490" s="3"/>
      <c r="F1490" s="3"/>
      <c r="G1490" s="3"/>
      <c r="H1490" s="3"/>
      <c r="I1490" s="3"/>
    </row>
    <row r="1491">
      <c r="A1491" s="4" t="s">
        <v>6023</v>
      </c>
      <c r="B1491" s="13" t="s">
        <v>43</v>
      </c>
      <c r="D1491" s="3"/>
      <c r="E1491" s="3"/>
      <c r="F1491" s="3"/>
      <c r="G1491" s="3"/>
      <c r="H1491" s="3"/>
      <c r="I1491" s="3"/>
    </row>
    <row r="1492">
      <c r="A1492" s="4" t="s">
        <v>6024</v>
      </c>
      <c r="B1492" s="13" t="s">
        <v>43</v>
      </c>
      <c r="D1492" s="3"/>
      <c r="E1492" s="3"/>
      <c r="F1492" s="3"/>
      <c r="G1492" s="3"/>
      <c r="H1492" s="3"/>
      <c r="I1492" s="3"/>
    </row>
    <row r="1493">
      <c r="A1493" s="4" t="s">
        <v>6025</v>
      </c>
      <c r="B1493" s="13" t="s">
        <v>43</v>
      </c>
      <c r="D1493" s="3"/>
      <c r="E1493" s="3"/>
      <c r="F1493" s="3"/>
      <c r="G1493" s="3"/>
      <c r="H1493" s="3"/>
      <c r="I1493" s="3"/>
    </row>
    <row r="1494">
      <c r="A1494" s="4" t="s">
        <v>6026</v>
      </c>
      <c r="B1494" s="13" t="s">
        <v>43</v>
      </c>
      <c r="D1494" s="3"/>
      <c r="E1494" s="3"/>
      <c r="F1494" s="3"/>
      <c r="G1494" s="3"/>
      <c r="H1494" s="3"/>
      <c r="I1494" s="3"/>
    </row>
    <row r="1495">
      <c r="A1495" s="4" t="s">
        <v>6027</v>
      </c>
      <c r="B1495" s="13" t="s">
        <v>43</v>
      </c>
      <c r="D1495" s="3"/>
      <c r="E1495" s="3"/>
      <c r="F1495" s="3"/>
      <c r="G1495" s="3"/>
      <c r="H1495" s="3"/>
      <c r="I1495" s="3"/>
    </row>
    <row r="1496">
      <c r="A1496" s="4" t="s">
        <v>6028</v>
      </c>
      <c r="B1496" s="13" t="s">
        <v>43</v>
      </c>
      <c r="D1496" s="3"/>
      <c r="E1496" s="3"/>
      <c r="F1496" s="3"/>
      <c r="G1496" s="3"/>
      <c r="H1496" s="3"/>
      <c r="I1496" s="3"/>
    </row>
    <row r="1497">
      <c r="A1497" s="4" t="s">
        <v>6029</v>
      </c>
      <c r="B1497" s="13" t="s">
        <v>43</v>
      </c>
      <c r="D1497" s="3"/>
      <c r="E1497" s="3"/>
      <c r="F1497" s="3"/>
      <c r="G1497" s="3"/>
      <c r="H1497" s="3"/>
      <c r="I1497" s="3"/>
    </row>
    <row r="1498">
      <c r="A1498" s="4" t="s">
        <v>6030</v>
      </c>
      <c r="B1498" s="13" t="s">
        <v>43</v>
      </c>
      <c r="D1498" s="3"/>
      <c r="E1498" s="3"/>
      <c r="F1498" s="3"/>
      <c r="G1498" s="3"/>
      <c r="H1498" s="3"/>
      <c r="I1498" s="3"/>
    </row>
    <row r="1499">
      <c r="A1499" s="4" t="s">
        <v>6031</v>
      </c>
      <c r="B1499" s="13" t="s">
        <v>43</v>
      </c>
      <c r="D1499" s="3"/>
      <c r="E1499" s="3"/>
      <c r="F1499" s="3"/>
      <c r="G1499" s="3"/>
      <c r="H1499" s="3"/>
      <c r="I1499" s="3"/>
    </row>
    <row r="1500">
      <c r="A1500" s="4" t="s">
        <v>6032</v>
      </c>
      <c r="B1500" s="13" t="s">
        <v>43</v>
      </c>
      <c r="D1500" s="3"/>
      <c r="E1500" s="3"/>
      <c r="F1500" s="3"/>
      <c r="G1500" s="3"/>
      <c r="H1500" s="3"/>
      <c r="I1500" s="3"/>
    </row>
    <row r="1501">
      <c r="A1501" s="4" t="s">
        <v>6033</v>
      </c>
      <c r="B1501" s="13" t="s">
        <v>43</v>
      </c>
      <c r="D1501" s="3"/>
      <c r="E1501" s="3"/>
      <c r="F1501" s="3"/>
      <c r="G1501" s="3"/>
      <c r="H1501" s="3"/>
      <c r="I1501" s="3"/>
    </row>
    <row r="1502">
      <c r="A1502" s="4" t="s">
        <v>6034</v>
      </c>
      <c r="B1502" s="13" t="s">
        <v>43</v>
      </c>
      <c r="D1502" s="3"/>
      <c r="E1502" s="3"/>
      <c r="F1502" s="3"/>
      <c r="G1502" s="3"/>
      <c r="H1502" s="3"/>
      <c r="I1502" s="3"/>
    </row>
    <row r="1503">
      <c r="A1503" s="4" t="s">
        <v>6035</v>
      </c>
      <c r="B1503" s="13" t="s">
        <v>43</v>
      </c>
      <c r="D1503" s="3"/>
      <c r="E1503" s="3"/>
      <c r="F1503" s="3"/>
      <c r="G1503" s="3"/>
      <c r="H1503" s="3"/>
      <c r="I1503" s="3"/>
    </row>
    <row r="1504">
      <c r="A1504" s="4" t="s">
        <v>6036</v>
      </c>
      <c r="B1504" s="13" t="s">
        <v>43</v>
      </c>
      <c r="D1504" s="3"/>
      <c r="E1504" s="3"/>
      <c r="F1504" s="3"/>
      <c r="G1504" s="3"/>
      <c r="H1504" s="3"/>
      <c r="I1504" s="3"/>
    </row>
    <row r="1505">
      <c r="A1505" s="4" t="s">
        <v>6037</v>
      </c>
      <c r="B1505" s="13" t="s">
        <v>43</v>
      </c>
      <c r="D1505" s="3"/>
      <c r="E1505" s="3"/>
      <c r="F1505" s="3"/>
      <c r="G1505" s="3"/>
      <c r="H1505" s="3"/>
      <c r="I1505" s="3"/>
    </row>
    <row r="1506">
      <c r="A1506" s="4" t="s">
        <v>6038</v>
      </c>
      <c r="B1506" s="13" t="s">
        <v>43</v>
      </c>
      <c r="D1506" s="3"/>
      <c r="E1506" s="3"/>
      <c r="F1506" s="3"/>
      <c r="G1506" s="3"/>
      <c r="H1506" s="3"/>
      <c r="I1506" s="3"/>
    </row>
    <row r="1507">
      <c r="A1507" s="4" t="s">
        <v>6039</v>
      </c>
      <c r="B1507" s="13" t="s">
        <v>43</v>
      </c>
      <c r="D1507" s="3"/>
      <c r="E1507" s="3"/>
      <c r="F1507" s="3"/>
      <c r="G1507" s="3"/>
      <c r="H1507" s="3"/>
      <c r="I1507" s="3"/>
    </row>
    <row r="1508">
      <c r="A1508" s="4" t="s">
        <v>6040</v>
      </c>
      <c r="B1508" s="13" t="s">
        <v>48</v>
      </c>
      <c r="C1508" s="4">
        <v>1.0</v>
      </c>
      <c r="D1508" s="3"/>
      <c r="E1508" s="3"/>
      <c r="F1508" s="3"/>
      <c r="G1508" s="4">
        <v>10.0</v>
      </c>
      <c r="H1508" s="3"/>
      <c r="I1508" s="3"/>
    </row>
    <row r="1509">
      <c r="A1509" s="4" t="s">
        <v>6041</v>
      </c>
      <c r="B1509" s="13" t="s">
        <v>48</v>
      </c>
      <c r="C1509" s="4">
        <v>1.0</v>
      </c>
      <c r="D1509" s="3"/>
      <c r="E1509" s="3"/>
      <c r="F1509" s="3"/>
      <c r="G1509" s="4">
        <v>10.0</v>
      </c>
      <c r="H1509" s="3"/>
      <c r="I1509" s="3"/>
    </row>
    <row r="1510">
      <c r="A1510" s="4" t="s">
        <v>6042</v>
      </c>
      <c r="B1510" s="13" t="s">
        <v>48</v>
      </c>
      <c r="C1510" s="4">
        <v>1.0</v>
      </c>
      <c r="D1510" s="3"/>
      <c r="E1510" s="3"/>
      <c r="F1510" s="3"/>
      <c r="G1510" s="4">
        <v>10.0</v>
      </c>
      <c r="H1510" s="3"/>
      <c r="I1510" s="3"/>
    </row>
    <row r="1511">
      <c r="A1511" s="4" t="s">
        <v>6043</v>
      </c>
      <c r="B1511" s="13" t="s">
        <v>48</v>
      </c>
      <c r="C1511" s="4">
        <v>1.0</v>
      </c>
      <c r="D1511" s="3"/>
      <c r="E1511" s="3"/>
      <c r="F1511" s="3"/>
      <c r="G1511" s="4">
        <v>10.0</v>
      </c>
      <c r="H1511" s="3"/>
      <c r="I1511" s="3"/>
    </row>
    <row r="1512">
      <c r="A1512" s="4" t="s">
        <v>6044</v>
      </c>
      <c r="B1512" s="13" t="s">
        <v>48</v>
      </c>
      <c r="C1512" s="4">
        <v>1.0</v>
      </c>
      <c r="D1512" s="3"/>
      <c r="E1512" s="3"/>
      <c r="F1512" s="3"/>
      <c r="G1512" s="4">
        <v>10.0</v>
      </c>
      <c r="H1512" s="3"/>
      <c r="I1512" s="3"/>
    </row>
    <row r="1513">
      <c r="A1513" s="4" t="s">
        <v>6045</v>
      </c>
      <c r="B1513" s="13" t="s">
        <v>43</v>
      </c>
      <c r="D1513" s="3"/>
      <c r="E1513" s="3"/>
      <c r="F1513" s="3"/>
      <c r="G1513" s="3"/>
      <c r="H1513" s="3"/>
      <c r="I1513" s="3"/>
    </row>
    <row r="1514">
      <c r="A1514" s="4" t="s">
        <v>6046</v>
      </c>
      <c r="B1514" s="13" t="s">
        <v>43</v>
      </c>
      <c r="D1514" s="3"/>
      <c r="E1514" s="3"/>
      <c r="F1514" s="3"/>
      <c r="G1514" s="3"/>
      <c r="H1514" s="3"/>
      <c r="I1514" s="3"/>
    </row>
    <row r="1515">
      <c r="A1515" s="4" t="s">
        <v>6047</v>
      </c>
      <c r="B1515" s="13" t="s">
        <v>43</v>
      </c>
      <c r="D1515" s="3"/>
      <c r="E1515" s="3"/>
      <c r="F1515" s="3"/>
      <c r="G1515" s="3"/>
      <c r="H1515" s="3"/>
      <c r="I1515" s="3"/>
    </row>
    <row r="1516">
      <c r="A1516" s="4" t="s">
        <v>6048</v>
      </c>
      <c r="B1516" s="13" t="s">
        <v>43</v>
      </c>
      <c r="D1516" s="3"/>
      <c r="E1516" s="3"/>
      <c r="F1516" s="3"/>
      <c r="G1516" s="3"/>
      <c r="H1516" s="3"/>
      <c r="I1516" s="3"/>
    </row>
    <row r="1517">
      <c r="A1517" s="4" t="s">
        <v>6049</v>
      </c>
      <c r="B1517" s="13" t="s">
        <v>43</v>
      </c>
      <c r="D1517" s="3"/>
      <c r="E1517" s="3"/>
      <c r="F1517" s="3"/>
      <c r="G1517" s="3"/>
      <c r="H1517" s="3"/>
      <c r="I1517" s="3"/>
    </row>
    <row r="1518">
      <c r="A1518" s="4" t="s">
        <v>6050</v>
      </c>
      <c r="B1518" s="13" t="s">
        <v>43</v>
      </c>
      <c r="D1518" s="3"/>
      <c r="E1518" s="3"/>
      <c r="F1518" s="3"/>
      <c r="G1518" s="3"/>
      <c r="H1518" s="3"/>
      <c r="I1518" s="3"/>
    </row>
    <row r="1519">
      <c r="A1519" s="4" t="s">
        <v>6051</v>
      </c>
      <c r="B1519" s="13" t="s">
        <v>43</v>
      </c>
      <c r="D1519" s="3"/>
      <c r="E1519" s="3"/>
      <c r="F1519" s="3"/>
      <c r="G1519" s="3"/>
      <c r="H1519" s="3"/>
      <c r="I1519" s="3"/>
    </row>
    <row r="1520">
      <c r="A1520" s="4" t="s">
        <v>6052</v>
      </c>
      <c r="B1520" s="13" t="s">
        <v>43</v>
      </c>
      <c r="D1520" s="3"/>
      <c r="E1520" s="3"/>
      <c r="F1520" s="3"/>
      <c r="G1520" s="3"/>
      <c r="H1520" s="3"/>
      <c r="I1520" s="3"/>
    </row>
    <row r="1521">
      <c r="A1521" s="4" t="s">
        <v>6053</v>
      </c>
      <c r="B1521" s="13" t="s">
        <v>43</v>
      </c>
      <c r="D1521" s="3"/>
      <c r="E1521" s="3"/>
      <c r="F1521" s="3"/>
      <c r="G1521" s="3"/>
      <c r="H1521" s="3"/>
      <c r="I1521" s="3"/>
    </row>
    <row r="1522">
      <c r="A1522" s="4" t="s">
        <v>6054</v>
      </c>
      <c r="B1522" s="13" t="s">
        <v>43</v>
      </c>
      <c r="D1522" s="3"/>
      <c r="E1522" s="3"/>
      <c r="F1522" s="3"/>
      <c r="G1522" s="3"/>
      <c r="H1522" s="3"/>
      <c r="I1522" s="3"/>
    </row>
    <row r="1523">
      <c r="A1523" s="4" t="s">
        <v>6055</v>
      </c>
      <c r="B1523" s="13" t="s">
        <v>43</v>
      </c>
      <c r="D1523" s="3"/>
      <c r="E1523" s="3"/>
      <c r="F1523" s="3"/>
      <c r="G1523" s="3"/>
      <c r="H1523" s="3"/>
      <c r="I1523" s="3"/>
    </row>
    <row r="1524">
      <c r="A1524" s="4" t="s">
        <v>6056</v>
      </c>
      <c r="B1524" s="13" t="s">
        <v>43</v>
      </c>
      <c r="D1524" s="3"/>
      <c r="E1524" s="3"/>
      <c r="F1524" s="3"/>
      <c r="G1524" s="3"/>
      <c r="H1524" s="3"/>
      <c r="I1524" s="3"/>
    </row>
    <row r="1525">
      <c r="A1525" s="4" t="s">
        <v>6057</v>
      </c>
      <c r="B1525" s="13" t="s">
        <v>43</v>
      </c>
      <c r="D1525" s="3"/>
      <c r="E1525" s="3"/>
      <c r="F1525" s="3"/>
      <c r="G1525" s="3"/>
      <c r="H1525" s="3"/>
      <c r="I1525" s="3"/>
    </row>
    <row r="1526">
      <c r="A1526" s="4" t="s">
        <v>6058</v>
      </c>
      <c r="B1526" s="13" t="s">
        <v>43</v>
      </c>
      <c r="D1526" s="3"/>
      <c r="E1526" s="3"/>
      <c r="F1526" s="3"/>
      <c r="G1526" s="3"/>
      <c r="H1526" s="3"/>
      <c r="I1526" s="3"/>
    </row>
    <row r="1527">
      <c r="A1527" s="4" t="s">
        <v>6059</v>
      </c>
      <c r="B1527" s="13" t="s">
        <v>43</v>
      </c>
      <c r="D1527" s="3"/>
      <c r="E1527" s="3"/>
      <c r="F1527" s="3"/>
      <c r="G1527" s="3"/>
      <c r="H1527" s="3"/>
      <c r="I1527" s="3"/>
    </row>
    <row r="1528">
      <c r="A1528" s="4" t="s">
        <v>6060</v>
      </c>
      <c r="B1528" s="13" t="s">
        <v>43</v>
      </c>
      <c r="D1528" s="3"/>
      <c r="E1528" s="3"/>
      <c r="F1528" s="3"/>
      <c r="G1528" s="3"/>
      <c r="H1528" s="3"/>
      <c r="I1528" s="3"/>
    </row>
    <row r="1529">
      <c r="A1529" s="4" t="s">
        <v>6061</v>
      </c>
      <c r="B1529" s="13" t="s">
        <v>43</v>
      </c>
      <c r="D1529" s="3"/>
      <c r="E1529" s="3"/>
      <c r="F1529" s="3"/>
      <c r="G1529" s="3"/>
      <c r="H1529" s="3"/>
      <c r="I1529" s="3"/>
    </row>
    <row r="1530">
      <c r="A1530" s="4" t="s">
        <v>6062</v>
      </c>
      <c r="B1530" s="13" t="s">
        <v>43</v>
      </c>
      <c r="D1530" s="3"/>
      <c r="E1530" s="3"/>
      <c r="F1530" s="3"/>
      <c r="G1530" s="3"/>
      <c r="H1530" s="3"/>
      <c r="I1530" s="3"/>
    </row>
    <row r="1531">
      <c r="A1531" s="4" t="s">
        <v>6063</v>
      </c>
      <c r="B1531" s="13" t="s">
        <v>43</v>
      </c>
      <c r="D1531" s="3"/>
      <c r="E1531" s="3"/>
      <c r="F1531" s="3"/>
      <c r="G1531" s="3"/>
      <c r="H1531" s="3"/>
      <c r="I1531" s="3"/>
    </row>
    <row r="1532">
      <c r="A1532" s="4" t="s">
        <v>6064</v>
      </c>
      <c r="B1532" s="13" t="s">
        <v>43</v>
      </c>
      <c r="D1532" s="3"/>
      <c r="E1532" s="3"/>
      <c r="F1532" s="3"/>
      <c r="G1532" s="3"/>
      <c r="H1532" s="3"/>
      <c r="I1532" s="3"/>
    </row>
    <row r="1533">
      <c r="A1533" s="4" t="s">
        <v>6065</v>
      </c>
      <c r="B1533" s="13" t="s">
        <v>43</v>
      </c>
      <c r="D1533" s="3"/>
      <c r="E1533" s="3"/>
      <c r="F1533" s="3"/>
      <c r="G1533" s="3"/>
      <c r="H1533" s="3"/>
      <c r="I1533" s="3"/>
    </row>
    <row r="1534">
      <c r="A1534" s="4" t="s">
        <v>6066</v>
      </c>
      <c r="B1534" s="13" t="s">
        <v>43</v>
      </c>
      <c r="D1534" s="3"/>
      <c r="E1534" s="3"/>
      <c r="F1534" s="3"/>
      <c r="G1534" s="3"/>
      <c r="H1534" s="3"/>
      <c r="I1534" s="3"/>
    </row>
    <row r="1535">
      <c r="A1535" s="4" t="s">
        <v>6067</v>
      </c>
      <c r="B1535" s="13" t="s">
        <v>43</v>
      </c>
      <c r="D1535" s="3"/>
      <c r="E1535" s="3"/>
      <c r="F1535" s="3"/>
      <c r="G1535" s="3"/>
      <c r="H1535" s="3"/>
      <c r="I1535" s="3"/>
    </row>
    <row r="1536">
      <c r="A1536" s="4" t="s">
        <v>6068</v>
      </c>
      <c r="B1536" s="13" t="s">
        <v>43</v>
      </c>
      <c r="D1536" s="3"/>
      <c r="E1536" s="3"/>
      <c r="F1536" s="3"/>
      <c r="G1536" s="3"/>
      <c r="H1536" s="3"/>
      <c r="I1536" s="3"/>
    </row>
    <row r="1537">
      <c r="A1537" s="4" t="s">
        <v>6069</v>
      </c>
      <c r="B1537" s="13" t="s">
        <v>43</v>
      </c>
      <c r="D1537" s="3"/>
      <c r="E1537" s="3"/>
      <c r="F1537" s="3"/>
      <c r="G1537" s="3"/>
      <c r="H1537" s="3"/>
      <c r="I1537" s="3"/>
    </row>
    <row r="1538">
      <c r="A1538" s="4" t="s">
        <v>6070</v>
      </c>
      <c r="B1538" s="13" t="s">
        <v>43</v>
      </c>
      <c r="D1538" s="3"/>
      <c r="E1538" s="3"/>
      <c r="F1538" s="3"/>
      <c r="G1538" s="3"/>
      <c r="H1538" s="3"/>
      <c r="I1538" s="3"/>
    </row>
    <row r="1539">
      <c r="A1539" s="4" t="s">
        <v>6071</v>
      </c>
      <c r="B1539" s="13" t="s">
        <v>43</v>
      </c>
      <c r="D1539" s="3"/>
      <c r="E1539" s="3"/>
      <c r="F1539" s="3"/>
      <c r="G1539" s="3"/>
      <c r="H1539" s="3"/>
      <c r="I1539" s="3"/>
    </row>
    <row r="1540">
      <c r="A1540" s="4" t="s">
        <v>6072</v>
      </c>
      <c r="B1540" s="13" t="s">
        <v>43</v>
      </c>
      <c r="D1540" s="3"/>
      <c r="E1540" s="3"/>
      <c r="F1540" s="3"/>
      <c r="G1540" s="3"/>
      <c r="H1540" s="3"/>
      <c r="I1540" s="3"/>
    </row>
    <row r="1541">
      <c r="A1541" s="4" t="s">
        <v>6073</v>
      </c>
      <c r="B1541" s="13" t="s">
        <v>43</v>
      </c>
      <c r="D1541" s="3"/>
      <c r="E1541" s="3"/>
      <c r="F1541" s="3"/>
      <c r="G1541" s="3"/>
      <c r="H1541" s="3"/>
      <c r="I1541" s="3"/>
    </row>
    <row r="1542">
      <c r="A1542" s="4" t="s">
        <v>6074</v>
      </c>
      <c r="B1542" s="13" t="s">
        <v>43</v>
      </c>
      <c r="D1542" s="3"/>
      <c r="E1542" s="3"/>
      <c r="F1542" s="3"/>
      <c r="G1542" s="3"/>
      <c r="H1542" s="3"/>
      <c r="I1542" s="3"/>
    </row>
    <row r="1543">
      <c r="A1543" s="4" t="s">
        <v>6075</v>
      </c>
      <c r="B1543" s="13" t="s">
        <v>43</v>
      </c>
      <c r="D1543" s="3"/>
      <c r="E1543" s="3"/>
      <c r="F1543" s="3"/>
      <c r="G1543" s="3"/>
      <c r="H1543" s="3"/>
      <c r="I1543" s="3"/>
    </row>
    <row r="1544">
      <c r="A1544" s="4" t="s">
        <v>6076</v>
      </c>
      <c r="B1544" s="13" t="s">
        <v>43</v>
      </c>
      <c r="D1544" s="3"/>
      <c r="E1544" s="3"/>
      <c r="F1544" s="3"/>
      <c r="G1544" s="3"/>
      <c r="H1544" s="3"/>
      <c r="I1544" s="3"/>
    </row>
    <row r="1545">
      <c r="A1545" s="4" t="s">
        <v>6077</v>
      </c>
      <c r="B1545" s="13" t="s">
        <v>43</v>
      </c>
      <c r="D1545" s="3"/>
      <c r="E1545" s="3"/>
      <c r="F1545" s="3"/>
      <c r="G1545" s="3"/>
      <c r="H1545" s="3"/>
      <c r="I1545" s="3"/>
    </row>
    <row r="1546">
      <c r="A1546" s="4" t="s">
        <v>6078</v>
      </c>
      <c r="B1546" s="13" t="s">
        <v>43</v>
      </c>
      <c r="D1546" s="3"/>
      <c r="E1546" s="3"/>
      <c r="F1546" s="3"/>
      <c r="G1546" s="3"/>
      <c r="H1546" s="3"/>
      <c r="I1546" s="3"/>
    </row>
    <row r="1547">
      <c r="A1547" s="4" t="s">
        <v>6079</v>
      </c>
      <c r="B1547" s="13" t="s">
        <v>43</v>
      </c>
      <c r="D1547" s="3"/>
      <c r="E1547" s="3"/>
      <c r="F1547" s="3"/>
      <c r="G1547" s="3"/>
      <c r="H1547" s="3"/>
      <c r="I1547" s="3"/>
    </row>
    <row r="1548">
      <c r="A1548" s="4" t="s">
        <v>6080</v>
      </c>
      <c r="B1548" s="13" t="s">
        <v>43</v>
      </c>
      <c r="D1548" s="3"/>
      <c r="E1548" s="3"/>
      <c r="F1548" s="3"/>
      <c r="G1548" s="3"/>
      <c r="H1548" s="3"/>
      <c r="I1548" s="3"/>
    </row>
    <row r="1549">
      <c r="A1549" s="4" t="s">
        <v>6081</v>
      </c>
      <c r="B1549" s="13" t="s">
        <v>43</v>
      </c>
      <c r="D1549" s="3"/>
      <c r="E1549" s="3"/>
      <c r="F1549" s="3"/>
      <c r="G1549" s="3"/>
      <c r="H1549" s="3"/>
      <c r="I1549" s="3"/>
    </row>
    <row r="1550">
      <c r="A1550" s="4" t="s">
        <v>6082</v>
      </c>
      <c r="B1550" s="13" t="s">
        <v>43</v>
      </c>
      <c r="D1550" s="3"/>
      <c r="E1550" s="3"/>
      <c r="F1550" s="3"/>
      <c r="G1550" s="3"/>
      <c r="H1550" s="3"/>
      <c r="I1550" s="3"/>
    </row>
    <row r="1551">
      <c r="A1551" s="4" t="s">
        <v>6083</v>
      </c>
      <c r="B1551" s="13" t="s">
        <v>43</v>
      </c>
      <c r="D1551" s="3"/>
      <c r="E1551" s="3"/>
      <c r="F1551" s="3"/>
      <c r="G1551" s="3"/>
      <c r="H1551" s="3"/>
      <c r="I1551" s="3"/>
    </row>
    <row r="1552">
      <c r="A1552" s="4" t="s">
        <v>6084</v>
      </c>
      <c r="B1552" s="13" t="s">
        <v>43</v>
      </c>
      <c r="D1552" s="3"/>
      <c r="E1552" s="3"/>
      <c r="F1552" s="3"/>
      <c r="G1552" s="3"/>
      <c r="H1552" s="3"/>
      <c r="I1552" s="3"/>
    </row>
    <row r="1553">
      <c r="A1553" s="4" t="s">
        <v>6085</v>
      </c>
      <c r="B1553" s="13" t="s">
        <v>43</v>
      </c>
      <c r="D1553" s="3"/>
      <c r="E1553" s="3"/>
      <c r="F1553" s="3"/>
      <c r="G1553" s="3"/>
      <c r="H1553" s="3"/>
      <c r="I1553" s="3"/>
    </row>
    <row r="1554">
      <c r="A1554" s="4" t="s">
        <v>6086</v>
      </c>
      <c r="B1554" s="13" t="s">
        <v>43</v>
      </c>
      <c r="D1554" s="3"/>
      <c r="E1554" s="3"/>
      <c r="F1554" s="3"/>
      <c r="G1554" s="3"/>
      <c r="H1554" s="3"/>
      <c r="I1554" s="3"/>
    </row>
    <row r="1555">
      <c r="A1555" s="4" t="s">
        <v>6087</v>
      </c>
      <c r="B1555" s="13" t="s">
        <v>43</v>
      </c>
      <c r="D1555" s="3"/>
      <c r="E1555" s="3"/>
      <c r="F1555" s="3"/>
      <c r="G1555" s="3"/>
      <c r="H1555" s="3"/>
      <c r="I1555" s="3"/>
    </row>
    <row r="1556">
      <c r="A1556" s="4" t="s">
        <v>6088</v>
      </c>
      <c r="B1556" s="13" t="s">
        <v>43</v>
      </c>
      <c r="D1556" s="3"/>
      <c r="E1556" s="3"/>
      <c r="F1556" s="3"/>
      <c r="G1556" s="3"/>
      <c r="H1556" s="3"/>
      <c r="I1556" s="3"/>
    </row>
    <row r="1557">
      <c r="A1557" s="4" t="s">
        <v>6089</v>
      </c>
      <c r="B1557" s="13" t="s">
        <v>48</v>
      </c>
      <c r="C1557" s="4">
        <v>1.0</v>
      </c>
      <c r="D1557" s="3"/>
      <c r="E1557" s="3"/>
      <c r="F1557" s="3"/>
      <c r="G1557" s="4">
        <v>10.0</v>
      </c>
      <c r="H1557" s="3"/>
      <c r="I1557" s="3"/>
    </row>
    <row r="1558">
      <c r="A1558" s="4" t="s">
        <v>6090</v>
      </c>
      <c r="B1558" s="13" t="s">
        <v>48</v>
      </c>
      <c r="C1558" s="4">
        <v>1.0</v>
      </c>
      <c r="D1558" s="3"/>
      <c r="E1558" s="3"/>
      <c r="F1558" s="3"/>
      <c r="G1558" s="4">
        <v>10.0</v>
      </c>
      <c r="H1558" s="3"/>
      <c r="I1558" s="3"/>
    </row>
    <row r="1559">
      <c r="A1559" s="4" t="s">
        <v>6091</v>
      </c>
      <c r="B1559" s="13" t="s">
        <v>48</v>
      </c>
      <c r="C1559" s="4">
        <v>1.0</v>
      </c>
      <c r="D1559" s="3"/>
      <c r="E1559" s="3"/>
      <c r="F1559" s="3"/>
      <c r="G1559" s="4">
        <v>10.0</v>
      </c>
      <c r="H1559" s="3"/>
      <c r="I1559" s="3"/>
    </row>
    <row r="1560">
      <c r="A1560" s="4" t="s">
        <v>6092</v>
      </c>
      <c r="B1560" s="13" t="s">
        <v>48</v>
      </c>
      <c r="C1560" s="4">
        <v>1.0</v>
      </c>
      <c r="D1560" s="3"/>
      <c r="E1560" s="3"/>
      <c r="F1560" s="3"/>
      <c r="G1560" s="4">
        <v>10.0</v>
      </c>
      <c r="H1560" s="3"/>
      <c r="I1560" s="3"/>
    </row>
    <row r="1561">
      <c r="A1561" s="4" t="s">
        <v>6093</v>
      </c>
      <c r="B1561" s="13" t="s">
        <v>48</v>
      </c>
      <c r="C1561" s="4">
        <v>1.0</v>
      </c>
      <c r="D1561" s="3"/>
      <c r="E1561" s="3"/>
      <c r="F1561" s="3"/>
      <c r="G1561" s="4">
        <v>10.0</v>
      </c>
      <c r="H1561" s="3"/>
      <c r="I1561" s="3"/>
    </row>
    <row r="1562">
      <c r="A1562" s="4" t="s">
        <v>6094</v>
      </c>
      <c r="B1562" s="13" t="s">
        <v>48</v>
      </c>
      <c r="C1562" s="4">
        <v>1.0</v>
      </c>
      <c r="D1562" s="3"/>
      <c r="E1562" s="3"/>
      <c r="F1562" s="3"/>
      <c r="G1562" s="4">
        <v>10.0</v>
      </c>
      <c r="H1562" s="3"/>
      <c r="I1562" s="3"/>
    </row>
    <row r="1563">
      <c r="A1563" s="4" t="s">
        <v>6095</v>
      </c>
      <c r="B1563" s="13" t="s">
        <v>48</v>
      </c>
      <c r="C1563" s="4">
        <v>1.0</v>
      </c>
      <c r="D1563" s="3"/>
      <c r="E1563" s="3"/>
      <c r="F1563" s="3"/>
      <c r="G1563" s="4">
        <v>10.0</v>
      </c>
      <c r="H1563" s="3"/>
      <c r="I1563" s="3"/>
    </row>
    <row r="1564">
      <c r="A1564" s="4" t="s">
        <v>6096</v>
      </c>
      <c r="B1564" s="13" t="s">
        <v>48</v>
      </c>
      <c r="C1564" s="4">
        <v>1.0</v>
      </c>
      <c r="D1564" s="3"/>
      <c r="E1564" s="3"/>
      <c r="F1564" s="3"/>
      <c r="G1564" s="4">
        <v>10.0</v>
      </c>
      <c r="H1564" s="3"/>
      <c r="I1564" s="3"/>
    </row>
    <row r="1565">
      <c r="A1565" s="4" t="s">
        <v>6097</v>
      </c>
      <c r="B1565" s="13" t="s">
        <v>48</v>
      </c>
      <c r="C1565" s="4">
        <v>1.0</v>
      </c>
      <c r="D1565" s="3"/>
      <c r="E1565" s="3"/>
      <c r="F1565" s="3"/>
      <c r="G1565" s="4">
        <v>10.0</v>
      </c>
      <c r="H1565" s="3"/>
      <c r="I1565" s="3"/>
    </row>
    <row r="1566">
      <c r="A1566" s="4" t="s">
        <v>6098</v>
      </c>
      <c r="B1566" s="13" t="s">
        <v>48</v>
      </c>
      <c r="C1566" s="4">
        <v>1.0</v>
      </c>
      <c r="D1566" s="3"/>
      <c r="E1566" s="3"/>
      <c r="F1566" s="3"/>
      <c r="G1566" s="4">
        <v>10.0</v>
      </c>
      <c r="H1566" s="3"/>
      <c r="I1566" s="3"/>
    </row>
    <row r="1567">
      <c r="A1567" s="4" t="s">
        <v>6099</v>
      </c>
      <c r="B1567" s="13" t="s">
        <v>48</v>
      </c>
      <c r="C1567" s="4">
        <v>1.0</v>
      </c>
      <c r="D1567" s="3"/>
      <c r="E1567" s="3"/>
      <c r="F1567" s="3"/>
      <c r="G1567" s="4">
        <v>10.0</v>
      </c>
      <c r="H1567" s="3"/>
      <c r="I1567" s="3"/>
    </row>
    <row r="1568">
      <c r="A1568" s="4" t="s">
        <v>6100</v>
      </c>
      <c r="B1568" s="13" t="s">
        <v>48</v>
      </c>
      <c r="C1568" s="4">
        <v>1.0</v>
      </c>
      <c r="D1568" s="3"/>
      <c r="E1568" s="3"/>
      <c r="F1568" s="3"/>
      <c r="G1568" s="4">
        <v>10.0</v>
      </c>
      <c r="H1568" s="3"/>
      <c r="I1568" s="3"/>
    </row>
    <row r="1569">
      <c r="A1569" s="4" t="s">
        <v>6101</v>
      </c>
      <c r="B1569" s="13" t="s">
        <v>48</v>
      </c>
      <c r="C1569" s="4">
        <v>1.0</v>
      </c>
      <c r="D1569" s="3"/>
      <c r="E1569" s="3"/>
      <c r="F1569" s="3"/>
      <c r="G1569" s="4">
        <v>10.0</v>
      </c>
      <c r="H1569" s="3"/>
      <c r="I1569" s="3"/>
    </row>
    <row r="1570">
      <c r="A1570" s="4" t="s">
        <v>6102</v>
      </c>
      <c r="B1570" s="13" t="s">
        <v>48</v>
      </c>
      <c r="C1570" s="4">
        <v>1.0</v>
      </c>
      <c r="D1570" s="3"/>
      <c r="E1570" s="3"/>
      <c r="F1570" s="3"/>
      <c r="G1570" s="4">
        <v>10.0</v>
      </c>
      <c r="H1570" s="3"/>
      <c r="I1570" s="3"/>
    </row>
    <row r="1571">
      <c r="A1571" s="4" t="s">
        <v>6103</v>
      </c>
      <c r="B1571" s="13" t="s">
        <v>48</v>
      </c>
      <c r="C1571" s="4">
        <v>1.0</v>
      </c>
      <c r="D1571" s="3"/>
      <c r="E1571" s="3"/>
      <c r="F1571" s="3"/>
      <c r="G1571" s="4">
        <v>10.0</v>
      </c>
      <c r="H1571" s="3"/>
      <c r="I1571" s="3"/>
    </row>
    <row r="1572">
      <c r="A1572" s="4" t="s">
        <v>6104</v>
      </c>
      <c r="B1572" s="13" t="s">
        <v>43</v>
      </c>
      <c r="D1572" s="3"/>
      <c r="E1572" s="3"/>
      <c r="F1572" s="3"/>
      <c r="G1572" s="3"/>
      <c r="H1572" s="3"/>
      <c r="I1572" s="3"/>
    </row>
    <row r="1573">
      <c r="A1573" s="4" t="s">
        <v>6105</v>
      </c>
      <c r="B1573" s="13" t="s">
        <v>43</v>
      </c>
      <c r="D1573" s="3"/>
      <c r="E1573" s="3"/>
      <c r="F1573" s="3"/>
      <c r="G1573" s="3"/>
      <c r="H1573" s="3"/>
      <c r="I1573" s="3"/>
    </row>
    <row r="1574">
      <c r="A1574" s="4" t="s">
        <v>6106</v>
      </c>
      <c r="B1574" s="13" t="s">
        <v>43</v>
      </c>
      <c r="D1574" s="3"/>
      <c r="E1574" s="3"/>
      <c r="F1574" s="3"/>
      <c r="G1574" s="3"/>
      <c r="H1574" s="3"/>
      <c r="I1574" s="3"/>
    </row>
    <row r="1575">
      <c r="A1575" s="4" t="s">
        <v>6107</v>
      </c>
      <c r="B1575" s="13" t="s">
        <v>43</v>
      </c>
      <c r="D1575" s="3"/>
      <c r="E1575" s="3"/>
      <c r="F1575" s="3"/>
      <c r="G1575" s="3"/>
      <c r="H1575" s="3"/>
      <c r="I1575" s="3"/>
    </row>
    <row r="1576">
      <c r="A1576" s="4" t="s">
        <v>6108</v>
      </c>
      <c r="B1576" s="13" t="s">
        <v>43</v>
      </c>
      <c r="D1576" s="3"/>
      <c r="E1576" s="3"/>
      <c r="F1576" s="3"/>
      <c r="G1576" s="3"/>
      <c r="H1576" s="3"/>
      <c r="I1576" s="3"/>
    </row>
    <row r="1577">
      <c r="A1577" s="4" t="s">
        <v>6109</v>
      </c>
      <c r="B1577" s="13" t="s">
        <v>43</v>
      </c>
      <c r="D1577" s="3"/>
      <c r="E1577" s="3"/>
      <c r="F1577" s="3"/>
      <c r="G1577" s="3"/>
      <c r="H1577" s="3"/>
      <c r="I1577" s="3"/>
    </row>
    <row r="1578">
      <c r="A1578" s="4" t="s">
        <v>6110</v>
      </c>
      <c r="B1578" s="13" t="s">
        <v>43</v>
      </c>
      <c r="D1578" s="3"/>
      <c r="E1578" s="3"/>
      <c r="F1578" s="3"/>
      <c r="G1578" s="3"/>
      <c r="H1578" s="3"/>
      <c r="I1578" s="3"/>
    </row>
    <row r="1579">
      <c r="A1579" s="4" t="s">
        <v>6111</v>
      </c>
      <c r="B1579" s="13" t="s">
        <v>43</v>
      </c>
      <c r="D1579" s="3"/>
      <c r="E1579" s="3"/>
      <c r="F1579" s="3"/>
      <c r="G1579" s="3"/>
      <c r="H1579" s="3"/>
      <c r="I1579" s="3"/>
    </row>
    <row r="1580">
      <c r="A1580" s="4" t="s">
        <v>6112</v>
      </c>
      <c r="B1580" s="13" t="s">
        <v>43</v>
      </c>
      <c r="D1580" s="3"/>
      <c r="E1580" s="3"/>
      <c r="F1580" s="3"/>
      <c r="G1580" s="3"/>
      <c r="H1580" s="3"/>
      <c r="I1580" s="3"/>
    </row>
    <row r="1581">
      <c r="A1581" s="4" t="s">
        <v>6113</v>
      </c>
      <c r="B1581" s="13" t="s">
        <v>43</v>
      </c>
      <c r="D1581" s="3"/>
      <c r="E1581" s="3"/>
      <c r="F1581" s="3"/>
      <c r="G1581" s="3"/>
      <c r="H1581" s="3"/>
      <c r="I1581" s="3"/>
    </row>
    <row r="1582">
      <c r="A1582" s="4" t="s">
        <v>6114</v>
      </c>
      <c r="B1582" s="13" t="s">
        <v>43</v>
      </c>
      <c r="D1582" s="3"/>
      <c r="E1582" s="3"/>
      <c r="F1582" s="3"/>
      <c r="G1582" s="3"/>
      <c r="H1582" s="3"/>
      <c r="I1582" s="3"/>
    </row>
    <row r="1583">
      <c r="A1583" s="4" t="s">
        <v>6115</v>
      </c>
      <c r="B1583" s="13" t="s">
        <v>43</v>
      </c>
      <c r="D1583" s="3"/>
      <c r="E1583" s="3"/>
      <c r="F1583" s="3"/>
      <c r="G1583" s="3"/>
      <c r="H1583" s="3"/>
      <c r="I1583" s="3"/>
    </row>
    <row r="1584">
      <c r="A1584" s="4" t="s">
        <v>6116</v>
      </c>
      <c r="B1584" s="13" t="s">
        <v>43</v>
      </c>
      <c r="D1584" s="3"/>
      <c r="E1584" s="3"/>
      <c r="F1584" s="3"/>
      <c r="G1584" s="3"/>
      <c r="H1584" s="3"/>
      <c r="I1584" s="3"/>
    </row>
    <row r="1585">
      <c r="A1585" s="4" t="s">
        <v>6117</v>
      </c>
      <c r="B1585" s="13" t="s">
        <v>43</v>
      </c>
      <c r="D1585" s="3"/>
      <c r="E1585" s="3"/>
      <c r="F1585" s="3"/>
      <c r="G1585" s="3"/>
      <c r="H1585" s="3"/>
      <c r="I1585" s="3"/>
    </row>
    <row r="1586">
      <c r="A1586" s="4" t="s">
        <v>6118</v>
      </c>
      <c r="B1586" s="13" t="s">
        <v>43</v>
      </c>
      <c r="D1586" s="3"/>
      <c r="E1586" s="3"/>
      <c r="F1586" s="3"/>
      <c r="G1586" s="3"/>
      <c r="H1586" s="3"/>
      <c r="I1586" s="3"/>
    </row>
    <row r="1587">
      <c r="A1587" s="4" t="s">
        <v>6119</v>
      </c>
      <c r="B1587" s="13" t="s">
        <v>43</v>
      </c>
      <c r="D1587" s="3"/>
      <c r="E1587" s="3"/>
      <c r="F1587" s="3"/>
      <c r="G1587" s="3"/>
      <c r="H1587" s="3"/>
      <c r="I1587" s="3"/>
    </row>
    <row r="1588">
      <c r="A1588" s="4" t="s">
        <v>6120</v>
      </c>
      <c r="B1588" s="13" t="s">
        <v>43</v>
      </c>
      <c r="D1588" s="3"/>
      <c r="E1588" s="3"/>
      <c r="F1588" s="3"/>
      <c r="G1588" s="3"/>
      <c r="H1588" s="3"/>
      <c r="I1588" s="3"/>
    </row>
    <row r="1589">
      <c r="A1589" s="4" t="s">
        <v>6121</v>
      </c>
      <c r="B1589" s="13" t="s">
        <v>43</v>
      </c>
      <c r="D1589" s="3"/>
      <c r="E1589" s="3"/>
      <c r="F1589" s="3"/>
      <c r="G1589" s="3"/>
      <c r="H1589" s="3"/>
      <c r="I1589" s="3"/>
    </row>
    <row r="1590">
      <c r="A1590" s="4" t="s">
        <v>6122</v>
      </c>
      <c r="B1590" s="13" t="s">
        <v>43</v>
      </c>
      <c r="D1590" s="3"/>
      <c r="E1590" s="3"/>
      <c r="F1590" s="3"/>
      <c r="G1590" s="3"/>
      <c r="H1590" s="3"/>
      <c r="I1590" s="3"/>
    </row>
    <row r="1591">
      <c r="A1591" s="4" t="s">
        <v>6123</v>
      </c>
      <c r="B1591" s="13" t="s">
        <v>43</v>
      </c>
      <c r="D1591" s="3"/>
      <c r="E1591" s="3"/>
      <c r="F1591" s="3"/>
      <c r="G1591" s="3"/>
      <c r="H1591" s="3"/>
      <c r="I1591" s="3"/>
    </row>
    <row r="1592">
      <c r="A1592" s="4" t="s">
        <v>6124</v>
      </c>
      <c r="B1592" s="13" t="s">
        <v>43</v>
      </c>
      <c r="D1592" s="3"/>
      <c r="E1592" s="3"/>
      <c r="F1592" s="3"/>
      <c r="G1592" s="3"/>
      <c r="H1592" s="3"/>
      <c r="I1592" s="3"/>
    </row>
    <row r="1593">
      <c r="A1593" s="4" t="s">
        <v>6125</v>
      </c>
      <c r="B1593" s="13" t="s">
        <v>43</v>
      </c>
      <c r="D1593" s="3"/>
      <c r="E1593" s="3"/>
      <c r="F1593" s="3"/>
      <c r="G1593" s="3"/>
      <c r="H1593" s="3"/>
      <c r="I1593" s="3"/>
    </row>
    <row r="1594">
      <c r="A1594" s="4" t="s">
        <v>6126</v>
      </c>
      <c r="B1594" s="13" t="s">
        <v>43</v>
      </c>
      <c r="D1594" s="3"/>
      <c r="E1594" s="3"/>
      <c r="F1594" s="3"/>
      <c r="G1594" s="3"/>
      <c r="H1594" s="3"/>
      <c r="I1594" s="3"/>
    </row>
    <row r="1595">
      <c r="A1595" s="4" t="s">
        <v>6127</v>
      </c>
      <c r="B1595" s="13" t="s">
        <v>43</v>
      </c>
      <c r="D1595" s="3"/>
      <c r="E1595" s="3"/>
      <c r="F1595" s="3"/>
      <c r="G1595" s="3"/>
      <c r="H1595" s="3"/>
      <c r="I1595" s="3"/>
    </row>
    <row r="1596">
      <c r="A1596" s="4" t="s">
        <v>6128</v>
      </c>
      <c r="B1596" s="13" t="s">
        <v>43</v>
      </c>
      <c r="D1596" s="3"/>
      <c r="E1596" s="3"/>
      <c r="F1596" s="3"/>
      <c r="G1596" s="3"/>
      <c r="H1596" s="3"/>
      <c r="I1596" s="3"/>
    </row>
    <row r="1597">
      <c r="A1597" s="4" t="s">
        <v>6129</v>
      </c>
      <c r="B1597" s="13" t="s">
        <v>43</v>
      </c>
      <c r="D1597" s="3"/>
      <c r="E1597" s="3"/>
      <c r="F1597" s="3"/>
      <c r="G1597" s="3"/>
      <c r="H1597" s="3"/>
      <c r="I1597" s="3"/>
    </row>
    <row r="1598">
      <c r="A1598" s="4" t="s">
        <v>6130</v>
      </c>
      <c r="B1598" s="13" t="s">
        <v>43</v>
      </c>
      <c r="D1598" s="3"/>
      <c r="E1598" s="3"/>
      <c r="F1598" s="3"/>
      <c r="G1598" s="3"/>
      <c r="H1598" s="3"/>
      <c r="I1598" s="3"/>
    </row>
    <row r="1599">
      <c r="A1599" s="4" t="s">
        <v>6131</v>
      </c>
      <c r="B1599" s="13" t="s">
        <v>43</v>
      </c>
      <c r="D1599" s="3"/>
      <c r="E1599" s="3"/>
      <c r="F1599" s="3"/>
      <c r="G1599" s="3"/>
      <c r="H1599" s="3"/>
      <c r="I1599" s="3"/>
    </row>
    <row r="1600">
      <c r="A1600" s="4" t="s">
        <v>6132</v>
      </c>
      <c r="B1600" s="13" t="s">
        <v>43</v>
      </c>
      <c r="D1600" s="3"/>
      <c r="E1600" s="3"/>
      <c r="F1600" s="3"/>
      <c r="G1600" s="3"/>
      <c r="H1600" s="3"/>
      <c r="I1600" s="3"/>
    </row>
    <row r="1601">
      <c r="A1601" s="4" t="s">
        <v>6133</v>
      </c>
      <c r="B1601" s="13" t="s">
        <v>43</v>
      </c>
      <c r="D1601" s="3"/>
      <c r="E1601" s="3"/>
      <c r="F1601" s="3"/>
      <c r="G1601" s="3"/>
      <c r="H1601" s="3"/>
      <c r="I1601" s="3"/>
    </row>
    <row r="1602">
      <c r="A1602" s="4" t="s">
        <v>6134</v>
      </c>
      <c r="B1602" s="13" t="s">
        <v>43</v>
      </c>
      <c r="D1602" s="3"/>
      <c r="E1602" s="3"/>
      <c r="F1602" s="3"/>
      <c r="G1602" s="3"/>
      <c r="H1602" s="3"/>
      <c r="I1602" s="3"/>
    </row>
    <row r="1603">
      <c r="A1603" s="4" t="s">
        <v>6135</v>
      </c>
      <c r="B1603" s="13" t="s">
        <v>43</v>
      </c>
      <c r="D1603" s="3"/>
      <c r="E1603" s="3"/>
      <c r="F1603" s="3"/>
      <c r="G1603" s="3"/>
      <c r="H1603" s="3"/>
      <c r="I1603" s="3"/>
    </row>
    <row r="1604">
      <c r="A1604" s="4" t="s">
        <v>6136</v>
      </c>
      <c r="B1604" s="13" t="s">
        <v>43</v>
      </c>
      <c r="D1604" s="3"/>
      <c r="E1604" s="3"/>
      <c r="F1604" s="3"/>
      <c r="G1604" s="3"/>
      <c r="H1604" s="3"/>
      <c r="I1604" s="3"/>
    </row>
    <row r="1605">
      <c r="A1605" s="4" t="s">
        <v>6137</v>
      </c>
      <c r="B1605" s="13" t="s">
        <v>43</v>
      </c>
      <c r="D1605" s="3"/>
      <c r="E1605" s="3"/>
      <c r="F1605" s="3"/>
      <c r="G1605" s="3"/>
      <c r="H1605" s="3"/>
      <c r="I1605" s="3"/>
    </row>
    <row r="1606">
      <c r="A1606" s="4" t="s">
        <v>6138</v>
      </c>
      <c r="B1606" s="13" t="s">
        <v>43</v>
      </c>
      <c r="D1606" s="3"/>
      <c r="E1606" s="3"/>
      <c r="F1606" s="3"/>
      <c r="G1606" s="3"/>
      <c r="H1606" s="3"/>
      <c r="I1606" s="3"/>
    </row>
    <row r="1607">
      <c r="A1607" s="4" t="s">
        <v>6139</v>
      </c>
      <c r="B1607" s="13" t="s">
        <v>43</v>
      </c>
      <c r="D1607" s="3"/>
      <c r="E1607" s="3"/>
      <c r="F1607" s="3"/>
      <c r="G1607" s="3"/>
      <c r="H1607" s="3"/>
      <c r="I1607" s="3"/>
    </row>
    <row r="1608">
      <c r="A1608" s="4" t="s">
        <v>6140</v>
      </c>
      <c r="B1608" s="13" t="s">
        <v>43</v>
      </c>
      <c r="D1608" s="3"/>
      <c r="E1608" s="3"/>
      <c r="F1608" s="3"/>
      <c r="G1608" s="3"/>
      <c r="H1608" s="3"/>
      <c r="I1608" s="3"/>
    </row>
    <row r="1609">
      <c r="A1609" s="4" t="s">
        <v>6141</v>
      </c>
      <c r="B1609" s="13" t="s">
        <v>43</v>
      </c>
      <c r="D1609" s="3"/>
      <c r="E1609" s="3"/>
      <c r="F1609" s="3"/>
      <c r="G1609" s="3"/>
      <c r="H1609" s="3"/>
      <c r="I1609" s="3"/>
    </row>
    <row r="1610">
      <c r="A1610" s="4" t="s">
        <v>6142</v>
      </c>
      <c r="B1610" s="13" t="s">
        <v>43</v>
      </c>
      <c r="D1610" s="3"/>
      <c r="E1610" s="3"/>
      <c r="F1610" s="3"/>
      <c r="G1610" s="3"/>
      <c r="H1610" s="3"/>
      <c r="I1610" s="3"/>
    </row>
    <row r="1611">
      <c r="A1611" s="4" t="s">
        <v>6143</v>
      </c>
      <c r="B1611" s="13" t="s">
        <v>43</v>
      </c>
      <c r="D1611" s="3"/>
      <c r="E1611" s="3"/>
      <c r="F1611" s="3"/>
      <c r="G1611" s="3"/>
      <c r="H1611" s="3"/>
      <c r="I1611" s="3"/>
    </row>
    <row r="1612">
      <c r="A1612" s="4" t="s">
        <v>6144</v>
      </c>
      <c r="B1612" s="13" t="s">
        <v>43</v>
      </c>
      <c r="D1612" s="3"/>
      <c r="E1612" s="3"/>
      <c r="F1612" s="3"/>
      <c r="G1612" s="3"/>
      <c r="H1612" s="3"/>
      <c r="I1612" s="3"/>
    </row>
    <row r="1613">
      <c r="A1613" s="4" t="s">
        <v>6145</v>
      </c>
      <c r="B1613" s="13" t="s">
        <v>43</v>
      </c>
      <c r="D1613" s="3"/>
      <c r="E1613" s="3"/>
      <c r="F1613" s="3"/>
      <c r="G1613" s="3"/>
      <c r="H1613" s="3"/>
      <c r="I1613" s="3"/>
    </row>
    <row r="1614">
      <c r="A1614" s="4" t="s">
        <v>6146</v>
      </c>
      <c r="B1614" s="13" t="s">
        <v>43</v>
      </c>
      <c r="D1614" s="3"/>
      <c r="E1614" s="3"/>
      <c r="F1614" s="3"/>
      <c r="G1614" s="3"/>
      <c r="H1614" s="3"/>
      <c r="I1614" s="3"/>
    </row>
    <row r="1615">
      <c r="A1615" s="4" t="s">
        <v>6147</v>
      </c>
      <c r="B1615" s="13" t="s">
        <v>43</v>
      </c>
      <c r="D1615" s="3"/>
      <c r="E1615" s="3"/>
      <c r="F1615" s="3"/>
      <c r="G1615" s="3"/>
      <c r="H1615" s="3"/>
      <c r="I1615" s="3"/>
    </row>
    <row r="1616">
      <c r="A1616" s="4" t="s">
        <v>6148</v>
      </c>
      <c r="B1616" s="13" t="s">
        <v>43</v>
      </c>
      <c r="D1616" s="3"/>
      <c r="E1616" s="3"/>
      <c r="F1616" s="3"/>
      <c r="G1616" s="3"/>
      <c r="H1616" s="3"/>
      <c r="I1616" s="3"/>
    </row>
    <row r="1617">
      <c r="A1617" s="4" t="s">
        <v>6149</v>
      </c>
      <c r="B1617" s="13" t="s">
        <v>43</v>
      </c>
      <c r="D1617" s="3"/>
      <c r="E1617" s="3"/>
      <c r="F1617" s="3"/>
      <c r="G1617" s="3"/>
      <c r="H1617" s="3"/>
      <c r="I1617" s="3"/>
    </row>
    <row r="1618">
      <c r="A1618" s="4" t="s">
        <v>6150</v>
      </c>
      <c r="B1618" s="13" t="s">
        <v>43</v>
      </c>
      <c r="D1618" s="3"/>
      <c r="E1618" s="3"/>
      <c r="F1618" s="3"/>
      <c r="G1618" s="3"/>
      <c r="H1618" s="3"/>
      <c r="I1618" s="3"/>
    </row>
    <row r="1619">
      <c r="A1619" s="4" t="s">
        <v>6151</v>
      </c>
      <c r="B1619" s="13" t="s">
        <v>43</v>
      </c>
      <c r="D1619" s="3"/>
      <c r="E1619" s="3"/>
      <c r="F1619" s="3"/>
      <c r="G1619" s="3"/>
      <c r="H1619" s="3"/>
      <c r="I1619" s="3"/>
    </row>
    <row r="1620">
      <c r="A1620" s="4" t="s">
        <v>6152</v>
      </c>
      <c r="B1620" s="13" t="s">
        <v>43</v>
      </c>
      <c r="D1620" s="3"/>
      <c r="E1620" s="3"/>
      <c r="F1620" s="3"/>
      <c r="G1620" s="3"/>
      <c r="H1620" s="3"/>
      <c r="I1620" s="3"/>
    </row>
    <row r="1621">
      <c r="A1621" s="4" t="s">
        <v>6153</v>
      </c>
      <c r="B1621" s="13" t="s">
        <v>43</v>
      </c>
      <c r="D1621" s="3"/>
      <c r="E1621" s="3"/>
      <c r="F1621" s="3"/>
      <c r="G1621" s="3"/>
      <c r="H1621" s="3"/>
      <c r="I1621" s="3"/>
    </row>
    <row r="1622">
      <c r="A1622" s="4" t="s">
        <v>6154</v>
      </c>
      <c r="B1622" s="13" t="s">
        <v>43</v>
      </c>
      <c r="D1622" s="3"/>
      <c r="E1622" s="3"/>
      <c r="F1622" s="3"/>
      <c r="G1622" s="3"/>
      <c r="H1622" s="3"/>
      <c r="I1622" s="3"/>
    </row>
    <row r="1623">
      <c r="A1623" s="4" t="s">
        <v>6155</v>
      </c>
      <c r="B1623" s="13" t="s">
        <v>43</v>
      </c>
      <c r="D1623" s="3"/>
      <c r="E1623" s="3"/>
      <c r="F1623" s="3"/>
      <c r="G1623" s="3"/>
      <c r="H1623" s="3"/>
      <c r="I1623" s="3"/>
    </row>
    <row r="1624">
      <c r="A1624" s="4" t="s">
        <v>6156</v>
      </c>
      <c r="B1624" s="13" t="s">
        <v>43</v>
      </c>
      <c r="D1624" s="3"/>
      <c r="E1624" s="3"/>
      <c r="F1624" s="3"/>
      <c r="G1624" s="3"/>
      <c r="H1624" s="3"/>
      <c r="I1624" s="3"/>
    </row>
    <row r="1625">
      <c r="A1625" s="4" t="s">
        <v>6157</v>
      </c>
      <c r="B1625" s="13" t="s">
        <v>43</v>
      </c>
      <c r="D1625" s="3"/>
      <c r="E1625" s="3"/>
      <c r="F1625" s="3"/>
      <c r="G1625" s="3"/>
      <c r="H1625" s="3"/>
      <c r="I1625" s="3"/>
    </row>
    <row r="1626">
      <c r="A1626" s="4" t="s">
        <v>6158</v>
      </c>
      <c r="B1626" s="13" t="s">
        <v>43</v>
      </c>
      <c r="D1626" s="3"/>
      <c r="E1626" s="3"/>
      <c r="F1626" s="3"/>
      <c r="G1626" s="3"/>
      <c r="H1626" s="3"/>
      <c r="I1626" s="3"/>
    </row>
    <row r="1627">
      <c r="A1627" s="4" t="s">
        <v>6159</v>
      </c>
      <c r="B1627" s="13" t="s">
        <v>43</v>
      </c>
      <c r="D1627" s="3"/>
      <c r="E1627" s="3"/>
      <c r="F1627" s="3"/>
      <c r="G1627" s="3"/>
      <c r="H1627" s="3"/>
      <c r="I1627" s="3"/>
    </row>
    <row r="1628">
      <c r="A1628" s="4" t="s">
        <v>6160</v>
      </c>
      <c r="B1628" s="13" t="s">
        <v>43</v>
      </c>
      <c r="D1628" s="3"/>
      <c r="E1628" s="3"/>
      <c r="F1628" s="3"/>
      <c r="G1628" s="3"/>
      <c r="H1628" s="3"/>
      <c r="I1628" s="3"/>
    </row>
    <row r="1629">
      <c r="A1629" s="4" t="s">
        <v>6161</v>
      </c>
      <c r="B1629" s="13" t="s">
        <v>43</v>
      </c>
      <c r="D1629" s="3"/>
      <c r="E1629" s="3"/>
      <c r="F1629" s="3"/>
      <c r="G1629" s="3"/>
      <c r="H1629" s="3"/>
      <c r="I1629" s="3"/>
    </row>
    <row r="1630">
      <c r="A1630" s="4" t="s">
        <v>6162</v>
      </c>
      <c r="B1630" s="13" t="s">
        <v>43</v>
      </c>
      <c r="D1630" s="3"/>
      <c r="E1630" s="3"/>
      <c r="F1630" s="3"/>
      <c r="G1630" s="3"/>
      <c r="H1630" s="3"/>
      <c r="I1630" s="3"/>
    </row>
    <row r="1631">
      <c r="A1631" s="4" t="s">
        <v>6163</v>
      </c>
      <c r="B1631" s="13" t="s">
        <v>43</v>
      </c>
      <c r="D1631" s="3"/>
      <c r="E1631" s="3"/>
      <c r="F1631" s="3"/>
      <c r="G1631" s="3"/>
      <c r="H1631" s="3"/>
      <c r="I1631" s="3"/>
    </row>
    <row r="1632">
      <c r="A1632" s="4" t="s">
        <v>6164</v>
      </c>
      <c r="B1632" s="13" t="s">
        <v>43</v>
      </c>
      <c r="D1632" s="3"/>
      <c r="E1632" s="3"/>
      <c r="F1632" s="3"/>
      <c r="G1632" s="3"/>
      <c r="H1632" s="3"/>
      <c r="I1632" s="3"/>
    </row>
    <row r="1633">
      <c r="A1633" s="4" t="s">
        <v>6165</v>
      </c>
      <c r="B1633" s="13" t="s">
        <v>43</v>
      </c>
      <c r="D1633" s="3"/>
      <c r="E1633" s="3"/>
      <c r="F1633" s="3"/>
      <c r="G1633" s="3"/>
      <c r="H1633" s="3"/>
      <c r="I1633" s="3"/>
    </row>
    <row r="1634">
      <c r="A1634" s="4" t="s">
        <v>6166</v>
      </c>
      <c r="B1634" s="13" t="s">
        <v>43</v>
      </c>
      <c r="D1634" s="3"/>
      <c r="E1634" s="3"/>
      <c r="F1634" s="3"/>
      <c r="G1634" s="3"/>
      <c r="H1634" s="3"/>
      <c r="I1634" s="3"/>
    </row>
    <row r="1635">
      <c r="A1635" s="4" t="s">
        <v>6167</v>
      </c>
      <c r="B1635" s="13" t="s">
        <v>43</v>
      </c>
      <c r="D1635" s="3"/>
      <c r="E1635" s="3"/>
      <c r="F1635" s="3"/>
      <c r="G1635" s="3"/>
      <c r="H1635" s="3"/>
      <c r="I1635" s="3"/>
    </row>
    <row r="1636">
      <c r="A1636" s="4" t="s">
        <v>6168</v>
      </c>
      <c r="B1636" s="13" t="s">
        <v>43</v>
      </c>
      <c r="D1636" s="3"/>
      <c r="E1636" s="3"/>
      <c r="F1636" s="3"/>
      <c r="G1636" s="3"/>
      <c r="H1636" s="3"/>
      <c r="I1636" s="3"/>
    </row>
    <row r="1637">
      <c r="A1637" s="4" t="s">
        <v>6169</v>
      </c>
      <c r="B1637" s="13" t="s">
        <v>43</v>
      </c>
      <c r="D1637" s="3"/>
      <c r="E1637" s="3"/>
      <c r="F1637" s="3"/>
      <c r="G1637" s="3"/>
      <c r="H1637" s="3"/>
      <c r="I1637" s="3"/>
    </row>
    <row r="1638">
      <c r="A1638" s="4" t="s">
        <v>6170</v>
      </c>
      <c r="B1638" s="13" t="s">
        <v>43</v>
      </c>
      <c r="D1638" s="3"/>
      <c r="E1638" s="3"/>
      <c r="F1638" s="3"/>
      <c r="G1638" s="3"/>
      <c r="H1638" s="3"/>
      <c r="I1638" s="3"/>
    </row>
    <row r="1639">
      <c r="A1639" s="4" t="s">
        <v>6171</v>
      </c>
      <c r="B1639" s="13" t="s">
        <v>43</v>
      </c>
      <c r="D1639" s="3"/>
      <c r="E1639" s="3"/>
      <c r="F1639" s="3"/>
      <c r="G1639" s="3"/>
      <c r="H1639" s="3"/>
      <c r="I1639" s="3"/>
    </row>
    <row r="1640">
      <c r="A1640" s="4" t="s">
        <v>6172</v>
      </c>
      <c r="B1640" s="13" t="s">
        <v>43</v>
      </c>
      <c r="D1640" s="3"/>
      <c r="E1640" s="3"/>
      <c r="F1640" s="3"/>
      <c r="G1640" s="3"/>
      <c r="H1640" s="3"/>
      <c r="I1640" s="3"/>
    </row>
    <row r="1641">
      <c r="A1641" s="4" t="s">
        <v>6173</v>
      </c>
      <c r="B1641" s="13" t="s">
        <v>43</v>
      </c>
      <c r="D1641" s="3"/>
      <c r="E1641" s="3"/>
      <c r="F1641" s="3"/>
      <c r="G1641" s="3"/>
      <c r="H1641" s="3"/>
      <c r="I1641" s="3"/>
    </row>
    <row r="1642">
      <c r="A1642" s="4" t="s">
        <v>6174</v>
      </c>
      <c r="B1642" s="13" t="s">
        <v>43</v>
      </c>
      <c r="D1642" s="3"/>
      <c r="E1642" s="3"/>
      <c r="F1642" s="3"/>
      <c r="G1642" s="3"/>
      <c r="H1642" s="3"/>
      <c r="I1642" s="3"/>
    </row>
    <row r="1643">
      <c r="A1643" s="4" t="s">
        <v>6175</v>
      </c>
      <c r="B1643" s="13" t="s">
        <v>43</v>
      </c>
      <c r="D1643" s="3"/>
      <c r="E1643" s="3"/>
      <c r="F1643" s="3"/>
      <c r="G1643" s="3"/>
      <c r="H1643" s="3"/>
      <c r="I1643" s="3"/>
    </row>
    <row r="1644">
      <c r="A1644" s="4" t="s">
        <v>6176</v>
      </c>
      <c r="B1644" s="13" t="s">
        <v>43</v>
      </c>
      <c r="D1644" s="3"/>
      <c r="E1644" s="3"/>
      <c r="F1644" s="3"/>
      <c r="G1644" s="3"/>
      <c r="H1644" s="3"/>
      <c r="I1644" s="3"/>
    </row>
    <row r="1645">
      <c r="A1645" s="4" t="s">
        <v>6177</v>
      </c>
      <c r="B1645" s="13" t="s">
        <v>43</v>
      </c>
      <c r="D1645" s="3"/>
      <c r="E1645" s="3"/>
      <c r="F1645" s="3"/>
      <c r="G1645" s="3"/>
      <c r="H1645" s="3"/>
      <c r="I1645" s="3"/>
    </row>
    <row r="1646">
      <c r="A1646" s="4" t="s">
        <v>6178</v>
      </c>
      <c r="B1646" s="13" t="s">
        <v>43</v>
      </c>
      <c r="D1646" s="3"/>
      <c r="E1646" s="3"/>
      <c r="F1646" s="3"/>
      <c r="G1646" s="3"/>
      <c r="H1646" s="3"/>
      <c r="I1646" s="3"/>
    </row>
    <row r="1647">
      <c r="A1647" s="4" t="s">
        <v>6179</v>
      </c>
      <c r="B1647" s="13" t="s">
        <v>43</v>
      </c>
      <c r="D1647" s="3"/>
      <c r="E1647" s="3"/>
      <c r="F1647" s="3"/>
      <c r="G1647" s="3"/>
      <c r="H1647" s="3"/>
      <c r="I1647" s="3"/>
    </row>
    <row r="1648">
      <c r="A1648" s="4" t="s">
        <v>6180</v>
      </c>
      <c r="B1648" s="13" t="s">
        <v>43</v>
      </c>
      <c r="D1648" s="3"/>
      <c r="E1648" s="3"/>
      <c r="F1648" s="3"/>
      <c r="G1648" s="3"/>
      <c r="H1648" s="3"/>
      <c r="I1648" s="3"/>
    </row>
    <row r="1649">
      <c r="A1649" s="4" t="s">
        <v>6181</v>
      </c>
      <c r="B1649" s="13" t="s">
        <v>43</v>
      </c>
      <c r="D1649" s="3"/>
      <c r="E1649" s="3"/>
      <c r="F1649" s="3"/>
      <c r="G1649" s="3"/>
      <c r="H1649" s="3"/>
      <c r="I1649" s="3"/>
    </row>
    <row r="1650">
      <c r="A1650" s="4" t="s">
        <v>6182</v>
      </c>
      <c r="B1650" s="13" t="s">
        <v>43</v>
      </c>
      <c r="D1650" s="3"/>
      <c r="E1650" s="3"/>
      <c r="F1650" s="3"/>
      <c r="G1650" s="3"/>
      <c r="H1650" s="3"/>
      <c r="I1650" s="3"/>
    </row>
    <row r="1651">
      <c r="A1651" s="4" t="s">
        <v>6183</v>
      </c>
      <c r="B1651" s="13" t="s">
        <v>43</v>
      </c>
      <c r="D1651" s="3"/>
      <c r="E1651" s="3"/>
      <c r="F1651" s="3"/>
      <c r="G1651" s="3"/>
      <c r="H1651" s="3"/>
      <c r="I1651" s="3"/>
    </row>
    <row r="1652">
      <c r="A1652" s="4" t="s">
        <v>6184</v>
      </c>
      <c r="B1652" s="13" t="s">
        <v>43</v>
      </c>
      <c r="D1652" s="3"/>
      <c r="E1652" s="3"/>
      <c r="F1652" s="3"/>
      <c r="G1652" s="3"/>
      <c r="H1652" s="3"/>
      <c r="I1652" s="3"/>
    </row>
    <row r="1653">
      <c r="A1653" s="4" t="s">
        <v>6185</v>
      </c>
      <c r="B1653" s="13" t="s">
        <v>43</v>
      </c>
      <c r="D1653" s="3"/>
      <c r="E1653" s="3"/>
      <c r="F1653" s="3"/>
      <c r="G1653" s="3"/>
      <c r="H1653" s="3"/>
      <c r="I1653" s="3"/>
    </row>
    <row r="1654">
      <c r="A1654" s="4" t="s">
        <v>6186</v>
      </c>
      <c r="B1654" s="13" t="s">
        <v>43</v>
      </c>
      <c r="D1654" s="3"/>
      <c r="E1654" s="3"/>
      <c r="F1654" s="3"/>
      <c r="G1654" s="3"/>
      <c r="H1654" s="3"/>
      <c r="I1654" s="3"/>
    </row>
    <row r="1655">
      <c r="A1655" s="4" t="s">
        <v>6187</v>
      </c>
      <c r="B1655" s="13" t="s">
        <v>43</v>
      </c>
      <c r="D1655" s="3"/>
      <c r="E1655" s="3"/>
      <c r="F1655" s="3"/>
      <c r="G1655" s="3"/>
      <c r="H1655" s="3"/>
      <c r="I1655" s="3"/>
    </row>
    <row r="1656">
      <c r="A1656" s="4" t="s">
        <v>6188</v>
      </c>
      <c r="B1656" s="13" t="s">
        <v>43</v>
      </c>
      <c r="D1656" s="3"/>
      <c r="E1656" s="3"/>
      <c r="F1656" s="3"/>
      <c r="G1656" s="3"/>
      <c r="H1656" s="3"/>
      <c r="I1656" s="3"/>
    </row>
    <row r="1657">
      <c r="A1657" s="4" t="s">
        <v>6189</v>
      </c>
      <c r="B1657" s="13" t="s">
        <v>43</v>
      </c>
      <c r="D1657" s="3"/>
      <c r="E1657" s="3"/>
      <c r="F1657" s="3"/>
      <c r="G1657" s="3"/>
      <c r="H1657" s="3"/>
      <c r="I1657" s="3"/>
    </row>
    <row r="1658">
      <c r="A1658" s="4" t="s">
        <v>6190</v>
      </c>
      <c r="B1658" s="13" t="s">
        <v>43</v>
      </c>
      <c r="D1658" s="3"/>
      <c r="E1658" s="3"/>
      <c r="F1658" s="3"/>
      <c r="G1658" s="3"/>
      <c r="H1658" s="3"/>
      <c r="I1658" s="3"/>
    </row>
    <row r="1659">
      <c r="A1659" s="4" t="s">
        <v>6191</v>
      </c>
      <c r="B1659" s="13" t="s">
        <v>43</v>
      </c>
      <c r="D1659" s="3"/>
      <c r="E1659" s="3"/>
      <c r="F1659" s="3"/>
      <c r="G1659" s="3"/>
      <c r="H1659" s="3"/>
      <c r="I1659" s="3"/>
    </row>
    <row r="1660">
      <c r="A1660" s="4" t="s">
        <v>6192</v>
      </c>
      <c r="B1660" s="13" t="s">
        <v>43</v>
      </c>
      <c r="D1660" s="3"/>
      <c r="E1660" s="3"/>
      <c r="F1660" s="3"/>
      <c r="G1660" s="3"/>
      <c r="H1660" s="3"/>
      <c r="I1660" s="3"/>
    </row>
    <row r="1661">
      <c r="A1661" s="4" t="s">
        <v>6193</v>
      </c>
      <c r="B1661" s="13" t="s">
        <v>43</v>
      </c>
      <c r="D1661" s="3"/>
      <c r="E1661" s="3"/>
      <c r="F1661" s="3"/>
      <c r="G1661" s="3"/>
      <c r="H1661" s="3"/>
      <c r="I1661" s="3"/>
    </row>
    <row r="1662">
      <c r="A1662" s="4" t="s">
        <v>6194</v>
      </c>
      <c r="B1662" s="13" t="s">
        <v>43</v>
      </c>
      <c r="D1662" s="3"/>
      <c r="E1662" s="3"/>
      <c r="F1662" s="3"/>
      <c r="G1662" s="3"/>
      <c r="H1662" s="3"/>
      <c r="I1662" s="3"/>
    </row>
    <row r="1663">
      <c r="A1663" s="4" t="s">
        <v>6195</v>
      </c>
      <c r="B1663" s="13" t="s">
        <v>43</v>
      </c>
      <c r="D1663" s="3"/>
      <c r="E1663" s="3"/>
      <c r="F1663" s="3"/>
      <c r="G1663" s="3"/>
      <c r="H1663" s="3"/>
      <c r="I1663" s="3"/>
    </row>
    <row r="1664">
      <c r="A1664" s="4" t="s">
        <v>6196</v>
      </c>
      <c r="B1664" s="13" t="s">
        <v>43</v>
      </c>
      <c r="D1664" s="3"/>
      <c r="E1664" s="3"/>
      <c r="F1664" s="3"/>
      <c r="G1664" s="3"/>
      <c r="H1664" s="3"/>
      <c r="I1664" s="3"/>
    </row>
    <row r="1665">
      <c r="A1665" s="4" t="s">
        <v>6197</v>
      </c>
      <c r="B1665" s="13" t="s">
        <v>43</v>
      </c>
      <c r="D1665" s="3"/>
      <c r="E1665" s="3"/>
      <c r="F1665" s="3"/>
      <c r="G1665" s="3"/>
      <c r="H1665" s="3"/>
      <c r="I1665" s="3"/>
    </row>
    <row r="1666">
      <c r="A1666" s="4" t="s">
        <v>6198</v>
      </c>
      <c r="B1666" s="13" t="s">
        <v>43</v>
      </c>
      <c r="D1666" s="3"/>
      <c r="E1666" s="3"/>
      <c r="F1666" s="3"/>
      <c r="G1666" s="3"/>
      <c r="H1666" s="3"/>
      <c r="I1666" s="3"/>
    </row>
    <row r="1667">
      <c r="A1667" s="4" t="s">
        <v>6199</v>
      </c>
      <c r="B1667" s="13" t="s">
        <v>43</v>
      </c>
      <c r="D1667" s="3"/>
      <c r="E1667" s="3"/>
      <c r="F1667" s="3"/>
      <c r="G1667" s="3"/>
      <c r="H1667" s="3"/>
      <c r="I1667" s="3"/>
    </row>
    <row r="1668">
      <c r="A1668" s="4" t="s">
        <v>6200</v>
      </c>
      <c r="B1668" s="13" t="s">
        <v>43</v>
      </c>
      <c r="D1668" s="3"/>
      <c r="E1668" s="3"/>
      <c r="F1668" s="3"/>
      <c r="G1668" s="3"/>
      <c r="H1668" s="3"/>
      <c r="I1668" s="3"/>
    </row>
    <row r="1669">
      <c r="A1669" s="4" t="s">
        <v>6201</v>
      </c>
      <c r="B1669" s="13" t="s">
        <v>43</v>
      </c>
      <c r="D1669" s="3"/>
      <c r="E1669" s="3"/>
      <c r="F1669" s="3"/>
      <c r="G1669" s="3"/>
      <c r="H1669" s="3"/>
      <c r="I1669" s="3"/>
    </row>
    <row r="1670">
      <c r="A1670" s="4" t="s">
        <v>6202</v>
      </c>
      <c r="B1670" s="13" t="s">
        <v>43</v>
      </c>
      <c r="D1670" s="3"/>
      <c r="E1670" s="3"/>
      <c r="F1670" s="3"/>
      <c r="G1670" s="3"/>
      <c r="H1670" s="3"/>
      <c r="I1670" s="3"/>
    </row>
    <row r="1671">
      <c r="A1671" s="4" t="s">
        <v>6203</v>
      </c>
      <c r="B1671" s="13" t="s">
        <v>43</v>
      </c>
      <c r="D1671" s="3"/>
      <c r="E1671" s="3"/>
      <c r="F1671" s="3"/>
      <c r="G1671" s="3"/>
      <c r="H1671" s="3"/>
      <c r="I1671" s="3"/>
    </row>
    <row r="1672">
      <c r="A1672" s="4" t="s">
        <v>6204</v>
      </c>
      <c r="B1672" s="13" t="s">
        <v>43</v>
      </c>
      <c r="D1672" s="3"/>
      <c r="E1672" s="3"/>
      <c r="F1672" s="3"/>
      <c r="G1672" s="3"/>
      <c r="H1672" s="3"/>
      <c r="I1672" s="3"/>
    </row>
    <row r="1673">
      <c r="A1673" s="4" t="s">
        <v>6205</v>
      </c>
      <c r="B1673" s="13" t="s">
        <v>43</v>
      </c>
      <c r="D1673" s="3"/>
      <c r="E1673" s="3"/>
      <c r="F1673" s="3"/>
      <c r="G1673" s="3"/>
      <c r="H1673" s="3"/>
      <c r="I1673" s="3"/>
    </row>
    <row r="1674">
      <c r="A1674" s="4" t="s">
        <v>6206</v>
      </c>
      <c r="B1674" s="13" t="s">
        <v>43</v>
      </c>
      <c r="D1674" s="3"/>
      <c r="E1674" s="3"/>
      <c r="F1674" s="3"/>
      <c r="G1674" s="3"/>
      <c r="H1674" s="3"/>
      <c r="I1674" s="3"/>
    </row>
    <row r="1675">
      <c r="A1675" s="4" t="s">
        <v>6207</v>
      </c>
      <c r="B1675" s="13" t="s">
        <v>43</v>
      </c>
      <c r="D1675" s="3"/>
      <c r="E1675" s="3"/>
      <c r="F1675" s="3"/>
      <c r="G1675" s="3"/>
      <c r="H1675" s="3"/>
      <c r="I1675" s="3"/>
    </row>
    <row r="1676">
      <c r="A1676" s="4" t="s">
        <v>6208</v>
      </c>
      <c r="B1676" s="13" t="s">
        <v>43</v>
      </c>
      <c r="D1676" s="3"/>
      <c r="E1676" s="3"/>
      <c r="F1676" s="3"/>
      <c r="G1676" s="3"/>
      <c r="H1676" s="3"/>
      <c r="I1676" s="3"/>
    </row>
    <row r="1677">
      <c r="A1677" s="4" t="s">
        <v>6209</v>
      </c>
      <c r="B1677" s="13" t="s">
        <v>43</v>
      </c>
      <c r="D1677" s="3"/>
      <c r="E1677" s="3"/>
      <c r="F1677" s="3"/>
      <c r="G1677" s="3"/>
      <c r="H1677" s="3"/>
      <c r="I1677" s="3"/>
    </row>
    <row r="1678">
      <c r="A1678" s="4" t="s">
        <v>6210</v>
      </c>
      <c r="B1678" s="13" t="s">
        <v>43</v>
      </c>
      <c r="D1678" s="3"/>
      <c r="E1678" s="3"/>
      <c r="F1678" s="3"/>
      <c r="G1678" s="3"/>
      <c r="H1678" s="3"/>
      <c r="I1678" s="3"/>
    </row>
    <row r="1679">
      <c r="A1679" s="4" t="s">
        <v>6211</v>
      </c>
      <c r="B1679" s="13" t="s">
        <v>43</v>
      </c>
      <c r="D1679" s="3"/>
      <c r="E1679" s="3"/>
      <c r="F1679" s="3"/>
      <c r="G1679" s="3"/>
      <c r="H1679" s="3"/>
      <c r="I1679" s="3"/>
    </row>
    <row r="1680">
      <c r="A1680" s="4" t="s">
        <v>6212</v>
      </c>
      <c r="B1680" s="13" t="s">
        <v>43</v>
      </c>
      <c r="D1680" s="3"/>
      <c r="E1680" s="3"/>
      <c r="F1680" s="3"/>
      <c r="G1680" s="3"/>
      <c r="H1680" s="3"/>
      <c r="I1680" s="3"/>
    </row>
    <row r="1681">
      <c r="A1681" s="4" t="s">
        <v>6213</v>
      </c>
      <c r="B1681" s="13" t="s">
        <v>43</v>
      </c>
      <c r="D1681" s="3"/>
      <c r="E1681" s="3"/>
      <c r="F1681" s="3"/>
      <c r="G1681" s="3"/>
      <c r="H1681" s="3"/>
      <c r="I1681" s="3"/>
    </row>
    <row r="1682">
      <c r="A1682" s="4" t="s">
        <v>6214</v>
      </c>
      <c r="B1682" s="13" t="s">
        <v>43</v>
      </c>
      <c r="D1682" s="3"/>
      <c r="E1682" s="3"/>
      <c r="F1682" s="3"/>
      <c r="G1682" s="3"/>
      <c r="H1682" s="3"/>
      <c r="I1682" s="3"/>
    </row>
    <row r="1683">
      <c r="A1683" s="4" t="s">
        <v>6215</v>
      </c>
      <c r="B1683" s="13" t="s">
        <v>43</v>
      </c>
      <c r="D1683" s="3"/>
      <c r="E1683" s="3"/>
      <c r="F1683" s="3"/>
      <c r="G1683" s="3"/>
      <c r="H1683" s="3"/>
      <c r="I1683" s="3"/>
    </row>
    <row r="1684">
      <c r="A1684" s="4" t="s">
        <v>6216</v>
      </c>
      <c r="B1684" s="13" t="s">
        <v>43</v>
      </c>
      <c r="D1684" s="3"/>
      <c r="E1684" s="3"/>
      <c r="F1684" s="3"/>
      <c r="G1684" s="3"/>
      <c r="H1684" s="3"/>
      <c r="I1684" s="3"/>
    </row>
    <row r="1685">
      <c r="A1685" s="4" t="s">
        <v>6217</v>
      </c>
      <c r="B1685" s="13" t="s">
        <v>43</v>
      </c>
      <c r="D1685" s="3"/>
      <c r="E1685" s="3"/>
      <c r="F1685" s="3"/>
      <c r="G1685" s="3"/>
      <c r="H1685" s="3"/>
      <c r="I1685" s="3"/>
    </row>
    <row r="1686">
      <c r="A1686" s="4" t="s">
        <v>6218</v>
      </c>
      <c r="B1686" s="13" t="s">
        <v>43</v>
      </c>
      <c r="D1686" s="3"/>
      <c r="E1686" s="3"/>
      <c r="F1686" s="3"/>
      <c r="G1686" s="3"/>
      <c r="H1686" s="3"/>
      <c r="I1686" s="3"/>
    </row>
    <row r="1687">
      <c r="A1687" s="4" t="s">
        <v>6219</v>
      </c>
      <c r="B1687" s="13" t="s">
        <v>43</v>
      </c>
      <c r="D1687" s="3"/>
      <c r="E1687" s="3"/>
      <c r="F1687" s="3"/>
      <c r="G1687" s="3"/>
      <c r="H1687" s="3"/>
      <c r="I1687" s="3"/>
    </row>
    <row r="1688">
      <c r="A1688" s="4" t="s">
        <v>6220</v>
      </c>
      <c r="B1688" s="13" t="s">
        <v>43</v>
      </c>
      <c r="D1688" s="3"/>
      <c r="E1688" s="3"/>
      <c r="F1688" s="3"/>
      <c r="G1688" s="3"/>
      <c r="H1688" s="3"/>
      <c r="I1688" s="3"/>
    </row>
    <row r="1689">
      <c r="A1689" s="4" t="s">
        <v>6221</v>
      </c>
      <c r="B1689" s="13" t="s">
        <v>43</v>
      </c>
      <c r="D1689" s="3"/>
      <c r="E1689" s="3"/>
      <c r="F1689" s="3"/>
      <c r="G1689" s="3"/>
      <c r="H1689" s="3"/>
      <c r="I1689" s="3"/>
    </row>
    <row r="1690">
      <c r="A1690" s="4" t="s">
        <v>6222</v>
      </c>
      <c r="B1690" s="13" t="s">
        <v>43</v>
      </c>
      <c r="D1690" s="3"/>
      <c r="E1690" s="3"/>
      <c r="F1690" s="3"/>
      <c r="G1690" s="3"/>
      <c r="H1690" s="3"/>
      <c r="I1690" s="3"/>
    </row>
    <row r="1691">
      <c r="A1691" s="4" t="s">
        <v>6223</v>
      </c>
      <c r="B1691" s="13" t="s">
        <v>43</v>
      </c>
      <c r="D1691" s="3"/>
      <c r="E1691" s="3"/>
      <c r="F1691" s="3"/>
      <c r="G1691" s="3"/>
      <c r="H1691" s="3"/>
      <c r="I1691" s="3"/>
    </row>
    <row r="1692">
      <c r="A1692" s="4" t="s">
        <v>6224</v>
      </c>
      <c r="B1692" s="13" t="s">
        <v>43</v>
      </c>
      <c r="D1692" s="3"/>
      <c r="E1692" s="3"/>
      <c r="F1692" s="3"/>
      <c r="G1692" s="3"/>
      <c r="H1692" s="3"/>
      <c r="I1692" s="3"/>
    </row>
    <row r="1693">
      <c r="A1693" s="4" t="s">
        <v>6225</v>
      </c>
      <c r="B1693" s="13" t="s">
        <v>43</v>
      </c>
      <c r="D1693" s="3"/>
      <c r="E1693" s="3"/>
      <c r="F1693" s="3"/>
      <c r="G1693" s="3"/>
      <c r="H1693" s="3"/>
      <c r="I1693" s="3"/>
    </row>
    <row r="1694">
      <c r="A1694" s="4" t="s">
        <v>6226</v>
      </c>
      <c r="B1694" s="13" t="s">
        <v>43</v>
      </c>
      <c r="D1694" s="3"/>
      <c r="E1694" s="3"/>
      <c r="F1694" s="3"/>
      <c r="G1694" s="3"/>
      <c r="H1694" s="3"/>
      <c r="I1694" s="3"/>
    </row>
    <row r="1695">
      <c r="A1695" s="4" t="s">
        <v>6227</v>
      </c>
      <c r="B1695" s="13" t="s">
        <v>43</v>
      </c>
      <c r="D1695" s="3"/>
      <c r="E1695" s="3"/>
      <c r="F1695" s="3"/>
      <c r="G1695" s="3"/>
      <c r="H1695" s="3"/>
      <c r="I1695" s="3"/>
    </row>
    <row r="1696">
      <c r="A1696" s="4" t="s">
        <v>6228</v>
      </c>
      <c r="B1696" s="13" t="s">
        <v>43</v>
      </c>
      <c r="D1696" s="3"/>
      <c r="E1696" s="3"/>
      <c r="F1696" s="3"/>
      <c r="G1696" s="3"/>
      <c r="H1696" s="3"/>
      <c r="I1696" s="3"/>
    </row>
    <row r="1697">
      <c r="A1697" s="4" t="s">
        <v>6229</v>
      </c>
      <c r="B1697" s="13" t="s">
        <v>43</v>
      </c>
      <c r="D1697" s="3"/>
      <c r="E1697" s="3"/>
      <c r="F1697" s="3"/>
      <c r="G1697" s="3"/>
      <c r="H1697" s="3"/>
      <c r="I1697" s="3"/>
    </row>
    <row r="1698">
      <c r="A1698" s="4" t="s">
        <v>6230</v>
      </c>
      <c r="B1698" s="13" t="s">
        <v>43</v>
      </c>
      <c r="D1698" s="3"/>
      <c r="E1698" s="3"/>
      <c r="F1698" s="3"/>
      <c r="G1698" s="3"/>
      <c r="H1698" s="3"/>
      <c r="I1698" s="3"/>
    </row>
    <row r="1699">
      <c r="A1699" s="4" t="s">
        <v>6231</v>
      </c>
      <c r="B1699" s="13" t="s">
        <v>43</v>
      </c>
      <c r="D1699" s="3"/>
      <c r="E1699" s="3"/>
      <c r="F1699" s="3"/>
      <c r="G1699" s="3"/>
      <c r="H1699" s="3"/>
      <c r="I1699" s="3"/>
    </row>
    <row r="1700">
      <c r="A1700" s="4" t="s">
        <v>6232</v>
      </c>
      <c r="B1700" s="13" t="s">
        <v>43</v>
      </c>
      <c r="D1700" s="3"/>
      <c r="E1700" s="3"/>
      <c r="F1700" s="3"/>
      <c r="G1700" s="3"/>
      <c r="H1700" s="3"/>
      <c r="I1700" s="3"/>
    </row>
    <row r="1701">
      <c r="A1701" s="4" t="s">
        <v>6233</v>
      </c>
      <c r="B1701" s="13" t="s">
        <v>43</v>
      </c>
      <c r="D1701" s="3"/>
      <c r="E1701" s="3"/>
      <c r="F1701" s="3"/>
      <c r="G1701" s="3"/>
      <c r="H1701" s="3"/>
      <c r="I1701" s="3"/>
    </row>
    <row r="1702">
      <c r="A1702" s="4" t="s">
        <v>6234</v>
      </c>
      <c r="B1702" s="13" t="s">
        <v>43</v>
      </c>
      <c r="D1702" s="3"/>
      <c r="E1702" s="3"/>
      <c r="F1702" s="3"/>
      <c r="G1702" s="3"/>
      <c r="H1702" s="3"/>
      <c r="I1702" s="3"/>
    </row>
    <row r="1703">
      <c r="A1703" s="4" t="s">
        <v>6235</v>
      </c>
      <c r="B1703" s="13" t="s">
        <v>43</v>
      </c>
      <c r="D1703" s="3"/>
      <c r="E1703" s="3"/>
      <c r="F1703" s="3"/>
      <c r="G1703" s="3"/>
      <c r="H1703" s="3"/>
      <c r="I1703" s="3"/>
    </row>
    <row r="1704">
      <c r="A1704" s="4" t="s">
        <v>6236</v>
      </c>
      <c r="B1704" s="13" t="s">
        <v>48</v>
      </c>
      <c r="C1704" s="4">
        <v>1.0</v>
      </c>
      <c r="D1704" s="3"/>
      <c r="E1704" s="3"/>
      <c r="F1704" s="3"/>
      <c r="G1704" s="4">
        <v>10.0</v>
      </c>
      <c r="H1704" s="3"/>
      <c r="I1704" s="3"/>
    </row>
    <row r="1705">
      <c r="A1705" s="4" t="s">
        <v>6237</v>
      </c>
      <c r="B1705" s="13" t="s">
        <v>48</v>
      </c>
      <c r="C1705" s="4">
        <v>1.0</v>
      </c>
      <c r="D1705" s="3"/>
      <c r="E1705" s="3"/>
      <c r="F1705" s="3"/>
      <c r="G1705" s="4">
        <v>10.0</v>
      </c>
      <c r="H1705" s="3"/>
      <c r="I1705" s="3"/>
    </row>
    <row r="1706">
      <c r="A1706" s="4" t="s">
        <v>6238</v>
      </c>
      <c r="B1706" s="13" t="s">
        <v>48</v>
      </c>
      <c r="C1706" s="4">
        <v>1.0</v>
      </c>
      <c r="D1706" s="3"/>
      <c r="E1706" s="3"/>
      <c r="F1706" s="3"/>
      <c r="G1706" s="4">
        <v>10.0</v>
      </c>
      <c r="H1706" s="3"/>
      <c r="I1706" s="3"/>
    </row>
    <row r="1707">
      <c r="A1707" s="4" t="s">
        <v>6239</v>
      </c>
      <c r="B1707" s="13" t="s">
        <v>48</v>
      </c>
      <c r="C1707" s="4">
        <v>1.0</v>
      </c>
      <c r="D1707" s="3"/>
      <c r="E1707" s="3"/>
      <c r="F1707" s="3"/>
      <c r="G1707" s="4">
        <v>10.0</v>
      </c>
      <c r="H1707" s="3"/>
      <c r="I1707" s="3"/>
    </row>
    <row r="1708">
      <c r="A1708" s="4" t="s">
        <v>6240</v>
      </c>
      <c r="B1708" s="13" t="s">
        <v>48</v>
      </c>
      <c r="C1708" s="4">
        <v>1.0</v>
      </c>
      <c r="D1708" s="3"/>
      <c r="E1708" s="3"/>
      <c r="F1708" s="3"/>
      <c r="G1708" s="4">
        <v>10.0</v>
      </c>
      <c r="H1708" s="3"/>
      <c r="I1708" s="3"/>
    </row>
    <row r="1709">
      <c r="A1709" s="4" t="s">
        <v>6241</v>
      </c>
      <c r="B1709" s="13" t="s">
        <v>48</v>
      </c>
      <c r="C1709" s="4">
        <v>1.0</v>
      </c>
      <c r="D1709" s="3"/>
      <c r="E1709" s="3"/>
      <c r="F1709" s="3"/>
      <c r="G1709" s="4">
        <v>10.0</v>
      </c>
      <c r="H1709" s="3"/>
      <c r="I1709" s="3"/>
    </row>
    <row r="1710">
      <c r="A1710" s="4" t="s">
        <v>6242</v>
      </c>
      <c r="B1710" s="13" t="s">
        <v>48</v>
      </c>
      <c r="C1710" s="4">
        <v>1.0</v>
      </c>
      <c r="D1710" s="3"/>
      <c r="E1710" s="3"/>
      <c r="F1710" s="3"/>
      <c r="G1710" s="4">
        <v>10.0</v>
      </c>
      <c r="H1710" s="3"/>
      <c r="I1710" s="3"/>
    </row>
    <row r="1711">
      <c r="A1711" s="4" t="s">
        <v>6243</v>
      </c>
      <c r="B1711" s="13" t="s">
        <v>43</v>
      </c>
      <c r="D1711" s="3"/>
      <c r="E1711" s="3"/>
      <c r="F1711" s="3"/>
      <c r="G1711" s="3"/>
      <c r="H1711" s="3"/>
      <c r="I1711" s="3"/>
    </row>
    <row r="1712">
      <c r="A1712" s="4" t="s">
        <v>6244</v>
      </c>
      <c r="B1712" s="13" t="s">
        <v>43</v>
      </c>
      <c r="D1712" s="3"/>
      <c r="E1712" s="3"/>
      <c r="F1712" s="3"/>
      <c r="G1712" s="3"/>
      <c r="H1712" s="3"/>
      <c r="I1712" s="3"/>
    </row>
    <row r="1713">
      <c r="A1713" s="4" t="s">
        <v>6245</v>
      </c>
      <c r="B1713" s="13" t="s">
        <v>43</v>
      </c>
      <c r="D1713" s="3"/>
      <c r="E1713" s="3"/>
      <c r="F1713" s="3"/>
      <c r="G1713" s="3"/>
      <c r="H1713" s="3"/>
      <c r="I1713" s="3"/>
    </row>
    <row r="1714">
      <c r="A1714" s="4" t="s">
        <v>6246</v>
      </c>
      <c r="B1714" s="13" t="s">
        <v>43</v>
      </c>
      <c r="D1714" s="3"/>
      <c r="E1714" s="3"/>
      <c r="F1714" s="3"/>
      <c r="G1714" s="3"/>
      <c r="H1714" s="3"/>
      <c r="I1714" s="3"/>
    </row>
    <row r="1715">
      <c r="A1715" s="4" t="s">
        <v>6247</v>
      </c>
      <c r="B1715" s="13" t="s">
        <v>43</v>
      </c>
      <c r="D1715" s="3"/>
      <c r="E1715" s="3"/>
      <c r="F1715" s="3"/>
      <c r="G1715" s="3"/>
      <c r="H1715" s="3"/>
      <c r="I1715" s="3"/>
    </row>
    <row r="1716">
      <c r="A1716" s="4" t="s">
        <v>6248</v>
      </c>
      <c r="B1716" s="13" t="s">
        <v>43</v>
      </c>
      <c r="D1716" s="3"/>
      <c r="E1716" s="3"/>
      <c r="F1716" s="3"/>
      <c r="G1716" s="3"/>
      <c r="H1716" s="3"/>
      <c r="I1716" s="3"/>
    </row>
    <row r="1717">
      <c r="A1717" s="4" t="s">
        <v>6249</v>
      </c>
      <c r="B1717" s="13" t="s">
        <v>43</v>
      </c>
      <c r="D1717" s="3"/>
      <c r="E1717" s="3"/>
      <c r="F1717" s="3"/>
      <c r="G1717" s="3"/>
      <c r="H1717" s="3"/>
      <c r="I1717" s="3"/>
    </row>
    <row r="1718">
      <c r="A1718" s="4" t="s">
        <v>6250</v>
      </c>
      <c r="B1718" s="13" t="s">
        <v>48</v>
      </c>
      <c r="C1718" s="4">
        <v>1.0</v>
      </c>
      <c r="D1718" s="3"/>
      <c r="E1718" s="3"/>
      <c r="F1718" s="3"/>
      <c r="G1718" s="4">
        <v>10.0</v>
      </c>
      <c r="H1718" s="3"/>
      <c r="I1718" s="3"/>
    </row>
    <row r="1719">
      <c r="A1719" s="4" t="s">
        <v>6251</v>
      </c>
      <c r="B1719" s="13" t="s">
        <v>48</v>
      </c>
      <c r="C1719" s="4">
        <v>1.0</v>
      </c>
      <c r="D1719" s="3"/>
      <c r="E1719" s="3"/>
      <c r="F1719" s="3"/>
      <c r="G1719" s="4">
        <v>10.0</v>
      </c>
      <c r="H1719" s="3"/>
      <c r="I1719" s="3"/>
    </row>
    <row r="1720">
      <c r="A1720" s="4" t="s">
        <v>6252</v>
      </c>
      <c r="B1720" s="13" t="s">
        <v>48</v>
      </c>
      <c r="C1720" s="4">
        <v>1.0</v>
      </c>
      <c r="D1720" s="3"/>
      <c r="E1720" s="3"/>
      <c r="F1720" s="3"/>
      <c r="G1720" s="4">
        <v>10.0</v>
      </c>
      <c r="H1720" s="3"/>
      <c r="I1720" s="3"/>
    </row>
    <row r="1721">
      <c r="A1721" s="4" t="s">
        <v>6253</v>
      </c>
      <c r="B1721" s="13" t="s">
        <v>48</v>
      </c>
      <c r="C1721" s="4">
        <v>1.0</v>
      </c>
      <c r="D1721" s="3"/>
      <c r="E1721" s="3"/>
      <c r="F1721" s="3"/>
      <c r="G1721" s="4">
        <v>10.0</v>
      </c>
      <c r="H1721" s="3"/>
      <c r="I1721" s="3"/>
    </row>
    <row r="1722">
      <c r="A1722" s="4" t="s">
        <v>6254</v>
      </c>
      <c r="B1722" s="13" t="s">
        <v>48</v>
      </c>
      <c r="C1722" s="4">
        <v>1.0</v>
      </c>
      <c r="D1722" s="3"/>
      <c r="E1722" s="3"/>
      <c r="F1722" s="3"/>
      <c r="G1722" s="4">
        <v>10.0</v>
      </c>
      <c r="H1722" s="3"/>
      <c r="I1722" s="3"/>
    </row>
    <row r="1723">
      <c r="A1723" s="4" t="s">
        <v>6255</v>
      </c>
      <c r="B1723" s="13" t="s">
        <v>48</v>
      </c>
      <c r="C1723" s="4">
        <v>1.0</v>
      </c>
      <c r="D1723" s="3"/>
      <c r="E1723" s="3"/>
      <c r="F1723" s="3"/>
      <c r="G1723" s="4">
        <v>10.0</v>
      </c>
      <c r="H1723" s="3"/>
      <c r="I1723" s="3"/>
    </row>
    <row r="1724">
      <c r="A1724" s="4" t="s">
        <v>6256</v>
      </c>
      <c r="B1724" s="13" t="s">
        <v>48</v>
      </c>
      <c r="C1724" s="4">
        <v>1.0</v>
      </c>
      <c r="D1724" s="3"/>
      <c r="E1724" s="3"/>
      <c r="F1724" s="3"/>
      <c r="G1724" s="4">
        <v>10.0</v>
      </c>
      <c r="H1724" s="3"/>
      <c r="I1724" s="3"/>
    </row>
    <row r="1725">
      <c r="A1725" s="4" t="s">
        <v>6257</v>
      </c>
      <c r="B1725" s="13" t="s">
        <v>48</v>
      </c>
      <c r="C1725" s="4">
        <v>1.0</v>
      </c>
      <c r="D1725" s="3"/>
      <c r="E1725" s="3"/>
      <c r="F1725" s="3"/>
      <c r="G1725" s="4">
        <v>10.0</v>
      </c>
      <c r="H1725" s="3"/>
      <c r="I1725" s="3"/>
    </row>
    <row r="1726">
      <c r="A1726" s="4" t="s">
        <v>6258</v>
      </c>
      <c r="B1726" s="13" t="s">
        <v>48</v>
      </c>
      <c r="C1726" s="4">
        <v>1.0</v>
      </c>
      <c r="D1726" s="3"/>
      <c r="E1726" s="3"/>
      <c r="F1726" s="3"/>
      <c r="G1726" s="4">
        <v>10.0</v>
      </c>
      <c r="H1726" s="3"/>
      <c r="I1726" s="3"/>
    </row>
    <row r="1727">
      <c r="A1727" s="4" t="s">
        <v>6259</v>
      </c>
      <c r="B1727" s="13" t="s">
        <v>48</v>
      </c>
      <c r="C1727" s="4">
        <v>1.0</v>
      </c>
      <c r="D1727" s="3"/>
      <c r="E1727" s="3"/>
      <c r="F1727" s="3"/>
      <c r="G1727" s="4">
        <v>10.0</v>
      </c>
      <c r="H1727" s="3"/>
      <c r="I1727" s="3"/>
    </row>
    <row r="1728">
      <c r="A1728" s="4" t="s">
        <v>6260</v>
      </c>
      <c r="B1728" s="13" t="s">
        <v>48</v>
      </c>
      <c r="C1728" s="4">
        <v>1.0</v>
      </c>
      <c r="D1728" s="3"/>
      <c r="E1728" s="3"/>
      <c r="F1728" s="3"/>
      <c r="G1728" s="4">
        <v>10.0</v>
      </c>
      <c r="H1728" s="3"/>
      <c r="I1728" s="3"/>
    </row>
    <row r="1729">
      <c r="A1729" s="4" t="s">
        <v>6261</v>
      </c>
      <c r="B1729" s="13" t="s">
        <v>48</v>
      </c>
      <c r="C1729" s="4">
        <v>1.0</v>
      </c>
      <c r="D1729" s="3"/>
      <c r="E1729" s="3"/>
      <c r="F1729" s="3"/>
      <c r="G1729" s="4">
        <v>10.0</v>
      </c>
      <c r="H1729" s="3"/>
      <c r="I1729" s="3"/>
    </row>
    <row r="1730">
      <c r="A1730" s="4" t="s">
        <v>6262</v>
      </c>
      <c r="B1730" s="13" t="s">
        <v>48</v>
      </c>
      <c r="C1730" s="4">
        <v>1.0</v>
      </c>
      <c r="D1730" s="3"/>
      <c r="E1730" s="3"/>
      <c r="F1730" s="3"/>
      <c r="G1730" s="4">
        <v>10.0</v>
      </c>
      <c r="H1730" s="3"/>
      <c r="I1730" s="3"/>
    </row>
    <row r="1731">
      <c r="A1731" s="4" t="s">
        <v>6263</v>
      </c>
      <c r="B1731" s="13" t="s">
        <v>43</v>
      </c>
      <c r="D1731" s="3"/>
      <c r="E1731" s="3"/>
      <c r="F1731" s="3"/>
      <c r="G1731" s="3"/>
      <c r="H1731" s="3"/>
      <c r="I1731" s="3"/>
    </row>
    <row r="1732">
      <c r="A1732" s="4" t="s">
        <v>6264</v>
      </c>
      <c r="B1732" s="13" t="s">
        <v>43</v>
      </c>
      <c r="D1732" s="3"/>
      <c r="E1732" s="3"/>
      <c r="F1732" s="3"/>
      <c r="G1732" s="3"/>
      <c r="H1732" s="3"/>
      <c r="I1732" s="3"/>
    </row>
    <row r="1733">
      <c r="A1733" s="4" t="s">
        <v>6265</v>
      </c>
      <c r="B1733" s="13" t="s">
        <v>43</v>
      </c>
      <c r="D1733" s="3"/>
      <c r="E1733" s="3"/>
      <c r="F1733" s="3"/>
      <c r="G1733" s="3"/>
      <c r="H1733" s="3"/>
      <c r="I1733" s="3"/>
    </row>
    <row r="1734">
      <c r="A1734" s="4" t="s">
        <v>6266</v>
      </c>
      <c r="B1734" s="13" t="s">
        <v>43</v>
      </c>
      <c r="D1734" s="3"/>
      <c r="E1734" s="3"/>
      <c r="F1734" s="3"/>
      <c r="G1734" s="3"/>
      <c r="H1734" s="3"/>
      <c r="I1734" s="3"/>
    </row>
    <row r="1735">
      <c r="A1735" s="4" t="s">
        <v>6267</v>
      </c>
      <c r="B1735" s="13" t="s">
        <v>43</v>
      </c>
      <c r="D1735" s="3"/>
      <c r="E1735" s="3"/>
      <c r="F1735" s="3"/>
      <c r="G1735" s="3"/>
      <c r="H1735" s="3"/>
      <c r="I1735" s="3"/>
    </row>
    <row r="1736">
      <c r="A1736" s="4" t="s">
        <v>6268</v>
      </c>
      <c r="B1736" s="13" t="s">
        <v>43</v>
      </c>
      <c r="D1736" s="3"/>
      <c r="E1736" s="3"/>
      <c r="F1736" s="3"/>
      <c r="G1736" s="3"/>
      <c r="H1736" s="3"/>
      <c r="I1736" s="3"/>
    </row>
    <row r="1737">
      <c r="A1737" s="4" t="s">
        <v>6269</v>
      </c>
      <c r="B1737" s="13" t="s">
        <v>43</v>
      </c>
      <c r="D1737" s="3"/>
      <c r="E1737" s="3"/>
      <c r="F1737" s="3"/>
      <c r="G1737" s="3"/>
      <c r="H1737" s="3"/>
      <c r="I1737" s="3"/>
    </row>
    <row r="1738">
      <c r="A1738" s="4" t="s">
        <v>6270</v>
      </c>
      <c r="B1738" s="13" t="s">
        <v>43</v>
      </c>
      <c r="D1738" s="3"/>
      <c r="E1738" s="3"/>
      <c r="F1738" s="3"/>
      <c r="G1738" s="3"/>
      <c r="H1738" s="3"/>
      <c r="I1738" s="3"/>
    </row>
    <row r="1739">
      <c r="A1739" s="4" t="s">
        <v>6271</v>
      </c>
      <c r="B1739" s="13" t="s">
        <v>48</v>
      </c>
      <c r="C1739" s="4">
        <v>1.0</v>
      </c>
      <c r="D1739" s="3"/>
      <c r="E1739" s="3"/>
      <c r="F1739" s="3"/>
      <c r="G1739" s="4">
        <v>10.0</v>
      </c>
      <c r="H1739" s="3"/>
      <c r="I1739" s="3"/>
    </row>
    <row r="1740">
      <c r="A1740" s="4" t="s">
        <v>6272</v>
      </c>
      <c r="B1740" s="13" t="s">
        <v>48</v>
      </c>
      <c r="C1740" s="4">
        <v>1.0</v>
      </c>
      <c r="D1740" s="3"/>
      <c r="E1740" s="3"/>
      <c r="F1740" s="3"/>
      <c r="G1740" s="4">
        <v>10.0</v>
      </c>
      <c r="H1740" s="3"/>
      <c r="I1740" s="3"/>
    </row>
    <row r="1741">
      <c r="A1741" s="4" t="s">
        <v>6273</v>
      </c>
      <c r="B1741" s="13" t="s">
        <v>48</v>
      </c>
      <c r="C1741" s="4">
        <v>1.0</v>
      </c>
      <c r="D1741" s="3"/>
      <c r="E1741" s="3"/>
      <c r="F1741" s="3"/>
      <c r="G1741" s="4">
        <v>10.0</v>
      </c>
      <c r="H1741" s="3"/>
      <c r="I1741" s="3"/>
    </row>
    <row r="1742">
      <c r="A1742" s="4" t="s">
        <v>6274</v>
      </c>
      <c r="B1742" s="13" t="s">
        <v>48</v>
      </c>
      <c r="C1742" s="4">
        <v>1.0</v>
      </c>
      <c r="D1742" s="3"/>
      <c r="E1742" s="3"/>
      <c r="F1742" s="3"/>
      <c r="G1742" s="4">
        <v>10.0</v>
      </c>
      <c r="H1742" s="3"/>
      <c r="I1742" s="3"/>
    </row>
    <row r="1743">
      <c r="A1743" s="4" t="s">
        <v>6275</v>
      </c>
      <c r="B1743" s="13" t="s">
        <v>48</v>
      </c>
      <c r="C1743" s="4">
        <v>1.0</v>
      </c>
      <c r="D1743" s="3"/>
      <c r="E1743" s="3"/>
      <c r="F1743" s="3"/>
      <c r="G1743" s="4">
        <v>10.0</v>
      </c>
      <c r="H1743" s="3"/>
      <c r="I1743" s="3"/>
    </row>
    <row r="1744">
      <c r="A1744" s="4" t="s">
        <v>6276</v>
      </c>
      <c r="B1744" s="13" t="s">
        <v>48</v>
      </c>
      <c r="C1744" s="4">
        <v>1.0</v>
      </c>
      <c r="D1744" s="3"/>
      <c r="E1744" s="3"/>
      <c r="F1744" s="3"/>
      <c r="G1744" s="4">
        <v>10.0</v>
      </c>
      <c r="H1744" s="3"/>
      <c r="I1744" s="3"/>
    </row>
    <row r="1745">
      <c r="A1745" s="4" t="s">
        <v>6277</v>
      </c>
      <c r="B1745" s="13" t="s">
        <v>48</v>
      </c>
      <c r="C1745" s="4">
        <v>1.0</v>
      </c>
      <c r="D1745" s="3"/>
      <c r="E1745" s="3"/>
      <c r="F1745" s="3"/>
      <c r="G1745" s="4">
        <v>10.0</v>
      </c>
      <c r="H1745" s="3"/>
      <c r="I1745" s="3"/>
    </row>
    <row r="1746">
      <c r="A1746" s="4" t="s">
        <v>6278</v>
      </c>
      <c r="B1746" s="13" t="s">
        <v>48</v>
      </c>
      <c r="C1746" s="4">
        <v>1.0</v>
      </c>
      <c r="D1746" s="3"/>
      <c r="E1746" s="3"/>
      <c r="F1746" s="3"/>
      <c r="G1746" s="4">
        <v>10.0</v>
      </c>
      <c r="H1746" s="3"/>
      <c r="I1746" s="3"/>
    </row>
    <row r="1747">
      <c r="A1747" s="4" t="s">
        <v>6279</v>
      </c>
      <c r="B1747" s="13" t="s">
        <v>48</v>
      </c>
      <c r="C1747" s="4">
        <v>1.0</v>
      </c>
      <c r="D1747" s="3"/>
      <c r="E1747" s="3"/>
      <c r="F1747" s="3"/>
      <c r="G1747" s="4">
        <v>10.0</v>
      </c>
      <c r="H1747" s="3"/>
      <c r="I1747" s="3"/>
    </row>
    <row r="1748">
      <c r="A1748" s="4" t="s">
        <v>6280</v>
      </c>
      <c r="B1748" s="13" t="s">
        <v>48</v>
      </c>
      <c r="C1748" s="4">
        <v>1.0</v>
      </c>
      <c r="D1748" s="3"/>
      <c r="E1748" s="3"/>
      <c r="F1748" s="3"/>
      <c r="G1748" s="4">
        <v>10.0</v>
      </c>
      <c r="H1748" s="3"/>
      <c r="I1748" s="3"/>
    </row>
    <row r="1749">
      <c r="A1749" s="4" t="s">
        <v>6281</v>
      </c>
      <c r="B1749" s="13" t="s">
        <v>48</v>
      </c>
      <c r="C1749" s="4">
        <v>1.0</v>
      </c>
      <c r="D1749" s="3"/>
      <c r="E1749" s="3"/>
      <c r="F1749" s="3"/>
      <c r="G1749" s="4">
        <v>10.0</v>
      </c>
      <c r="H1749" s="3"/>
      <c r="I1749" s="3"/>
    </row>
    <row r="1750">
      <c r="A1750" s="4" t="s">
        <v>6282</v>
      </c>
      <c r="B1750" s="13" t="s">
        <v>48</v>
      </c>
      <c r="C1750" s="4">
        <v>1.0</v>
      </c>
      <c r="D1750" s="3"/>
      <c r="E1750" s="3"/>
      <c r="F1750" s="3"/>
      <c r="G1750" s="4">
        <v>10.0</v>
      </c>
      <c r="H1750" s="3"/>
      <c r="I1750" s="3"/>
    </row>
    <row r="1751">
      <c r="A1751" s="4" t="s">
        <v>6283</v>
      </c>
      <c r="B1751" s="13" t="s">
        <v>48</v>
      </c>
      <c r="C1751" s="4">
        <v>1.0</v>
      </c>
      <c r="D1751" s="3"/>
      <c r="E1751" s="3"/>
      <c r="F1751" s="3"/>
      <c r="G1751" s="4">
        <v>10.0</v>
      </c>
      <c r="H1751" s="3"/>
      <c r="I1751" s="3"/>
    </row>
    <row r="1752">
      <c r="A1752" s="4" t="s">
        <v>6284</v>
      </c>
      <c r="B1752" s="13" t="s">
        <v>48</v>
      </c>
      <c r="C1752" s="4">
        <v>1.0</v>
      </c>
      <c r="D1752" s="3"/>
      <c r="E1752" s="3"/>
      <c r="F1752" s="3"/>
      <c r="G1752" s="4">
        <v>10.0</v>
      </c>
      <c r="H1752" s="3"/>
      <c r="I1752" s="3"/>
    </row>
    <row r="1753">
      <c r="A1753" s="4" t="s">
        <v>6285</v>
      </c>
      <c r="B1753" s="13" t="s">
        <v>48</v>
      </c>
      <c r="C1753" s="4">
        <v>1.0</v>
      </c>
      <c r="D1753" s="3"/>
      <c r="E1753" s="3"/>
      <c r="F1753" s="3"/>
      <c r="G1753" s="4">
        <v>10.0</v>
      </c>
      <c r="H1753" s="3"/>
      <c r="I1753" s="3"/>
    </row>
    <row r="1754">
      <c r="A1754" s="4" t="s">
        <v>6286</v>
      </c>
      <c r="B1754" s="13" t="s">
        <v>48</v>
      </c>
      <c r="C1754" s="4">
        <v>1.0</v>
      </c>
      <c r="D1754" s="3"/>
      <c r="E1754" s="3"/>
      <c r="F1754" s="3"/>
      <c r="G1754" s="4">
        <v>10.0</v>
      </c>
      <c r="H1754" s="3"/>
      <c r="I1754" s="3"/>
    </row>
    <row r="1755">
      <c r="A1755" s="4" t="s">
        <v>6287</v>
      </c>
      <c r="B1755" s="13" t="s">
        <v>43</v>
      </c>
      <c r="D1755" s="3"/>
      <c r="E1755" s="3"/>
      <c r="F1755" s="3"/>
      <c r="G1755" s="3"/>
      <c r="H1755" s="3"/>
      <c r="I1755" s="3"/>
    </row>
    <row r="1756">
      <c r="A1756" s="4" t="s">
        <v>6288</v>
      </c>
      <c r="B1756" s="13" t="s">
        <v>43</v>
      </c>
      <c r="D1756" s="3"/>
      <c r="E1756" s="3"/>
      <c r="F1756" s="3"/>
      <c r="G1756" s="3"/>
      <c r="H1756" s="3"/>
      <c r="I1756" s="3"/>
    </row>
    <row r="1757">
      <c r="A1757" s="4" t="s">
        <v>6289</v>
      </c>
      <c r="B1757" s="13" t="s">
        <v>43</v>
      </c>
      <c r="D1757" s="3"/>
      <c r="E1757" s="3"/>
      <c r="F1757" s="3"/>
      <c r="G1757" s="3"/>
      <c r="H1757" s="3"/>
      <c r="I1757" s="3"/>
    </row>
    <row r="1758">
      <c r="A1758" s="4" t="s">
        <v>6290</v>
      </c>
      <c r="B1758" s="13" t="s">
        <v>43</v>
      </c>
      <c r="D1758" s="3"/>
      <c r="E1758" s="3"/>
      <c r="F1758" s="3"/>
      <c r="G1758" s="3"/>
      <c r="H1758" s="3"/>
      <c r="I1758" s="3"/>
    </row>
    <row r="1759">
      <c r="A1759" s="4" t="s">
        <v>6291</v>
      </c>
      <c r="B1759" s="13" t="s">
        <v>43</v>
      </c>
      <c r="D1759" s="3"/>
      <c r="E1759" s="3"/>
      <c r="F1759" s="3"/>
      <c r="G1759" s="3"/>
      <c r="H1759" s="3"/>
      <c r="I1759" s="3"/>
    </row>
    <row r="1760">
      <c r="A1760" s="4" t="s">
        <v>6292</v>
      </c>
      <c r="B1760" s="13" t="s">
        <v>43</v>
      </c>
      <c r="D1760" s="3"/>
      <c r="E1760" s="3"/>
      <c r="F1760" s="3"/>
      <c r="G1760" s="3"/>
      <c r="H1760" s="3"/>
      <c r="I1760" s="3"/>
    </row>
    <row r="1761">
      <c r="A1761" s="4" t="s">
        <v>6293</v>
      </c>
      <c r="B1761" s="13" t="s">
        <v>43</v>
      </c>
      <c r="D1761" s="3"/>
      <c r="E1761" s="3"/>
      <c r="F1761" s="3"/>
      <c r="G1761" s="3"/>
      <c r="H1761" s="3"/>
      <c r="I1761" s="3"/>
    </row>
    <row r="1762">
      <c r="A1762" s="4" t="s">
        <v>6294</v>
      </c>
      <c r="B1762" s="13" t="s">
        <v>43</v>
      </c>
      <c r="D1762" s="3"/>
      <c r="E1762" s="3"/>
      <c r="F1762" s="3"/>
      <c r="G1762" s="3"/>
      <c r="H1762" s="3"/>
      <c r="I1762" s="3"/>
    </row>
    <row r="1763">
      <c r="A1763" s="4" t="s">
        <v>6295</v>
      </c>
      <c r="B1763" s="13" t="s">
        <v>43</v>
      </c>
      <c r="D1763" s="3"/>
      <c r="E1763" s="3"/>
      <c r="F1763" s="3"/>
      <c r="G1763" s="3"/>
      <c r="H1763" s="3"/>
      <c r="I1763" s="3"/>
    </row>
    <row r="1764">
      <c r="A1764" s="4" t="s">
        <v>6296</v>
      </c>
      <c r="B1764" s="13" t="s">
        <v>43</v>
      </c>
      <c r="D1764" s="3"/>
      <c r="E1764" s="3"/>
      <c r="F1764" s="3"/>
      <c r="G1764" s="3"/>
      <c r="H1764" s="3"/>
      <c r="I1764" s="3"/>
    </row>
    <row r="1765">
      <c r="A1765" s="4" t="s">
        <v>6297</v>
      </c>
      <c r="B1765" s="13" t="s">
        <v>43</v>
      </c>
      <c r="D1765" s="3"/>
      <c r="E1765" s="3"/>
      <c r="F1765" s="3"/>
      <c r="G1765" s="3"/>
      <c r="H1765" s="3"/>
      <c r="I1765" s="3"/>
    </row>
    <row r="1766">
      <c r="A1766" s="4" t="s">
        <v>6298</v>
      </c>
      <c r="B1766" s="13" t="s">
        <v>43</v>
      </c>
      <c r="D1766" s="3"/>
      <c r="E1766" s="3"/>
      <c r="F1766" s="3"/>
      <c r="G1766" s="3"/>
      <c r="H1766" s="3"/>
      <c r="I1766" s="3"/>
    </row>
    <row r="1767">
      <c r="A1767" s="4" t="s">
        <v>6299</v>
      </c>
      <c r="B1767" s="13" t="s">
        <v>43</v>
      </c>
      <c r="D1767" s="3"/>
      <c r="E1767" s="3"/>
      <c r="F1767" s="3"/>
      <c r="G1767" s="3"/>
      <c r="H1767" s="3"/>
      <c r="I1767" s="3"/>
    </row>
    <row r="1768">
      <c r="A1768" s="4" t="s">
        <v>6300</v>
      </c>
      <c r="B1768" s="13" t="s">
        <v>43</v>
      </c>
      <c r="D1768" s="3"/>
      <c r="E1768" s="3"/>
      <c r="F1768" s="3"/>
      <c r="G1768" s="3"/>
      <c r="H1768" s="3"/>
      <c r="I1768" s="3"/>
    </row>
    <row r="1769">
      <c r="A1769" s="4" t="s">
        <v>6301</v>
      </c>
      <c r="B1769" s="13" t="s">
        <v>43</v>
      </c>
      <c r="D1769" s="3"/>
      <c r="E1769" s="3"/>
      <c r="F1769" s="3"/>
      <c r="G1769" s="3"/>
      <c r="H1769" s="3"/>
      <c r="I1769" s="3"/>
    </row>
    <row r="1770">
      <c r="A1770" s="4" t="s">
        <v>6302</v>
      </c>
      <c r="B1770" s="13" t="s">
        <v>43</v>
      </c>
      <c r="D1770" s="3"/>
      <c r="E1770" s="3"/>
      <c r="F1770" s="3"/>
      <c r="G1770" s="3"/>
      <c r="H1770" s="3"/>
      <c r="I1770" s="3"/>
    </row>
    <row r="1771">
      <c r="A1771" s="4" t="s">
        <v>6303</v>
      </c>
      <c r="B1771" s="13" t="s">
        <v>48</v>
      </c>
      <c r="C1771" s="4">
        <v>1.0</v>
      </c>
      <c r="D1771" s="3"/>
      <c r="E1771" s="3"/>
      <c r="F1771" s="3"/>
      <c r="G1771" s="3"/>
      <c r="H1771" s="3"/>
      <c r="I1771" s="4">
        <v>15.0</v>
      </c>
    </row>
    <row r="1772">
      <c r="A1772" s="4" t="s">
        <v>6304</v>
      </c>
      <c r="B1772" s="13" t="s">
        <v>48</v>
      </c>
      <c r="C1772" s="4">
        <v>1.0</v>
      </c>
      <c r="D1772" s="3"/>
      <c r="E1772" s="3"/>
      <c r="F1772" s="3"/>
      <c r="G1772" s="3"/>
      <c r="H1772" s="3"/>
      <c r="I1772" s="4">
        <v>15.0</v>
      </c>
      <c r="J1772" s="4" t="s">
        <v>1757</v>
      </c>
    </row>
    <row r="1773">
      <c r="A1773" s="4" t="s">
        <v>6305</v>
      </c>
      <c r="B1773" s="13" t="s">
        <v>48</v>
      </c>
      <c r="C1773" s="4">
        <v>3.0</v>
      </c>
      <c r="D1773" s="3"/>
      <c r="E1773" s="3"/>
      <c r="F1773" s="4">
        <v>9.0</v>
      </c>
      <c r="G1773" s="4">
        <v>10.0</v>
      </c>
      <c r="H1773" s="3"/>
      <c r="I1773" s="4">
        <v>15.0</v>
      </c>
      <c r="J1773" s="4" t="s">
        <v>1757</v>
      </c>
    </row>
    <row r="1774">
      <c r="A1774" s="4" t="s">
        <v>6306</v>
      </c>
      <c r="B1774" s="13" t="s">
        <v>48</v>
      </c>
      <c r="C1774" s="4">
        <v>3.0</v>
      </c>
      <c r="D1774" s="3"/>
      <c r="E1774" s="3"/>
      <c r="F1774" s="4">
        <v>9.0</v>
      </c>
      <c r="G1774" s="4">
        <v>10.0</v>
      </c>
      <c r="H1774" s="3"/>
      <c r="I1774" s="4">
        <v>15.0</v>
      </c>
      <c r="J1774" s="4" t="s">
        <v>1757</v>
      </c>
    </row>
    <row r="1775">
      <c r="A1775" s="4" t="s">
        <v>6307</v>
      </c>
      <c r="B1775" s="13" t="s">
        <v>48</v>
      </c>
      <c r="C1775" s="4">
        <v>3.0</v>
      </c>
      <c r="D1775" s="3"/>
      <c r="E1775" s="3"/>
      <c r="F1775" s="4">
        <v>9.0</v>
      </c>
      <c r="G1775" s="4">
        <v>10.0</v>
      </c>
      <c r="H1775" s="3"/>
      <c r="I1775" s="4">
        <v>15.0</v>
      </c>
      <c r="J1775" s="4" t="s">
        <v>1757</v>
      </c>
    </row>
    <row r="1776">
      <c r="A1776" s="4" t="s">
        <v>6308</v>
      </c>
      <c r="B1776" s="13" t="s">
        <v>48</v>
      </c>
      <c r="C1776" s="4">
        <v>3.0</v>
      </c>
      <c r="D1776" s="3"/>
      <c r="E1776" s="3"/>
      <c r="F1776" s="4">
        <v>9.0</v>
      </c>
      <c r="G1776" s="4">
        <v>10.0</v>
      </c>
      <c r="H1776" s="3"/>
      <c r="I1776" s="4">
        <v>15.0</v>
      </c>
      <c r="J1776" s="4" t="s">
        <v>1757</v>
      </c>
    </row>
    <row r="1777">
      <c r="A1777" s="4" t="s">
        <v>6309</v>
      </c>
      <c r="B1777" s="13" t="s">
        <v>48</v>
      </c>
      <c r="C1777" s="4">
        <v>3.0</v>
      </c>
      <c r="D1777" s="3"/>
      <c r="E1777" s="3"/>
      <c r="F1777" s="4">
        <v>9.0</v>
      </c>
      <c r="G1777" s="4">
        <v>10.0</v>
      </c>
      <c r="H1777" s="3"/>
      <c r="I1777" s="4">
        <v>15.0</v>
      </c>
      <c r="J1777" s="4" t="s">
        <v>1757</v>
      </c>
    </row>
    <row r="1778">
      <c r="A1778" s="4" t="s">
        <v>6310</v>
      </c>
      <c r="B1778" s="13" t="s">
        <v>48</v>
      </c>
      <c r="C1778" s="4">
        <v>3.0</v>
      </c>
      <c r="D1778" s="3"/>
      <c r="E1778" s="3"/>
      <c r="F1778" s="4">
        <v>9.0</v>
      </c>
      <c r="G1778" s="4">
        <v>10.0</v>
      </c>
      <c r="H1778" s="3"/>
      <c r="I1778" s="4">
        <v>15.0</v>
      </c>
      <c r="J1778" s="4" t="s">
        <v>1757</v>
      </c>
    </row>
    <row r="1779">
      <c r="A1779" s="4" t="s">
        <v>6311</v>
      </c>
      <c r="B1779" s="13" t="s">
        <v>48</v>
      </c>
      <c r="C1779" s="4">
        <v>3.0</v>
      </c>
      <c r="D1779" s="3"/>
      <c r="E1779" s="3"/>
      <c r="F1779" s="4">
        <v>9.0</v>
      </c>
      <c r="G1779" s="4">
        <v>10.0</v>
      </c>
      <c r="H1779" s="3"/>
      <c r="I1779" s="4">
        <v>15.0</v>
      </c>
      <c r="J1779" s="4" t="s">
        <v>1757</v>
      </c>
    </row>
    <row r="1780">
      <c r="A1780" s="4" t="s">
        <v>6312</v>
      </c>
      <c r="B1780" s="13" t="s">
        <v>48</v>
      </c>
      <c r="C1780" s="4">
        <v>3.0</v>
      </c>
      <c r="D1780" s="3"/>
      <c r="E1780" s="3"/>
      <c r="F1780" s="4">
        <v>9.0</v>
      </c>
      <c r="G1780" s="4">
        <v>10.0</v>
      </c>
      <c r="H1780" s="3"/>
      <c r="I1780" s="4">
        <v>15.0</v>
      </c>
      <c r="J1780" s="4" t="s">
        <v>1757</v>
      </c>
    </row>
    <row r="1781">
      <c r="A1781" s="4" t="s">
        <v>6313</v>
      </c>
      <c r="B1781" s="13" t="s">
        <v>48</v>
      </c>
      <c r="C1781" s="4">
        <v>3.0</v>
      </c>
      <c r="D1781" s="3"/>
      <c r="E1781" s="3"/>
      <c r="F1781" s="4">
        <v>9.0</v>
      </c>
      <c r="G1781" s="4">
        <v>10.0</v>
      </c>
      <c r="H1781" s="3"/>
      <c r="I1781" s="4">
        <v>15.0</v>
      </c>
      <c r="J1781" s="4" t="s">
        <v>1757</v>
      </c>
    </row>
    <row r="1782">
      <c r="A1782" s="4" t="s">
        <v>6314</v>
      </c>
      <c r="B1782" s="13" t="s">
        <v>48</v>
      </c>
      <c r="C1782" s="4">
        <v>3.0</v>
      </c>
      <c r="D1782" s="3"/>
      <c r="E1782" s="3"/>
      <c r="F1782" s="4">
        <v>9.0</v>
      </c>
      <c r="G1782" s="4">
        <v>10.0</v>
      </c>
      <c r="H1782" s="3"/>
      <c r="I1782" s="4">
        <v>15.0</v>
      </c>
      <c r="J1782" s="4" t="s">
        <v>1757</v>
      </c>
    </row>
    <row r="1783">
      <c r="A1783" s="4" t="s">
        <v>6315</v>
      </c>
      <c r="B1783" s="13" t="s">
        <v>48</v>
      </c>
      <c r="C1783" s="4">
        <v>3.0</v>
      </c>
      <c r="D1783" s="3"/>
      <c r="E1783" s="3"/>
      <c r="F1783" s="4">
        <v>9.0</v>
      </c>
      <c r="G1783" s="4">
        <v>10.0</v>
      </c>
      <c r="H1783" s="3"/>
      <c r="I1783" s="4">
        <v>15.0</v>
      </c>
      <c r="J1783" s="4" t="s">
        <v>1757</v>
      </c>
    </row>
    <row r="1784">
      <c r="A1784" s="4" t="s">
        <v>6316</v>
      </c>
      <c r="B1784" s="13" t="s">
        <v>48</v>
      </c>
      <c r="C1784" s="4">
        <v>3.0</v>
      </c>
      <c r="D1784" s="3"/>
      <c r="E1784" s="3"/>
      <c r="F1784" s="4">
        <v>9.0</v>
      </c>
      <c r="G1784" s="4">
        <v>10.0</v>
      </c>
      <c r="H1784" s="3"/>
      <c r="I1784" s="4">
        <v>15.0</v>
      </c>
      <c r="J1784" s="4" t="s">
        <v>1757</v>
      </c>
    </row>
    <row r="1785">
      <c r="A1785" s="4" t="s">
        <v>6317</v>
      </c>
      <c r="B1785" s="13" t="s">
        <v>48</v>
      </c>
      <c r="C1785" s="4">
        <v>3.0</v>
      </c>
      <c r="D1785" s="3"/>
      <c r="E1785" s="3"/>
      <c r="F1785" s="4">
        <v>9.0</v>
      </c>
      <c r="G1785" s="4">
        <v>10.0</v>
      </c>
      <c r="H1785" s="3"/>
      <c r="I1785" s="4">
        <v>15.0</v>
      </c>
      <c r="J1785" s="4" t="s">
        <v>1757</v>
      </c>
    </row>
    <row r="1786">
      <c r="A1786" s="4" t="s">
        <v>6318</v>
      </c>
      <c r="B1786" s="13" t="s">
        <v>48</v>
      </c>
      <c r="C1786" s="4">
        <v>3.0</v>
      </c>
      <c r="D1786" s="3"/>
      <c r="E1786" s="3"/>
      <c r="F1786" s="4">
        <v>9.0</v>
      </c>
      <c r="G1786" s="4">
        <v>10.0</v>
      </c>
      <c r="H1786" s="3"/>
      <c r="I1786" s="4">
        <v>15.0</v>
      </c>
      <c r="J1786" s="4" t="s">
        <v>1757</v>
      </c>
    </row>
    <row r="1787">
      <c r="A1787" s="4" t="s">
        <v>6319</v>
      </c>
      <c r="B1787" s="13" t="s">
        <v>48</v>
      </c>
      <c r="C1787" s="4">
        <v>3.0</v>
      </c>
      <c r="D1787" s="3"/>
      <c r="E1787" s="3"/>
      <c r="F1787" s="4">
        <v>9.0</v>
      </c>
      <c r="G1787" s="4">
        <v>10.0</v>
      </c>
      <c r="H1787" s="3"/>
      <c r="I1787" s="4">
        <v>15.0</v>
      </c>
      <c r="J1787" s="4" t="s">
        <v>1757</v>
      </c>
    </row>
    <row r="1788">
      <c r="A1788" s="4" t="s">
        <v>6320</v>
      </c>
      <c r="B1788" s="13" t="s">
        <v>48</v>
      </c>
      <c r="C1788" s="4">
        <v>3.0</v>
      </c>
      <c r="D1788" s="3"/>
      <c r="E1788" s="3"/>
      <c r="F1788" s="4">
        <v>9.0</v>
      </c>
      <c r="G1788" s="4">
        <v>10.0</v>
      </c>
      <c r="H1788" s="3"/>
      <c r="I1788" s="4">
        <v>15.0</v>
      </c>
      <c r="J1788" s="4" t="s">
        <v>1757</v>
      </c>
    </row>
    <row r="1789">
      <c r="A1789" s="4" t="s">
        <v>6321</v>
      </c>
      <c r="B1789" s="13" t="s">
        <v>48</v>
      </c>
      <c r="C1789" s="4">
        <v>3.0</v>
      </c>
      <c r="D1789" s="3"/>
      <c r="E1789" s="3"/>
      <c r="F1789" s="4">
        <v>9.0</v>
      </c>
      <c r="G1789" s="4">
        <v>10.0</v>
      </c>
      <c r="H1789" s="3"/>
      <c r="I1789" s="4">
        <v>15.0</v>
      </c>
      <c r="J1789" s="4" t="s">
        <v>1757</v>
      </c>
    </row>
    <row r="1790">
      <c r="A1790" s="4" t="s">
        <v>6322</v>
      </c>
      <c r="B1790" s="13" t="s">
        <v>48</v>
      </c>
      <c r="C1790" s="4">
        <v>3.0</v>
      </c>
      <c r="D1790" s="3"/>
      <c r="E1790" s="3"/>
      <c r="F1790" s="4">
        <v>9.0</v>
      </c>
      <c r="G1790" s="4">
        <v>10.0</v>
      </c>
      <c r="H1790" s="3"/>
      <c r="I1790" s="4">
        <v>15.0</v>
      </c>
      <c r="J1790" s="4" t="s">
        <v>1757</v>
      </c>
    </row>
    <row r="1791">
      <c r="A1791" s="4" t="s">
        <v>6323</v>
      </c>
      <c r="B1791" s="13" t="s">
        <v>48</v>
      </c>
      <c r="C1791" s="4">
        <v>3.0</v>
      </c>
      <c r="D1791" s="3"/>
      <c r="E1791" s="3"/>
      <c r="F1791" s="4">
        <v>9.0</v>
      </c>
      <c r="G1791" s="4">
        <v>10.0</v>
      </c>
      <c r="H1791" s="3"/>
      <c r="I1791" s="4">
        <v>15.0</v>
      </c>
      <c r="J1791" s="4" t="s">
        <v>1757</v>
      </c>
    </row>
    <row r="1792">
      <c r="A1792" s="4" t="s">
        <v>6324</v>
      </c>
      <c r="B1792" s="13" t="s">
        <v>48</v>
      </c>
      <c r="C1792" s="4">
        <v>3.0</v>
      </c>
      <c r="D1792" s="3"/>
      <c r="E1792" s="3"/>
      <c r="F1792" s="4">
        <v>9.0</v>
      </c>
      <c r="G1792" s="4">
        <v>10.0</v>
      </c>
      <c r="H1792" s="3"/>
      <c r="I1792" s="4">
        <v>15.0</v>
      </c>
      <c r="J1792" s="4" t="s">
        <v>1757</v>
      </c>
    </row>
    <row r="1793">
      <c r="A1793" s="4" t="s">
        <v>6325</v>
      </c>
      <c r="B1793" s="13" t="s">
        <v>48</v>
      </c>
      <c r="C1793" s="4">
        <v>3.0</v>
      </c>
      <c r="D1793" s="3"/>
      <c r="E1793" s="3"/>
      <c r="F1793" s="4">
        <v>9.0</v>
      </c>
      <c r="G1793" s="4">
        <v>10.0</v>
      </c>
      <c r="H1793" s="3"/>
      <c r="I1793" s="4">
        <v>15.0</v>
      </c>
      <c r="J1793" s="4" t="s">
        <v>1757</v>
      </c>
    </row>
    <row r="1794">
      <c r="A1794" s="4" t="s">
        <v>6326</v>
      </c>
      <c r="B1794" s="13" t="s">
        <v>48</v>
      </c>
      <c r="C1794" s="4">
        <v>3.0</v>
      </c>
      <c r="D1794" s="3"/>
      <c r="E1794" s="3"/>
      <c r="F1794" s="4">
        <v>9.0</v>
      </c>
      <c r="G1794" s="4">
        <v>10.0</v>
      </c>
      <c r="H1794" s="3"/>
      <c r="I1794" s="4">
        <v>15.0</v>
      </c>
      <c r="J1794" s="4" t="s">
        <v>1757</v>
      </c>
    </row>
    <row r="1795">
      <c r="A1795" s="4" t="s">
        <v>6327</v>
      </c>
      <c r="B1795" s="13" t="s">
        <v>48</v>
      </c>
      <c r="C1795" s="4">
        <v>3.0</v>
      </c>
      <c r="D1795" s="3"/>
      <c r="E1795" s="3"/>
      <c r="F1795" s="4">
        <v>9.0</v>
      </c>
      <c r="G1795" s="4">
        <v>10.0</v>
      </c>
      <c r="H1795" s="3"/>
      <c r="I1795" s="4">
        <v>15.0</v>
      </c>
      <c r="J1795" s="4" t="s">
        <v>1757</v>
      </c>
    </row>
    <row r="1796">
      <c r="A1796" s="4" t="s">
        <v>6328</v>
      </c>
      <c r="B1796" s="13" t="s">
        <v>48</v>
      </c>
      <c r="C1796" s="4">
        <v>3.0</v>
      </c>
      <c r="D1796" s="3"/>
      <c r="E1796" s="3"/>
      <c r="F1796" s="4">
        <v>9.0</v>
      </c>
      <c r="G1796" s="4">
        <v>10.0</v>
      </c>
      <c r="H1796" s="3"/>
      <c r="I1796" s="4">
        <v>15.0</v>
      </c>
      <c r="J1796" s="4" t="s">
        <v>1757</v>
      </c>
    </row>
    <row r="1797">
      <c r="A1797" s="4" t="s">
        <v>6329</v>
      </c>
      <c r="B1797" s="13" t="s">
        <v>48</v>
      </c>
      <c r="C1797" s="4">
        <v>2.0</v>
      </c>
      <c r="D1797" s="3"/>
      <c r="E1797" s="3"/>
      <c r="F1797" s="4">
        <v>9.0</v>
      </c>
      <c r="G1797" s="4">
        <v>10.0</v>
      </c>
      <c r="H1797" s="3"/>
      <c r="I1797" s="3"/>
      <c r="J1797" s="4" t="s">
        <v>1757</v>
      </c>
    </row>
    <row r="1798">
      <c r="A1798" s="4" t="s">
        <v>6330</v>
      </c>
      <c r="B1798" s="13" t="s">
        <v>48</v>
      </c>
      <c r="C1798" s="4">
        <v>2.0</v>
      </c>
      <c r="D1798" s="3"/>
      <c r="E1798" s="3"/>
      <c r="F1798" s="4">
        <v>9.0</v>
      </c>
      <c r="G1798" s="4">
        <v>10.0</v>
      </c>
      <c r="H1798" s="3"/>
      <c r="I1798" s="3"/>
      <c r="J1798" s="4" t="s">
        <v>1757</v>
      </c>
    </row>
    <row r="1799">
      <c r="A1799" s="4" t="s">
        <v>6331</v>
      </c>
      <c r="B1799" s="13" t="s">
        <v>48</v>
      </c>
      <c r="C1799" s="4">
        <v>2.0</v>
      </c>
      <c r="D1799" s="3"/>
      <c r="E1799" s="3"/>
      <c r="F1799" s="4">
        <v>9.0</v>
      </c>
      <c r="G1799" s="4">
        <v>10.0</v>
      </c>
      <c r="H1799" s="3"/>
      <c r="I1799" s="3"/>
      <c r="J1799" s="4" t="s">
        <v>1757</v>
      </c>
    </row>
    <row r="1800">
      <c r="A1800" s="4" t="s">
        <v>6332</v>
      </c>
      <c r="B1800" s="13" t="s">
        <v>48</v>
      </c>
      <c r="C1800" s="4">
        <v>2.0</v>
      </c>
      <c r="D1800" s="3"/>
      <c r="E1800" s="3"/>
      <c r="F1800" s="4">
        <v>9.0</v>
      </c>
      <c r="G1800" s="4">
        <v>10.0</v>
      </c>
      <c r="H1800" s="3"/>
      <c r="I1800" s="3"/>
      <c r="J1800" s="4" t="s">
        <v>1757</v>
      </c>
    </row>
    <row r="1801">
      <c r="A1801" s="4" t="s">
        <v>6333</v>
      </c>
      <c r="B1801" s="13" t="s">
        <v>48</v>
      </c>
      <c r="C1801" s="4">
        <v>2.0</v>
      </c>
      <c r="D1801" s="3"/>
      <c r="E1801" s="3"/>
      <c r="F1801" s="4">
        <v>9.0</v>
      </c>
      <c r="G1801" s="4">
        <v>10.0</v>
      </c>
      <c r="H1801" s="3"/>
      <c r="I1801" s="3"/>
    </row>
    <row r="1802">
      <c r="A1802" s="4" t="s">
        <v>6334</v>
      </c>
      <c r="B1802" s="13" t="s">
        <v>48</v>
      </c>
      <c r="C1802" s="4">
        <v>1.0</v>
      </c>
      <c r="D1802" s="3"/>
      <c r="E1802" s="3"/>
      <c r="F1802" s="3"/>
      <c r="G1802" s="4">
        <v>10.0</v>
      </c>
      <c r="H1802" s="3"/>
      <c r="I1802" s="3"/>
    </row>
    <row r="1803">
      <c r="A1803" s="4" t="s">
        <v>6335</v>
      </c>
      <c r="B1803" s="13" t="s">
        <v>48</v>
      </c>
      <c r="C1803" s="4">
        <v>1.0</v>
      </c>
      <c r="D1803" s="3"/>
      <c r="E1803" s="3"/>
      <c r="F1803" s="3"/>
      <c r="G1803" s="4">
        <v>10.0</v>
      </c>
      <c r="H1803" s="3"/>
      <c r="I1803" s="3"/>
    </row>
    <row r="1804">
      <c r="A1804" s="4" t="s">
        <v>6336</v>
      </c>
      <c r="B1804" s="13" t="s">
        <v>48</v>
      </c>
      <c r="C1804" s="4">
        <v>1.0</v>
      </c>
      <c r="D1804" s="3"/>
      <c r="E1804" s="3"/>
      <c r="F1804" s="3"/>
      <c r="G1804" s="4">
        <v>10.0</v>
      </c>
      <c r="H1804" s="3"/>
      <c r="I1804" s="3"/>
    </row>
    <row r="1805">
      <c r="A1805" s="4" t="s">
        <v>6337</v>
      </c>
      <c r="B1805" s="13" t="s">
        <v>48</v>
      </c>
      <c r="C1805" s="4">
        <v>1.0</v>
      </c>
      <c r="D1805" s="3"/>
      <c r="E1805" s="3"/>
      <c r="F1805" s="3"/>
      <c r="G1805" s="4">
        <v>10.0</v>
      </c>
      <c r="H1805" s="3"/>
      <c r="I1805" s="3"/>
    </row>
    <row r="1806">
      <c r="A1806" s="4" t="s">
        <v>6338</v>
      </c>
      <c r="B1806" s="13" t="s">
        <v>48</v>
      </c>
      <c r="C1806" s="4">
        <v>1.0</v>
      </c>
      <c r="D1806" s="3"/>
      <c r="E1806" s="3"/>
      <c r="F1806" s="3"/>
      <c r="G1806" s="4">
        <v>10.0</v>
      </c>
      <c r="H1806" s="3"/>
      <c r="I1806" s="3"/>
    </row>
    <row r="1807">
      <c r="A1807" s="4" t="s">
        <v>6339</v>
      </c>
      <c r="B1807" s="13" t="s">
        <v>48</v>
      </c>
      <c r="C1807" s="4">
        <v>1.0</v>
      </c>
      <c r="D1807" s="3"/>
      <c r="E1807" s="3"/>
      <c r="F1807" s="3"/>
      <c r="G1807" s="4">
        <v>10.0</v>
      </c>
      <c r="H1807" s="3"/>
      <c r="I1807" s="3"/>
    </row>
    <row r="1808">
      <c r="A1808" s="4" t="s">
        <v>6340</v>
      </c>
      <c r="B1808" s="13" t="s">
        <v>48</v>
      </c>
      <c r="C1808" s="4">
        <v>1.0</v>
      </c>
      <c r="D1808" s="3"/>
      <c r="E1808" s="3"/>
      <c r="F1808" s="3"/>
      <c r="G1808" s="4">
        <v>10.0</v>
      </c>
      <c r="H1808" s="3"/>
      <c r="I1808" s="3"/>
    </row>
    <row r="1809">
      <c r="A1809" s="4" t="s">
        <v>6341</v>
      </c>
      <c r="B1809" s="13" t="s">
        <v>48</v>
      </c>
      <c r="C1809" s="4">
        <v>1.0</v>
      </c>
      <c r="D1809" s="3"/>
      <c r="E1809" s="3"/>
      <c r="F1809" s="3"/>
      <c r="G1809" s="4">
        <v>10.0</v>
      </c>
      <c r="H1809" s="3"/>
      <c r="I1809" s="3"/>
    </row>
    <row r="1810">
      <c r="A1810" s="4" t="s">
        <v>6342</v>
      </c>
      <c r="B1810" s="13" t="s">
        <v>48</v>
      </c>
      <c r="C1810" s="4">
        <v>1.0</v>
      </c>
      <c r="D1810" s="3"/>
      <c r="E1810" s="3"/>
      <c r="F1810" s="3"/>
      <c r="G1810" s="4">
        <v>10.0</v>
      </c>
      <c r="H1810" s="3"/>
      <c r="I1810" s="3"/>
    </row>
    <row r="1811">
      <c r="A1811" s="4" t="s">
        <v>6343</v>
      </c>
      <c r="B1811" s="13" t="s">
        <v>48</v>
      </c>
      <c r="C1811" s="4">
        <v>1.0</v>
      </c>
      <c r="D1811" s="3"/>
      <c r="E1811" s="3"/>
      <c r="F1811" s="3"/>
      <c r="G1811" s="4">
        <v>10.0</v>
      </c>
      <c r="H1811" s="3"/>
      <c r="I1811" s="3"/>
    </row>
    <row r="1812">
      <c r="A1812" s="4" t="s">
        <v>6344</v>
      </c>
      <c r="B1812" s="13" t="s">
        <v>48</v>
      </c>
      <c r="C1812" s="4">
        <v>1.0</v>
      </c>
      <c r="D1812" s="3"/>
      <c r="E1812" s="3"/>
      <c r="F1812" s="3"/>
      <c r="G1812" s="4">
        <v>10.0</v>
      </c>
      <c r="H1812" s="3"/>
      <c r="I1812" s="3"/>
    </row>
    <row r="1813">
      <c r="A1813" s="4" t="s">
        <v>6345</v>
      </c>
      <c r="B1813" s="13" t="s">
        <v>43</v>
      </c>
      <c r="D1813" s="3"/>
      <c r="E1813" s="3"/>
      <c r="F1813" s="3"/>
      <c r="G1813" s="3"/>
      <c r="H1813" s="3"/>
      <c r="I1813" s="3"/>
    </row>
    <row r="1814">
      <c r="A1814" s="4" t="s">
        <v>6346</v>
      </c>
      <c r="B1814" s="13" t="s">
        <v>43</v>
      </c>
      <c r="D1814" s="3"/>
      <c r="E1814" s="3"/>
      <c r="F1814" s="3"/>
      <c r="G1814" s="3"/>
      <c r="H1814" s="3"/>
      <c r="I1814" s="3"/>
    </row>
    <row r="1815">
      <c r="A1815" s="4" t="s">
        <v>6347</v>
      </c>
      <c r="B1815" s="13" t="s">
        <v>43</v>
      </c>
      <c r="D1815" s="3"/>
      <c r="E1815" s="3"/>
      <c r="F1815" s="3"/>
      <c r="G1815" s="3"/>
      <c r="H1815" s="3"/>
      <c r="I1815" s="3"/>
    </row>
    <row r="1816">
      <c r="A1816" s="4" t="s">
        <v>6348</v>
      </c>
      <c r="B1816" s="13" t="s">
        <v>43</v>
      </c>
      <c r="D1816" s="3"/>
      <c r="E1816" s="3"/>
      <c r="F1816" s="3"/>
      <c r="G1816" s="3"/>
      <c r="H1816" s="3"/>
      <c r="I1816" s="3"/>
    </row>
    <row r="1817">
      <c r="A1817" s="4" t="s">
        <v>6349</v>
      </c>
      <c r="B1817" s="13" t="s">
        <v>43</v>
      </c>
      <c r="D1817" s="3"/>
      <c r="E1817" s="3"/>
      <c r="F1817" s="3"/>
      <c r="G1817" s="3"/>
      <c r="H1817" s="3"/>
      <c r="I1817" s="3"/>
    </row>
    <row r="1818">
      <c r="A1818" s="4" t="s">
        <v>6350</v>
      </c>
      <c r="B1818" s="13" t="s">
        <v>43</v>
      </c>
      <c r="D1818" s="3"/>
      <c r="E1818" s="3"/>
      <c r="F1818" s="3"/>
      <c r="G1818" s="3"/>
      <c r="H1818" s="3"/>
      <c r="I1818" s="3"/>
    </row>
    <row r="1819">
      <c r="A1819" s="4" t="s">
        <v>6351</v>
      </c>
      <c r="B1819" s="13" t="s">
        <v>43</v>
      </c>
      <c r="D1819" s="3"/>
      <c r="E1819" s="3"/>
      <c r="F1819" s="3"/>
      <c r="G1819" s="3"/>
      <c r="H1819" s="3"/>
      <c r="I1819" s="3"/>
    </row>
    <row r="1820">
      <c r="A1820" s="4" t="s">
        <v>6352</v>
      </c>
      <c r="B1820" s="13" t="s">
        <v>43</v>
      </c>
      <c r="D1820" s="3"/>
      <c r="E1820" s="3"/>
      <c r="F1820" s="3"/>
      <c r="G1820" s="3"/>
      <c r="H1820" s="3"/>
      <c r="I1820" s="3"/>
    </row>
    <row r="1821">
      <c r="A1821" s="4" t="s">
        <v>6353</v>
      </c>
      <c r="B1821" s="13" t="s">
        <v>43</v>
      </c>
      <c r="D1821" s="3"/>
      <c r="E1821" s="3"/>
      <c r="F1821" s="3"/>
      <c r="G1821" s="3"/>
      <c r="H1821" s="3"/>
      <c r="I1821" s="3"/>
    </row>
    <row r="1822">
      <c r="A1822" s="4" t="s">
        <v>6354</v>
      </c>
      <c r="B1822" s="13" t="s">
        <v>43</v>
      </c>
      <c r="D1822" s="3"/>
      <c r="E1822" s="3"/>
      <c r="F1822" s="3"/>
      <c r="G1822" s="3"/>
      <c r="H1822" s="3"/>
      <c r="I1822" s="3"/>
    </row>
    <row r="1823">
      <c r="A1823" s="4" t="s">
        <v>6355</v>
      </c>
      <c r="B1823" s="13" t="s">
        <v>43</v>
      </c>
      <c r="D1823" s="3"/>
      <c r="E1823" s="3"/>
      <c r="F1823" s="3"/>
      <c r="G1823" s="3"/>
      <c r="H1823" s="3"/>
      <c r="I1823" s="3"/>
    </row>
    <row r="1824">
      <c r="A1824" s="4" t="s">
        <v>6356</v>
      </c>
      <c r="B1824" s="13" t="s">
        <v>43</v>
      </c>
      <c r="D1824" s="3"/>
      <c r="E1824" s="3"/>
      <c r="F1824" s="3"/>
      <c r="G1824" s="3"/>
      <c r="H1824" s="3"/>
      <c r="I1824" s="3"/>
    </row>
    <row r="1825">
      <c r="A1825" s="4" t="s">
        <v>6357</v>
      </c>
      <c r="B1825" s="13" t="s">
        <v>43</v>
      </c>
      <c r="D1825" s="3"/>
      <c r="E1825" s="3"/>
      <c r="F1825" s="3"/>
      <c r="G1825" s="3"/>
      <c r="H1825" s="3"/>
      <c r="I1825" s="3"/>
    </row>
    <row r="1826">
      <c r="A1826" s="4" t="s">
        <v>6358</v>
      </c>
      <c r="B1826" s="13" t="s">
        <v>43</v>
      </c>
      <c r="D1826" s="3"/>
      <c r="E1826" s="3"/>
      <c r="F1826" s="3"/>
      <c r="G1826" s="3"/>
      <c r="H1826" s="3"/>
      <c r="I1826" s="3"/>
    </row>
    <row r="1827">
      <c r="A1827" s="4" t="s">
        <v>6359</v>
      </c>
      <c r="B1827" s="13" t="s">
        <v>43</v>
      </c>
      <c r="D1827" s="3"/>
      <c r="E1827" s="3"/>
      <c r="F1827" s="3"/>
      <c r="G1827" s="3"/>
      <c r="H1827" s="3"/>
      <c r="I1827" s="3"/>
    </row>
    <row r="1828">
      <c r="A1828" s="4" t="s">
        <v>6360</v>
      </c>
      <c r="B1828" s="13" t="s">
        <v>43</v>
      </c>
      <c r="D1828" s="3"/>
      <c r="E1828" s="3"/>
      <c r="F1828" s="3"/>
      <c r="G1828" s="3"/>
      <c r="H1828" s="3"/>
      <c r="I1828" s="3"/>
    </row>
    <row r="1829">
      <c r="A1829" s="4" t="s">
        <v>6361</v>
      </c>
      <c r="B1829" s="13" t="s">
        <v>43</v>
      </c>
      <c r="D1829" s="3"/>
      <c r="E1829" s="3"/>
      <c r="F1829" s="3"/>
      <c r="G1829" s="3"/>
      <c r="H1829" s="3"/>
      <c r="I1829" s="3"/>
    </row>
    <row r="1830">
      <c r="A1830" s="4" t="s">
        <v>6362</v>
      </c>
      <c r="B1830" s="13" t="s">
        <v>43</v>
      </c>
      <c r="D1830" s="3"/>
      <c r="E1830" s="3"/>
      <c r="F1830" s="3"/>
      <c r="G1830" s="3"/>
      <c r="H1830" s="3"/>
      <c r="I1830" s="3"/>
    </row>
    <row r="1831">
      <c r="A1831" s="4" t="s">
        <v>6363</v>
      </c>
      <c r="B1831" s="13" t="s">
        <v>43</v>
      </c>
      <c r="D1831" s="3"/>
      <c r="E1831" s="3"/>
      <c r="F1831" s="3"/>
      <c r="G1831" s="3"/>
      <c r="H1831" s="3"/>
      <c r="I1831" s="3"/>
    </row>
    <row r="1832">
      <c r="A1832" s="4" t="s">
        <v>6364</v>
      </c>
      <c r="B1832" s="13" t="s">
        <v>43</v>
      </c>
      <c r="D1832" s="3"/>
      <c r="E1832" s="3"/>
      <c r="F1832" s="3"/>
      <c r="G1832" s="3"/>
      <c r="H1832" s="3"/>
      <c r="I1832" s="3"/>
    </row>
    <row r="1833">
      <c r="A1833" s="4" t="s">
        <v>6365</v>
      </c>
      <c r="B1833" s="13" t="s">
        <v>43</v>
      </c>
      <c r="D1833" s="3"/>
      <c r="E1833" s="3"/>
      <c r="F1833" s="3"/>
      <c r="G1833" s="3"/>
      <c r="H1833" s="3"/>
      <c r="I1833" s="3"/>
    </row>
    <row r="1834">
      <c r="A1834" s="4" t="s">
        <v>6366</v>
      </c>
      <c r="B1834" s="13" t="s">
        <v>43</v>
      </c>
      <c r="D1834" s="3"/>
      <c r="E1834" s="3"/>
      <c r="F1834" s="3"/>
      <c r="G1834" s="3"/>
      <c r="H1834" s="3"/>
      <c r="I1834" s="3"/>
    </row>
    <row r="1835">
      <c r="A1835" s="4" t="s">
        <v>6367</v>
      </c>
      <c r="B1835" s="13" t="s">
        <v>43</v>
      </c>
      <c r="D1835" s="3"/>
      <c r="E1835" s="3"/>
      <c r="F1835" s="3"/>
      <c r="G1835" s="3"/>
      <c r="H1835" s="3"/>
      <c r="I1835" s="3"/>
    </row>
    <row r="1836">
      <c r="A1836" s="4" t="s">
        <v>6368</v>
      </c>
      <c r="B1836" s="13" t="s">
        <v>43</v>
      </c>
      <c r="D1836" s="3"/>
      <c r="E1836" s="3"/>
      <c r="F1836" s="3"/>
      <c r="G1836" s="3"/>
      <c r="H1836" s="3"/>
      <c r="I1836" s="3"/>
    </row>
    <row r="1837">
      <c r="A1837" s="4" t="s">
        <v>6369</v>
      </c>
      <c r="B1837" s="13" t="s">
        <v>43</v>
      </c>
      <c r="D1837" s="3"/>
      <c r="E1837" s="3"/>
      <c r="F1837" s="3"/>
      <c r="G1837" s="3"/>
      <c r="H1837" s="3"/>
      <c r="I1837" s="3"/>
    </row>
    <row r="1838">
      <c r="A1838" s="4" t="s">
        <v>6370</v>
      </c>
      <c r="B1838" s="13" t="s">
        <v>43</v>
      </c>
      <c r="D1838" s="3"/>
      <c r="E1838" s="3"/>
      <c r="F1838" s="3"/>
      <c r="G1838" s="3"/>
      <c r="H1838" s="3"/>
      <c r="I1838" s="3"/>
    </row>
    <row r="1839">
      <c r="A1839" s="4" t="s">
        <v>6371</v>
      </c>
      <c r="B1839" s="13" t="s">
        <v>43</v>
      </c>
      <c r="D1839" s="3"/>
      <c r="E1839" s="3"/>
      <c r="F1839" s="3"/>
      <c r="G1839" s="3"/>
      <c r="H1839" s="3"/>
      <c r="I1839" s="3"/>
    </row>
    <row r="1840">
      <c r="A1840" s="4" t="s">
        <v>6372</v>
      </c>
      <c r="B1840" s="13" t="s">
        <v>43</v>
      </c>
      <c r="D1840" s="3"/>
      <c r="E1840" s="3"/>
      <c r="F1840" s="3"/>
      <c r="G1840" s="3"/>
      <c r="H1840" s="3"/>
      <c r="I1840" s="3"/>
    </row>
    <row r="1841">
      <c r="A1841" s="4" t="s">
        <v>6373</v>
      </c>
      <c r="B1841" s="13" t="s">
        <v>43</v>
      </c>
      <c r="D1841" s="3"/>
      <c r="E1841" s="3"/>
      <c r="F1841" s="3"/>
      <c r="G1841" s="3"/>
      <c r="H1841" s="3"/>
      <c r="I1841" s="3"/>
    </row>
    <row r="1842">
      <c r="A1842" s="4" t="s">
        <v>6374</v>
      </c>
      <c r="B1842" s="13" t="s">
        <v>43</v>
      </c>
      <c r="D1842" s="3"/>
      <c r="E1842" s="3"/>
      <c r="F1842" s="3"/>
      <c r="G1842" s="3"/>
      <c r="H1842" s="3"/>
      <c r="I1842" s="3"/>
    </row>
    <row r="1843">
      <c r="A1843" s="4" t="s">
        <v>6375</v>
      </c>
      <c r="B1843" s="13" t="s">
        <v>43</v>
      </c>
      <c r="D1843" s="3"/>
      <c r="E1843" s="3"/>
      <c r="F1843" s="3"/>
      <c r="G1843" s="3"/>
      <c r="H1843" s="3"/>
      <c r="I1843" s="3"/>
    </row>
    <row r="1844">
      <c r="A1844" s="4" t="s">
        <v>6376</v>
      </c>
      <c r="B1844" s="13" t="s">
        <v>43</v>
      </c>
      <c r="D1844" s="3"/>
      <c r="E1844" s="3"/>
      <c r="F1844" s="3"/>
      <c r="G1844" s="3"/>
      <c r="H1844" s="3"/>
      <c r="I1844" s="3"/>
    </row>
    <row r="1845">
      <c r="A1845" s="4" t="s">
        <v>6377</v>
      </c>
      <c r="B1845" s="13" t="s">
        <v>43</v>
      </c>
      <c r="D1845" s="3"/>
      <c r="E1845" s="3"/>
      <c r="F1845" s="3"/>
      <c r="G1845" s="3"/>
      <c r="H1845" s="3"/>
      <c r="I1845" s="3"/>
    </row>
    <row r="1846">
      <c r="A1846" s="4" t="s">
        <v>6378</v>
      </c>
      <c r="B1846" s="13" t="s">
        <v>43</v>
      </c>
      <c r="D1846" s="3"/>
      <c r="E1846" s="3"/>
      <c r="F1846" s="3"/>
      <c r="G1846" s="3"/>
      <c r="H1846" s="3"/>
      <c r="I1846" s="3"/>
    </row>
    <row r="1847">
      <c r="A1847" s="4" t="s">
        <v>6379</v>
      </c>
      <c r="B1847" s="13" t="s">
        <v>43</v>
      </c>
      <c r="D1847" s="3"/>
      <c r="E1847" s="3"/>
      <c r="F1847" s="3"/>
      <c r="G1847" s="3"/>
      <c r="H1847" s="3"/>
      <c r="I1847" s="3"/>
    </row>
    <row r="1848">
      <c r="A1848" s="4" t="s">
        <v>6380</v>
      </c>
      <c r="B1848" s="13" t="s">
        <v>43</v>
      </c>
      <c r="D1848" s="3"/>
      <c r="E1848" s="3"/>
      <c r="F1848" s="3"/>
      <c r="G1848" s="3"/>
      <c r="H1848" s="3"/>
      <c r="I1848" s="3"/>
    </row>
    <row r="1849">
      <c r="A1849" s="4" t="s">
        <v>6381</v>
      </c>
      <c r="B1849" s="13" t="s">
        <v>43</v>
      </c>
      <c r="D1849" s="3"/>
      <c r="E1849" s="3"/>
      <c r="F1849" s="3"/>
      <c r="G1849" s="3"/>
      <c r="H1849" s="3"/>
      <c r="I1849" s="3"/>
    </row>
    <row r="1850">
      <c r="A1850" s="4" t="s">
        <v>6382</v>
      </c>
      <c r="B1850" s="13" t="s">
        <v>43</v>
      </c>
      <c r="D1850" s="3"/>
      <c r="E1850" s="3"/>
      <c r="F1850" s="3"/>
      <c r="G1850" s="3"/>
      <c r="H1850" s="3"/>
      <c r="I1850" s="3"/>
    </row>
    <row r="1851">
      <c r="A1851" s="4" t="s">
        <v>6383</v>
      </c>
      <c r="B1851" s="13" t="s">
        <v>43</v>
      </c>
      <c r="D1851" s="3"/>
      <c r="E1851" s="3"/>
      <c r="F1851" s="3"/>
      <c r="G1851" s="3"/>
      <c r="H1851" s="3"/>
      <c r="I1851" s="3"/>
    </row>
    <row r="1852">
      <c r="A1852" s="4" t="s">
        <v>6384</v>
      </c>
      <c r="B1852" s="13" t="s">
        <v>43</v>
      </c>
      <c r="D1852" s="3"/>
      <c r="E1852" s="3"/>
      <c r="F1852" s="3"/>
      <c r="G1852" s="3"/>
      <c r="H1852" s="3"/>
      <c r="I1852" s="3"/>
    </row>
    <row r="1853">
      <c r="A1853" s="4" t="s">
        <v>6385</v>
      </c>
      <c r="B1853" s="13" t="s">
        <v>43</v>
      </c>
      <c r="D1853" s="3"/>
      <c r="E1853" s="3"/>
      <c r="F1853" s="3"/>
      <c r="G1853" s="3"/>
      <c r="H1853" s="3"/>
      <c r="I1853" s="3"/>
    </row>
    <row r="1854">
      <c r="A1854" s="4" t="s">
        <v>6386</v>
      </c>
      <c r="B1854" s="13" t="s">
        <v>43</v>
      </c>
      <c r="D1854" s="3"/>
      <c r="E1854" s="3"/>
      <c r="F1854" s="3"/>
      <c r="G1854" s="3"/>
      <c r="H1854" s="3"/>
      <c r="I1854" s="3"/>
    </row>
    <row r="1855">
      <c r="A1855" s="4" t="s">
        <v>6387</v>
      </c>
      <c r="B1855" s="13" t="s">
        <v>48</v>
      </c>
      <c r="C1855" s="4">
        <v>1.0</v>
      </c>
      <c r="D1855" s="3"/>
      <c r="E1855" s="3"/>
      <c r="F1855" s="4">
        <v>9.0</v>
      </c>
      <c r="G1855" s="3"/>
      <c r="H1855" s="3"/>
      <c r="I1855" s="3"/>
    </row>
    <row r="1856">
      <c r="A1856" s="4" t="s">
        <v>6388</v>
      </c>
      <c r="B1856" s="13" t="s">
        <v>48</v>
      </c>
      <c r="C1856" s="4">
        <v>1.0</v>
      </c>
      <c r="D1856" s="3"/>
      <c r="E1856" s="3"/>
      <c r="F1856" s="4">
        <v>9.0</v>
      </c>
      <c r="G1856" s="3"/>
      <c r="H1856" s="3"/>
      <c r="I1856" s="3"/>
    </row>
    <row r="1857">
      <c r="A1857" s="4" t="s">
        <v>6389</v>
      </c>
      <c r="B1857" s="13" t="s">
        <v>48</v>
      </c>
      <c r="C1857" s="4">
        <v>2.0</v>
      </c>
      <c r="D1857" s="3"/>
      <c r="E1857" s="3"/>
      <c r="F1857" s="4">
        <v>9.0</v>
      </c>
      <c r="G1857" s="3"/>
      <c r="H1857" s="4">
        <v>13.0</v>
      </c>
      <c r="I1857" s="3"/>
    </row>
    <row r="1858">
      <c r="A1858" s="4" t="s">
        <v>6390</v>
      </c>
      <c r="B1858" s="13" t="s">
        <v>48</v>
      </c>
      <c r="C1858" s="4">
        <v>2.0</v>
      </c>
      <c r="D1858" s="3"/>
      <c r="E1858" s="3"/>
      <c r="F1858" s="4">
        <v>9.0</v>
      </c>
      <c r="G1858" s="3"/>
      <c r="H1858" s="4">
        <v>13.0</v>
      </c>
      <c r="I1858" s="3"/>
    </row>
    <row r="1859">
      <c r="A1859" s="4" t="s">
        <v>6391</v>
      </c>
      <c r="B1859" s="13" t="s">
        <v>48</v>
      </c>
      <c r="C1859" s="4">
        <v>2.0</v>
      </c>
      <c r="D1859" s="3"/>
      <c r="E1859" s="3"/>
      <c r="F1859" s="4">
        <v>9.0</v>
      </c>
      <c r="G1859" s="3"/>
      <c r="H1859" s="4">
        <v>13.0</v>
      </c>
      <c r="I1859" s="3"/>
    </row>
    <row r="1860">
      <c r="A1860" s="4" t="s">
        <v>6392</v>
      </c>
      <c r="B1860" s="13" t="s">
        <v>48</v>
      </c>
      <c r="C1860" s="4">
        <v>1.0</v>
      </c>
      <c r="D1860" s="3"/>
      <c r="E1860" s="3"/>
      <c r="F1860" s="4">
        <v>9.0</v>
      </c>
      <c r="G1860" s="3"/>
      <c r="H1860" s="3"/>
      <c r="I1860" s="3"/>
    </row>
    <row r="1861">
      <c r="A1861" s="4" t="s">
        <v>6393</v>
      </c>
      <c r="B1861" s="13" t="s">
        <v>48</v>
      </c>
      <c r="C1861" s="4">
        <v>1.0</v>
      </c>
      <c r="D1861" s="3"/>
      <c r="E1861" s="3"/>
      <c r="F1861" s="4">
        <v>9.0</v>
      </c>
      <c r="G1861" s="3"/>
      <c r="H1861" s="3"/>
      <c r="I1861" s="3"/>
    </row>
    <row r="1862">
      <c r="A1862" s="4" t="s">
        <v>6394</v>
      </c>
      <c r="B1862" s="13" t="s">
        <v>48</v>
      </c>
      <c r="C1862" s="4">
        <v>1.0</v>
      </c>
      <c r="D1862" s="3"/>
      <c r="E1862" s="3"/>
      <c r="F1862" s="4">
        <v>9.0</v>
      </c>
      <c r="G1862" s="3"/>
      <c r="H1862" s="3"/>
      <c r="I1862" s="3"/>
    </row>
    <row r="1863">
      <c r="A1863" s="4" t="s">
        <v>6395</v>
      </c>
      <c r="B1863" s="13" t="s">
        <v>48</v>
      </c>
      <c r="C1863" s="4">
        <v>1.0</v>
      </c>
      <c r="D1863" s="3"/>
      <c r="E1863" s="3"/>
      <c r="F1863" s="4">
        <v>9.0</v>
      </c>
      <c r="G1863" s="3"/>
      <c r="H1863" s="3"/>
      <c r="I1863" s="3"/>
    </row>
    <row r="1864">
      <c r="A1864" s="4" t="s">
        <v>6396</v>
      </c>
      <c r="B1864" s="13" t="s">
        <v>48</v>
      </c>
      <c r="C1864" s="4">
        <v>1.0</v>
      </c>
      <c r="D1864" s="3"/>
      <c r="E1864" s="3"/>
      <c r="F1864" s="4">
        <v>9.0</v>
      </c>
      <c r="G1864" s="3"/>
      <c r="H1864" s="3"/>
      <c r="I1864" s="3"/>
    </row>
    <row r="1865">
      <c r="A1865" s="4" t="s">
        <v>6397</v>
      </c>
      <c r="B1865" s="13" t="s">
        <v>48</v>
      </c>
      <c r="C1865" s="4">
        <v>1.0</v>
      </c>
      <c r="D1865" s="3"/>
      <c r="E1865" s="3"/>
      <c r="F1865" s="4">
        <v>9.0</v>
      </c>
      <c r="G1865" s="3"/>
      <c r="H1865" s="3"/>
      <c r="I1865" s="3"/>
    </row>
    <row r="1866">
      <c r="A1866" s="4" t="s">
        <v>6398</v>
      </c>
      <c r="B1866" s="13" t="s">
        <v>48</v>
      </c>
      <c r="C1866" s="4">
        <v>1.0</v>
      </c>
      <c r="D1866" s="3"/>
      <c r="E1866" s="3"/>
      <c r="F1866" s="4">
        <v>9.0</v>
      </c>
      <c r="G1866" s="3"/>
      <c r="H1866" s="3"/>
      <c r="I1866" s="3"/>
    </row>
    <row r="1867">
      <c r="A1867" s="4" t="s">
        <v>6399</v>
      </c>
      <c r="B1867" s="13" t="s">
        <v>48</v>
      </c>
      <c r="C1867" s="4">
        <v>1.0</v>
      </c>
      <c r="D1867" s="3"/>
      <c r="E1867" s="3"/>
      <c r="F1867" s="4">
        <v>9.0</v>
      </c>
      <c r="G1867" s="3"/>
      <c r="H1867" s="3"/>
      <c r="I1867" s="3"/>
    </row>
    <row r="1868">
      <c r="A1868" s="4" t="s">
        <v>6400</v>
      </c>
      <c r="B1868" s="13" t="s">
        <v>43</v>
      </c>
      <c r="D1868" s="3"/>
      <c r="E1868" s="3"/>
      <c r="F1868" s="3"/>
      <c r="G1868" s="3"/>
      <c r="H1868" s="3"/>
      <c r="I1868" s="3"/>
    </row>
    <row r="1869">
      <c r="A1869" s="4" t="s">
        <v>6401</v>
      </c>
      <c r="B1869" s="13" t="s">
        <v>43</v>
      </c>
      <c r="D1869" s="3"/>
      <c r="E1869" s="3"/>
      <c r="F1869" s="3"/>
      <c r="G1869" s="3"/>
      <c r="H1869" s="3"/>
      <c r="I1869" s="3"/>
    </row>
    <row r="1870">
      <c r="A1870" s="4" t="s">
        <v>6402</v>
      </c>
      <c r="B1870" s="13" t="s">
        <v>48</v>
      </c>
      <c r="C1870" s="4">
        <v>1.0</v>
      </c>
      <c r="D1870" s="3"/>
      <c r="E1870" s="3"/>
      <c r="F1870" s="4">
        <v>9.0</v>
      </c>
      <c r="G1870" s="3"/>
      <c r="H1870" s="3"/>
      <c r="I1870" s="3"/>
    </row>
    <row r="1871">
      <c r="A1871" s="4" t="s">
        <v>6403</v>
      </c>
      <c r="B1871" s="13" t="s">
        <v>48</v>
      </c>
      <c r="C1871" s="4">
        <v>1.0</v>
      </c>
      <c r="D1871" s="3"/>
      <c r="E1871" s="3"/>
      <c r="F1871" s="4">
        <v>9.0</v>
      </c>
      <c r="G1871" s="3"/>
      <c r="H1871" s="3"/>
      <c r="I1871" s="3"/>
    </row>
    <row r="1872">
      <c r="A1872" s="4" t="s">
        <v>6404</v>
      </c>
      <c r="B1872" s="13" t="s">
        <v>48</v>
      </c>
      <c r="C1872" s="4">
        <v>1.0</v>
      </c>
      <c r="D1872" s="3"/>
      <c r="E1872" s="3"/>
      <c r="F1872" s="4">
        <v>9.0</v>
      </c>
      <c r="G1872" s="3"/>
      <c r="H1872" s="3"/>
      <c r="I1872" s="3"/>
    </row>
    <row r="1873">
      <c r="A1873" s="4" t="s">
        <v>6405</v>
      </c>
      <c r="B1873" s="13" t="s">
        <v>48</v>
      </c>
      <c r="C1873" s="4">
        <v>2.0</v>
      </c>
      <c r="D1873" s="3"/>
      <c r="E1873" s="3"/>
      <c r="F1873" s="4">
        <v>9.0</v>
      </c>
      <c r="G1873" s="3"/>
      <c r="H1873" s="4">
        <v>13.0</v>
      </c>
      <c r="I1873" s="3"/>
    </row>
    <row r="1874">
      <c r="A1874" s="4" t="s">
        <v>6406</v>
      </c>
      <c r="B1874" s="13" t="s">
        <v>48</v>
      </c>
      <c r="C1874" s="4">
        <v>2.0</v>
      </c>
      <c r="D1874" s="3"/>
      <c r="E1874" s="3"/>
      <c r="F1874" s="4">
        <v>9.0</v>
      </c>
      <c r="G1874" s="3"/>
      <c r="H1874" s="4">
        <v>13.0</v>
      </c>
      <c r="I1874" s="3"/>
    </row>
    <row r="1875">
      <c r="A1875" s="4" t="s">
        <v>6407</v>
      </c>
      <c r="B1875" s="13" t="s">
        <v>48</v>
      </c>
      <c r="C1875" s="4">
        <v>2.0</v>
      </c>
      <c r="D1875" s="3"/>
      <c r="E1875" s="3"/>
      <c r="F1875" s="4">
        <v>9.0</v>
      </c>
      <c r="G1875" s="3"/>
      <c r="H1875" s="4">
        <v>13.0</v>
      </c>
      <c r="I1875" s="3"/>
    </row>
    <row r="1876">
      <c r="A1876" s="4" t="s">
        <v>6408</v>
      </c>
      <c r="B1876" s="13" t="s">
        <v>48</v>
      </c>
      <c r="C1876" s="4">
        <v>2.0</v>
      </c>
      <c r="D1876" s="3"/>
      <c r="E1876" s="3"/>
      <c r="F1876" s="4">
        <v>9.0</v>
      </c>
      <c r="G1876" s="3"/>
      <c r="H1876" s="4">
        <v>13.0</v>
      </c>
      <c r="I1876" s="3"/>
    </row>
    <row r="1877">
      <c r="A1877" s="4" t="s">
        <v>6409</v>
      </c>
      <c r="B1877" s="13" t="s">
        <v>48</v>
      </c>
      <c r="C1877" s="4">
        <v>2.0</v>
      </c>
      <c r="D1877" s="3"/>
      <c r="E1877" s="3"/>
      <c r="F1877" s="4">
        <v>9.0</v>
      </c>
      <c r="G1877" s="3"/>
      <c r="H1877" s="4">
        <v>13.0</v>
      </c>
      <c r="I1877" s="3"/>
    </row>
    <row r="1878">
      <c r="A1878" s="4" t="s">
        <v>6410</v>
      </c>
      <c r="B1878" s="13" t="s">
        <v>48</v>
      </c>
      <c r="C1878" s="4">
        <v>2.0</v>
      </c>
      <c r="D1878" s="3"/>
      <c r="E1878" s="3"/>
      <c r="F1878" s="4">
        <v>9.0</v>
      </c>
      <c r="G1878" s="3"/>
      <c r="H1878" s="4">
        <v>13.0</v>
      </c>
      <c r="I1878" s="3"/>
    </row>
    <row r="1879">
      <c r="A1879" s="4" t="s">
        <v>6411</v>
      </c>
      <c r="B1879" s="13" t="s">
        <v>48</v>
      </c>
      <c r="C1879" s="4">
        <v>2.0</v>
      </c>
      <c r="D1879" s="3"/>
      <c r="E1879" s="3"/>
      <c r="F1879" s="4">
        <v>9.0</v>
      </c>
      <c r="G1879" s="3"/>
      <c r="H1879" s="4">
        <v>13.0</v>
      </c>
      <c r="I1879" s="3"/>
    </row>
    <row r="1880">
      <c r="A1880" s="4" t="s">
        <v>6412</v>
      </c>
      <c r="B1880" s="13" t="s">
        <v>48</v>
      </c>
      <c r="C1880" s="4">
        <v>2.0</v>
      </c>
      <c r="D1880" s="3"/>
      <c r="E1880" s="3"/>
      <c r="F1880" s="4">
        <v>9.0</v>
      </c>
      <c r="G1880" s="3"/>
      <c r="H1880" s="4">
        <v>13.0</v>
      </c>
      <c r="I1880" s="3"/>
    </row>
    <row r="1881">
      <c r="A1881" s="4" t="s">
        <v>6413</v>
      </c>
      <c r="B1881" s="13" t="s">
        <v>48</v>
      </c>
      <c r="C1881" s="4">
        <v>2.0</v>
      </c>
      <c r="D1881" s="3"/>
      <c r="E1881" s="3"/>
      <c r="F1881" s="4">
        <v>9.0</v>
      </c>
      <c r="G1881" s="3"/>
      <c r="H1881" s="4">
        <v>13.0</v>
      </c>
      <c r="I1881" s="3"/>
    </row>
    <row r="1882">
      <c r="A1882" s="4" t="s">
        <v>6414</v>
      </c>
      <c r="B1882" s="13" t="s">
        <v>48</v>
      </c>
      <c r="C1882" s="4">
        <v>2.0</v>
      </c>
      <c r="D1882" s="3"/>
      <c r="E1882" s="3"/>
      <c r="F1882" s="4">
        <v>9.0</v>
      </c>
      <c r="G1882" s="3"/>
      <c r="H1882" s="4">
        <v>13.0</v>
      </c>
      <c r="I1882" s="3"/>
    </row>
    <row r="1883">
      <c r="A1883" s="4" t="s">
        <v>6415</v>
      </c>
      <c r="B1883" s="13" t="s">
        <v>48</v>
      </c>
      <c r="C1883" s="4">
        <v>2.0</v>
      </c>
      <c r="D1883" s="3"/>
      <c r="E1883" s="3"/>
      <c r="F1883" s="4">
        <v>9.0</v>
      </c>
      <c r="G1883" s="3"/>
      <c r="H1883" s="4">
        <v>13.0</v>
      </c>
      <c r="I1883" s="3"/>
    </row>
    <row r="1884">
      <c r="A1884" s="4" t="s">
        <v>6416</v>
      </c>
      <c r="B1884" s="13" t="s">
        <v>48</v>
      </c>
      <c r="C1884" s="4">
        <v>2.0</v>
      </c>
      <c r="D1884" s="3"/>
      <c r="E1884" s="3"/>
      <c r="F1884" s="4">
        <v>9.0</v>
      </c>
      <c r="G1884" s="3"/>
      <c r="H1884" s="4">
        <v>13.0</v>
      </c>
      <c r="I1884" s="3"/>
    </row>
    <row r="1885">
      <c r="A1885" s="4" t="s">
        <v>6417</v>
      </c>
      <c r="B1885" s="13" t="s">
        <v>48</v>
      </c>
      <c r="C1885" s="4">
        <v>2.0</v>
      </c>
      <c r="D1885" s="3"/>
      <c r="E1885" s="3"/>
      <c r="F1885" s="4">
        <v>9.0</v>
      </c>
      <c r="G1885" s="3"/>
      <c r="H1885" s="4">
        <v>13.0</v>
      </c>
      <c r="I1885" s="3"/>
    </row>
    <row r="1886">
      <c r="A1886" s="4" t="s">
        <v>6418</v>
      </c>
      <c r="B1886" s="13" t="s">
        <v>48</v>
      </c>
      <c r="C1886" s="4">
        <v>2.0</v>
      </c>
      <c r="D1886" s="3"/>
      <c r="E1886" s="3"/>
      <c r="F1886" s="4">
        <v>9.0</v>
      </c>
      <c r="G1886" s="3"/>
      <c r="H1886" s="4">
        <v>13.0</v>
      </c>
      <c r="I1886" s="3"/>
    </row>
    <row r="1887">
      <c r="A1887" s="4" t="s">
        <v>6419</v>
      </c>
      <c r="B1887" s="13" t="s">
        <v>48</v>
      </c>
      <c r="C1887" s="4">
        <v>2.0</v>
      </c>
      <c r="D1887" s="3"/>
      <c r="E1887" s="3"/>
      <c r="F1887" s="4">
        <v>9.0</v>
      </c>
      <c r="G1887" s="3"/>
      <c r="H1887" s="4">
        <v>13.0</v>
      </c>
      <c r="I1887" s="3"/>
    </row>
    <row r="1888">
      <c r="A1888" s="4" t="s">
        <v>6420</v>
      </c>
      <c r="B1888" s="13" t="s">
        <v>48</v>
      </c>
      <c r="C1888" s="4">
        <v>2.0</v>
      </c>
      <c r="D1888" s="3"/>
      <c r="E1888" s="3"/>
      <c r="F1888" s="4">
        <v>9.0</v>
      </c>
      <c r="G1888" s="3"/>
      <c r="H1888" s="4">
        <v>13.0</v>
      </c>
      <c r="I1888" s="3"/>
    </row>
    <row r="1889">
      <c r="A1889" s="4" t="s">
        <v>6421</v>
      </c>
      <c r="B1889" s="13" t="s">
        <v>48</v>
      </c>
      <c r="C1889" s="4">
        <v>2.0</v>
      </c>
      <c r="D1889" s="3"/>
      <c r="E1889" s="3"/>
      <c r="F1889" s="4">
        <v>9.0</v>
      </c>
      <c r="G1889" s="3"/>
      <c r="H1889" s="4">
        <v>13.0</v>
      </c>
      <c r="I1889" s="3"/>
    </row>
    <row r="1890">
      <c r="A1890" s="4" t="s">
        <v>6422</v>
      </c>
      <c r="B1890" s="13" t="s">
        <v>48</v>
      </c>
      <c r="C1890" s="4">
        <v>2.0</v>
      </c>
      <c r="D1890" s="3"/>
      <c r="E1890" s="3"/>
      <c r="F1890" s="4">
        <v>9.0</v>
      </c>
      <c r="G1890" s="3"/>
      <c r="H1890" s="4">
        <v>13.0</v>
      </c>
      <c r="I1890" s="3"/>
    </row>
    <row r="1891">
      <c r="A1891" s="4" t="s">
        <v>6423</v>
      </c>
      <c r="B1891" s="13" t="s">
        <v>48</v>
      </c>
      <c r="C1891" s="4">
        <v>2.0</v>
      </c>
      <c r="D1891" s="3"/>
      <c r="E1891" s="3"/>
      <c r="F1891" s="4">
        <v>9.0</v>
      </c>
      <c r="G1891" s="3"/>
      <c r="H1891" s="4">
        <v>13.0</v>
      </c>
      <c r="I1891" s="3"/>
    </row>
    <row r="1892">
      <c r="A1892" s="4" t="s">
        <v>6424</v>
      </c>
      <c r="B1892" s="13" t="s">
        <v>48</v>
      </c>
      <c r="C1892" s="4">
        <v>2.0</v>
      </c>
      <c r="D1892" s="3"/>
      <c r="E1892" s="3"/>
      <c r="F1892" s="4">
        <v>9.0</v>
      </c>
      <c r="G1892" s="3"/>
      <c r="H1892" s="4">
        <v>13.0</v>
      </c>
      <c r="I1892" s="3"/>
    </row>
    <row r="1893">
      <c r="A1893" s="4" t="s">
        <v>6425</v>
      </c>
      <c r="B1893" s="13" t="s">
        <v>48</v>
      </c>
      <c r="C1893" s="4">
        <v>2.0</v>
      </c>
      <c r="D1893" s="3"/>
      <c r="E1893" s="3"/>
      <c r="F1893" s="4">
        <v>9.0</v>
      </c>
      <c r="G1893" s="3"/>
      <c r="H1893" s="4">
        <v>13.0</v>
      </c>
      <c r="I1893" s="3"/>
    </row>
    <row r="1894">
      <c r="A1894" s="4" t="s">
        <v>6426</v>
      </c>
      <c r="B1894" s="13" t="s">
        <v>48</v>
      </c>
      <c r="C1894" s="4">
        <v>2.0</v>
      </c>
      <c r="D1894" s="3"/>
      <c r="E1894" s="3"/>
      <c r="F1894" s="4">
        <v>9.0</v>
      </c>
      <c r="G1894" s="3"/>
      <c r="H1894" s="4">
        <v>13.0</v>
      </c>
      <c r="I1894" s="3"/>
    </row>
    <row r="1895">
      <c r="A1895" s="4" t="s">
        <v>6427</v>
      </c>
      <c r="B1895" s="13" t="s">
        <v>48</v>
      </c>
      <c r="C1895" s="4">
        <v>2.0</v>
      </c>
      <c r="D1895" s="3"/>
      <c r="E1895" s="3"/>
      <c r="F1895" s="4">
        <v>9.0</v>
      </c>
      <c r="G1895" s="3"/>
      <c r="H1895" s="4">
        <v>13.0</v>
      </c>
      <c r="I1895" s="3"/>
    </row>
    <row r="1896">
      <c r="A1896" s="4" t="s">
        <v>6428</v>
      </c>
      <c r="B1896" s="13" t="s">
        <v>48</v>
      </c>
      <c r="C1896" s="4">
        <v>2.0</v>
      </c>
      <c r="D1896" s="3"/>
      <c r="E1896" s="3"/>
      <c r="F1896" s="4">
        <v>9.0</v>
      </c>
      <c r="G1896" s="3"/>
      <c r="H1896" s="4">
        <v>13.0</v>
      </c>
      <c r="I1896" s="3"/>
    </row>
    <row r="1897">
      <c r="A1897" s="4" t="s">
        <v>6429</v>
      </c>
      <c r="B1897" s="13" t="s">
        <v>48</v>
      </c>
      <c r="C1897" s="4">
        <v>2.0</v>
      </c>
      <c r="D1897" s="3"/>
      <c r="E1897" s="3"/>
      <c r="F1897" s="4">
        <v>9.0</v>
      </c>
      <c r="G1897" s="3"/>
      <c r="H1897" s="4">
        <v>13.0</v>
      </c>
      <c r="I1897" s="3"/>
    </row>
    <row r="1898">
      <c r="A1898" s="4" t="s">
        <v>6430</v>
      </c>
      <c r="B1898" s="13" t="s">
        <v>48</v>
      </c>
      <c r="C1898" s="4">
        <v>1.0</v>
      </c>
      <c r="D1898" s="3"/>
      <c r="E1898" s="3"/>
      <c r="F1898" s="3"/>
      <c r="G1898" s="3"/>
      <c r="H1898" s="4">
        <v>13.0</v>
      </c>
      <c r="I1898" s="3"/>
    </row>
    <row r="1899">
      <c r="A1899" s="4" t="s">
        <v>6431</v>
      </c>
      <c r="B1899" s="13" t="s">
        <v>48</v>
      </c>
      <c r="C1899" s="4">
        <v>2.0</v>
      </c>
      <c r="D1899" s="3"/>
      <c r="E1899" s="4">
        <v>2.0</v>
      </c>
      <c r="F1899" s="3"/>
      <c r="G1899" s="3"/>
      <c r="H1899" s="4">
        <v>13.0</v>
      </c>
      <c r="I1899" s="3"/>
    </row>
    <row r="1900">
      <c r="A1900" s="4" t="s">
        <v>6432</v>
      </c>
      <c r="B1900" s="13" t="s">
        <v>48</v>
      </c>
      <c r="C1900" s="4">
        <v>2.0</v>
      </c>
      <c r="D1900" s="3"/>
      <c r="E1900" s="4">
        <v>2.0</v>
      </c>
      <c r="F1900" s="3"/>
      <c r="G1900" s="3"/>
      <c r="H1900" s="4">
        <v>13.0</v>
      </c>
      <c r="I1900" s="3"/>
      <c r="J1900" s="4" t="s">
        <v>1757</v>
      </c>
    </row>
    <row r="1901">
      <c r="A1901" s="4" t="s">
        <v>6433</v>
      </c>
      <c r="B1901" s="13" t="s">
        <v>48</v>
      </c>
      <c r="C1901" s="4">
        <v>2.0</v>
      </c>
      <c r="D1901" s="3"/>
      <c r="E1901" s="4">
        <v>2.0</v>
      </c>
      <c r="F1901" s="3"/>
      <c r="G1901" s="3"/>
      <c r="H1901" s="4">
        <v>13.0</v>
      </c>
      <c r="I1901" s="3"/>
      <c r="J1901" s="4" t="s">
        <v>1757</v>
      </c>
    </row>
    <row r="1902">
      <c r="A1902" s="4" t="s">
        <v>6434</v>
      </c>
      <c r="B1902" s="13" t="s">
        <v>48</v>
      </c>
      <c r="C1902" s="4">
        <v>2.0</v>
      </c>
      <c r="D1902" s="3"/>
      <c r="E1902" s="4">
        <v>2.0</v>
      </c>
      <c r="F1902" s="3"/>
      <c r="G1902" s="3"/>
      <c r="H1902" s="4">
        <v>13.0</v>
      </c>
      <c r="I1902" s="3"/>
      <c r="J1902" s="4" t="s">
        <v>1757</v>
      </c>
    </row>
    <row r="1903">
      <c r="A1903" s="4" t="s">
        <v>6435</v>
      </c>
      <c r="B1903" s="13" t="s">
        <v>48</v>
      </c>
      <c r="C1903" s="4">
        <v>2.0</v>
      </c>
      <c r="D1903" s="3"/>
      <c r="E1903" s="4">
        <v>2.0</v>
      </c>
      <c r="F1903" s="3"/>
      <c r="G1903" s="3"/>
      <c r="H1903" s="4">
        <v>13.0</v>
      </c>
      <c r="I1903" s="3"/>
      <c r="J1903" s="4" t="s">
        <v>1757</v>
      </c>
    </row>
    <row r="1904">
      <c r="A1904" s="4" t="s">
        <v>6436</v>
      </c>
      <c r="B1904" s="13" t="s">
        <v>48</v>
      </c>
      <c r="C1904" s="4">
        <v>2.0</v>
      </c>
      <c r="D1904" s="3"/>
      <c r="E1904" s="4">
        <v>2.0</v>
      </c>
      <c r="F1904" s="3"/>
      <c r="G1904" s="3"/>
      <c r="H1904" s="4">
        <v>13.0</v>
      </c>
      <c r="I1904" s="3"/>
      <c r="J1904" s="4" t="s">
        <v>1757</v>
      </c>
    </row>
    <row r="1905">
      <c r="A1905" s="4" t="s">
        <v>6437</v>
      </c>
      <c r="B1905" s="13" t="s">
        <v>48</v>
      </c>
      <c r="C1905" s="4">
        <v>2.0</v>
      </c>
      <c r="D1905" s="3"/>
      <c r="E1905" s="4">
        <v>2.0</v>
      </c>
      <c r="F1905" s="3"/>
      <c r="G1905" s="3"/>
      <c r="H1905" s="4">
        <v>13.0</v>
      </c>
      <c r="I1905" s="3"/>
      <c r="J1905" s="4" t="s">
        <v>1757</v>
      </c>
    </row>
    <row r="1906">
      <c r="A1906" s="4" t="s">
        <v>6438</v>
      </c>
      <c r="B1906" s="13" t="s">
        <v>48</v>
      </c>
      <c r="C1906" s="4">
        <v>2.0</v>
      </c>
      <c r="D1906" s="3"/>
      <c r="E1906" s="4">
        <v>2.0</v>
      </c>
      <c r="F1906" s="3"/>
      <c r="G1906" s="3"/>
      <c r="H1906" s="4">
        <v>13.0</v>
      </c>
      <c r="I1906" s="3"/>
      <c r="J1906" s="4" t="s">
        <v>1757</v>
      </c>
    </row>
    <row r="1907">
      <c r="A1907" s="4" t="s">
        <v>6439</v>
      </c>
      <c r="B1907" s="13" t="s">
        <v>48</v>
      </c>
      <c r="C1907" s="4">
        <v>2.0</v>
      </c>
      <c r="D1907" s="3"/>
      <c r="E1907" s="4">
        <v>2.0</v>
      </c>
      <c r="F1907" s="3"/>
      <c r="G1907" s="3"/>
      <c r="H1907" s="4">
        <v>13.0</v>
      </c>
      <c r="I1907" s="3"/>
      <c r="J1907" s="4" t="s">
        <v>1757</v>
      </c>
    </row>
    <row r="1908">
      <c r="A1908" s="4" t="s">
        <v>6440</v>
      </c>
      <c r="B1908" s="13" t="s">
        <v>48</v>
      </c>
      <c r="C1908" s="4">
        <v>2.0</v>
      </c>
      <c r="D1908" s="3"/>
      <c r="E1908" s="4">
        <v>2.0</v>
      </c>
      <c r="F1908" s="3"/>
      <c r="G1908" s="3"/>
      <c r="H1908" s="4">
        <v>13.0</v>
      </c>
      <c r="I1908" s="3"/>
      <c r="J1908" s="4" t="s">
        <v>1757</v>
      </c>
    </row>
    <row r="1909">
      <c r="A1909" s="4" t="s">
        <v>6441</v>
      </c>
      <c r="B1909" s="13" t="s">
        <v>48</v>
      </c>
      <c r="C1909" s="4">
        <v>2.0</v>
      </c>
      <c r="D1909" s="3"/>
      <c r="E1909" s="4">
        <v>2.0</v>
      </c>
      <c r="F1909" s="3"/>
      <c r="G1909" s="3"/>
      <c r="H1909" s="4">
        <v>13.0</v>
      </c>
      <c r="I1909" s="3"/>
      <c r="J1909" s="4" t="s">
        <v>1757</v>
      </c>
    </row>
    <row r="1910">
      <c r="A1910" s="4" t="s">
        <v>6442</v>
      </c>
      <c r="B1910" s="13" t="s">
        <v>48</v>
      </c>
      <c r="C1910" s="4">
        <v>2.0</v>
      </c>
      <c r="D1910" s="3"/>
      <c r="E1910" s="4">
        <v>2.0</v>
      </c>
      <c r="F1910" s="3"/>
      <c r="G1910" s="3"/>
      <c r="H1910" s="4">
        <v>13.0</v>
      </c>
      <c r="I1910" s="3"/>
      <c r="J1910" s="4" t="s">
        <v>1757</v>
      </c>
    </row>
    <row r="1911">
      <c r="A1911" s="4" t="s">
        <v>6443</v>
      </c>
      <c r="B1911" s="13" t="s">
        <v>48</v>
      </c>
      <c r="C1911" s="4">
        <v>2.0</v>
      </c>
      <c r="D1911" s="3"/>
      <c r="E1911" s="4">
        <v>2.0</v>
      </c>
      <c r="F1911" s="3"/>
      <c r="G1911" s="3"/>
      <c r="H1911" s="4">
        <v>13.0</v>
      </c>
      <c r="I1911" s="3"/>
      <c r="J1911" s="4" t="s">
        <v>1757</v>
      </c>
    </row>
    <row r="1912">
      <c r="A1912" s="4" t="s">
        <v>6444</v>
      </c>
      <c r="B1912" s="13" t="s">
        <v>48</v>
      </c>
      <c r="C1912" s="4">
        <v>2.0</v>
      </c>
      <c r="D1912" s="3"/>
      <c r="E1912" s="4">
        <v>2.0</v>
      </c>
      <c r="F1912" s="3"/>
      <c r="G1912" s="3"/>
      <c r="H1912" s="4">
        <v>13.0</v>
      </c>
      <c r="I1912" s="3"/>
      <c r="J1912" s="4" t="s">
        <v>1757</v>
      </c>
    </row>
    <row r="1913">
      <c r="A1913" s="4" t="s">
        <v>6445</v>
      </c>
      <c r="B1913" s="13" t="s">
        <v>48</v>
      </c>
      <c r="C1913" s="4">
        <v>2.0</v>
      </c>
      <c r="D1913" s="3"/>
      <c r="E1913" s="4">
        <v>2.0</v>
      </c>
      <c r="F1913" s="3"/>
      <c r="G1913" s="3"/>
      <c r="H1913" s="4">
        <v>13.0</v>
      </c>
      <c r="I1913" s="3"/>
      <c r="J1913" s="4" t="s">
        <v>1757</v>
      </c>
    </row>
    <row r="1914">
      <c r="A1914" s="4" t="s">
        <v>6446</v>
      </c>
      <c r="B1914" s="13" t="s">
        <v>48</v>
      </c>
      <c r="C1914" s="4">
        <v>2.0</v>
      </c>
      <c r="D1914" s="3"/>
      <c r="E1914" s="4">
        <v>2.0</v>
      </c>
      <c r="F1914" s="3"/>
      <c r="G1914" s="3"/>
      <c r="H1914" s="4">
        <v>13.0</v>
      </c>
      <c r="I1914" s="3"/>
      <c r="J1914" s="4" t="s">
        <v>1757</v>
      </c>
    </row>
    <row r="1915">
      <c r="A1915" s="4" t="s">
        <v>6447</v>
      </c>
      <c r="B1915" s="13" t="s">
        <v>48</v>
      </c>
      <c r="C1915" s="4">
        <v>2.0</v>
      </c>
      <c r="D1915" s="3"/>
      <c r="E1915" s="4">
        <v>2.0</v>
      </c>
      <c r="F1915" s="3"/>
      <c r="G1915" s="3"/>
      <c r="H1915" s="4">
        <v>13.0</v>
      </c>
      <c r="I1915" s="3"/>
      <c r="J1915" s="4" t="s">
        <v>1757</v>
      </c>
    </row>
    <row r="1916">
      <c r="A1916" s="4" t="s">
        <v>6448</v>
      </c>
      <c r="B1916" s="13" t="s">
        <v>48</v>
      </c>
      <c r="C1916" s="4">
        <v>2.0</v>
      </c>
      <c r="D1916" s="3"/>
      <c r="E1916" s="4">
        <v>2.0</v>
      </c>
      <c r="F1916" s="3"/>
      <c r="G1916" s="3"/>
      <c r="H1916" s="4">
        <v>13.0</v>
      </c>
      <c r="I1916" s="3"/>
      <c r="J1916" s="4" t="s">
        <v>1757</v>
      </c>
    </row>
    <row r="1917">
      <c r="A1917" s="4" t="s">
        <v>6449</v>
      </c>
      <c r="B1917" s="13" t="s">
        <v>48</v>
      </c>
      <c r="C1917" s="4">
        <v>2.0</v>
      </c>
      <c r="D1917" s="3"/>
      <c r="E1917" s="4">
        <v>2.0</v>
      </c>
      <c r="F1917" s="3"/>
      <c r="G1917" s="3"/>
      <c r="H1917" s="4">
        <v>13.0</v>
      </c>
      <c r="I1917" s="3"/>
      <c r="J1917" s="4" t="s">
        <v>1757</v>
      </c>
    </row>
    <row r="1918">
      <c r="A1918" s="4" t="s">
        <v>6450</v>
      </c>
      <c r="B1918" s="13" t="s">
        <v>48</v>
      </c>
      <c r="C1918" s="4">
        <v>2.0</v>
      </c>
      <c r="D1918" s="3"/>
      <c r="E1918" s="4">
        <v>2.0</v>
      </c>
      <c r="F1918" s="3"/>
      <c r="G1918" s="3"/>
      <c r="H1918" s="4">
        <v>13.0</v>
      </c>
      <c r="I1918" s="3"/>
      <c r="J1918" s="4" t="s">
        <v>1757</v>
      </c>
    </row>
    <row r="1919">
      <c r="A1919" s="4" t="s">
        <v>6451</v>
      </c>
      <c r="B1919" s="13" t="s">
        <v>48</v>
      </c>
      <c r="C1919" s="4">
        <v>2.0</v>
      </c>
      <c r="D1919" s="3"/>
      <c r="E1919" s="4">
        <v>2.0</v>
      </c>
      <c r="F1919" s="3"/>
      <c r="G1919" s="3"/>
      <c r="H1919" s="4">
        <v>13.0</v>
      </c>
      <c r="I1919" s="3"/>
      <c r="J1919" s="4" t="s">
        <v>1757</v>
      </c>
    </row>
    <row r="1920">
      <c r="A1920" s="4" t="s">
        <v>6452</v>
      </c>
      <c r="B1920" s="13" t="s">
        <v>48</v>
      </c>
      <c r="C1920" s="4">
        <v>2.0</v>
      </c>
      <c r="D1920" s="3"/>
      <c r="E1920" s="4">
        <v>2.0</v>
      </c>
      <c r="F1920" s="3"/>
      <c r="G1920" s="3"/>
      <c r="H1920" s="4">
        <v>13.0</v>
      </c>
      <c r="I1920" s="3"/>
      <c r="J1920" s="4" t="s">
        <v>1757</v>
      </c>
    </row>
    <row r="1921">
      <c r="A1921" s="4" t="s">
        <v>6453</v>
      </c>
      <c r="B1921" s="13" t="s">
        <v>48</v>
      </c>
      <c r="C1921" s="4">
        <v>2.0</v>
      </c>
      <c r="D1921" s="3"/>
      <c r="E1921" s="4">
        <v>2.0</v>
      </c>
      <c r="F1921" s="3"/>
      <c r="G1921" s="3"/>
      <c r="H1921" s="4">
        <v>13.0</v>
      </c>
      <c r="I1921" s="3"/>
      <c r="J1921" s="4" t="s">
        <v>1757</v>
      </c>
    </row>
    <row r="1922">
      <c r="A1922" s="4" t="s">
        <v>6454</v>
      </c>
      <c r="B1922" s="13" t="s">
        <v>48</v>
      </c>
      <c r="C1922" s="4">
        <v>2.0</v>
      </c>
      <c r="D1922" s="3"/>
      <c r="E1922" s="4">
        <v>2.0</v>
      </c>
      <c r="F1922" s="3"/>
      <c r="G1922" s="3"/>
      <c r="H1922" s="4">
        <v>13.0</v>
      </c>
      <c r="I1922" s="3"/>
      <c r="J1922" s="4" t="s">
        <v>1757</v>
      </c>
    </row>
    <row r="1923">
      <c r="A1923" s="4" t="s">
        <v>6455</v>
      </c>
      <c r="B1923" s="13" t="s">
        <v>48</v>
      </c>
      <c r="C1923" s="4">
        <v>2.0</v>
      </c>
      <c r="D1923" s="3"/>
      <c r="E1923" s="4">
        <v>2.0</v>
      </c>
      <c r="F1923" s="3"/>
      <c r="G1923" s="3"/>
      <c r="H1923" s="4">
        <v>13.0</v>
      </c>
      <c r="I1923" s="3"/>
      <c r="J1923" s="4" t="s">
        <v>1757</v>
      </c>
    </row>
    <row r="1924">
      <c r="A1924" s="4" t="s">
        <v>6456</v>
      </c>
      <c r="B1924" s="13" t="s">
        <v>48</v>
      </c>
      <c r="C1924" s="4">
        <v>2.0</v>
      </c>
      <c r="D1924" s="3"/>
      <c r="E1924" s="4">
        <v>2.0</v>
      </c>
      <c r="F1924" s="3"/>
      <c r="G1924" s="3"/>
      <c r="H1924" s="4">
        <v>13.0</v>
      </c>
      <c r="I1924" s="3"/>
      <c r="J1924" s="4" t="s">
        <v>1757</v>
      </c>
    </row>
    <row r="1925">
      <c r="A1925" s="4" t="s">
        <v>6457</v>
      </c>
      <c r="B1925" s="13" t="s">
        <v>48</v>
      </c>
      <c r="C1925" s="4">
        <v>1.0</v>
      </c>
      <c r="D1925" s="3"/>
      <c r="E1925" s="4">
        <v>2.0</v>
      </c>
      <c r="F1925" s="3"/>
      <c r="G1925" s="3"/>
      <c r="H1925" s="3"/>
      <c r="I1925" s="3"/>
      <c r="J1925" s="4" t="s">
        <v>1757</v>
      </c>
    </row>
    <row r="1926">
      <c r="A1926" s="4" t="s">
        <v>6458</v>
      </c>
      <c r="B1926" s="13" t="s">
        <v>48</v>
      </c>
      <c r="C1926" s="4">
        <v>1.0</v>
      </c>
      <c r="D1926" s="3"/>
      <c r="E1926" s="4">
        <v>2.0</v>
      </c>
      <c r="F1926" s="3"/>
      <c r="G1926" s="3"/>
      <c r="H1926" s="3"/>
      <c r="I1926" s="3"/>
      <c r="J1926" s="4" t="s">
        <v>1757</v>
      </c>
    </row>
    <row r="1927">
      <c r="A1927" s="4" t="s">
        <v>6459</v>
      </c>
      <c r="B1927" s="13" t="s">
        <v>48</v>
      </c>
      <c r="C1927" s="4">
        <v>1.0</v>
      </c>
      <c r="D1927" s="3"/>
      <c r="E1927" s="4">
        <v>2.0</v>
      </c>
      <c r="F1927" s="3"/>
      <c r="G1927" s="3"/>
      <c r="H1927" s="3"/>
      <c r="I1927" s="3"/>
      <c r="J1927" s="4" t="s">
        <v>1757</v>
      </c>
    </row>
    <row r="1928">
      <c r="A1928" s="4" t="s">
        <v>6460</v>
      </c>
      <c r="B1928" s="13" t="s">
        <v>43</v>
      </c>
      <c r="D1928" s="3"/>
      <c r="E1928" s="3"/>
      <c r="F1928" s="3"/>
      <c r="G1928" s="3"/>
      <c r="H1928" s="3"/>
      <c r="I1928" s="3"/>
      <c r="J1928" s="4" t="s">
        <v>1757</v>
      </c>
    </row>
    <row r="1929">
      <c r="A1929" s="4" t="s">
        <v>6461</v>
      </c>
      <c r="B1929" s="13" t="s">
        <v>43</v>
      </c>
      <c r="D1929" s="3"/>
      <c r="E1929" s="3"/>
      <c r="F1929" s="3"/>
      <c r="G1929" s="3"/>
      <c r="H1929" s="3"/>
      <c r="I1929" s="3"/>
      <c r="J1929" s="4" t="s">
        <v>1757</v>
      </c>
    </row>
    <row r="1930">
      <c r="A1930" s="4" t="s">
        <v>6462</v>
      </c>
      <c r="B1930" s="13" t="s">
        <v>43</v>
      </c>
      <c r="D1930" s="3"/>
      <c r="E1930" s="3"/>
      <c r="F1930" s="3"/>
      <c r="G1930" s="3"/>
      <c r="H1930" s="3"/>
      <c r="I1930" s="3"/>
      <c r="J1930" s="4" t="s">
        <v>1757</v>
      </c>
    </row>
    <row r="1931">
      <c r="A1931" s="4" t="s">
        <v>6463</v>
      </c>
      <c r="B1931" s="13" t="s">
        <v>43</v>
      </c>
      <c r="D1931" s="3"/>
      <c r="E1931" s="3"/>
      <c r="F1931" s="3"/>
      <c r="G1931" s="3"/>
      <c r="H1931" s="3"/>
      <c r="I1931" s="3"/>
      <c r="J1931" s="4" t="s">
        <v>1757</v>
      </c>
    </row>
    <row r="1932">
      <c r="A1932" s="4" t="s">
        <v>6464</v>
      </c>
      <c r="B1932" s="13" t="s">
        <v>43</v>
      </c>
      <c r="D1932" s="3"/>
      <c r="E1932" s="3"/>
      <c r="F1932" s="3"/>
      <c r="G1932" s="3"/>
      <c r="H1932" s="3"/>
      <c r="I1932" s="3"/>
      <c r="J1932" s="4" t="s">
        <v>1757</v>
      </c>
    </row>
    <row r="1933">
      <c r="A1933" s="4" t="s">
        <v>6465</v>
      </c>
      <c r="B1933" s="13" t="s">
        <v>43</v>
      </c>
      <c r="D1933" s="3"/>
      <c r="E1933" s="3"/>
      <c r="F1933" s="3"/>
      <c r="G1933" s="3"/>
      <c r="H1933" s="3"/>
      <c r="I1933" s="3"/>
      <c r="J1933" s="4" t="s">
        <v>1757</v>
      </c>
    </row>
    <row r="1934">
      <c r="A1934" s="4" t="s">
        <v>6466</v>
      </c>
      <c r="B1934" s="13" t="s">
        <v>43</v>
      </c>
      <c r="D1934" s="3"/>
      <c r="E1934" s="3"/>
      <c r="F1934" s="3"/>
      <c r="G1934" s="3"/>
      <c r="H1934" s="3"/>
      <c r="I1934" s="3"/>
      <c r="J1934" s="4" t="s">
        <v>1757</v>
      </c>
    </row>
    <row r="1935">
      <c r="A1935" s="4" t="s">
        <v>6467</v>
      </c>
      <c r="B1935" s="13" t="s">
        <v>43</v>
      </c>
      <c r="D1935" s="3"/>
      <c r="E1935" s="3"/>
      <c r="F1935" s="3"/>
      <c r="G1935" s="3"/>
      <c r="H1935" s="3"/>
      <c r="I1935" s="3"/>
      <c r="J1935" s="4" t="s">
        <v>1757</v>
      </c>
    </row>
    <row r="1936">
      <c r="A1936" s="4" t="s">
        <v>6468</v>
      </c>
      <c r="B1936" s="13" t="s">
        <v>43</v>
      </c>
      <c r="D1936" s="3"/>
      <c r="E1936" s="3"/>
      <c r="F1936" s="3"/>
      <c r="G1936" s="3"/>
      <c r="H1936" s="3"/>
      <c r="I1936" s="3"/>
      <c r="J1936" s="4" t="s">
        <v>1757</v>
      </c>
    </row>
    <row r="1937">
      <c r="A1937" s="4" t="s">
        <v>6469</v>
      </c>
      <c r="B1937" s="13" t="s">
        <v>43</v>
      </c>
      <c r="D1937" s="3"/>
      <c r="E1937" s="3"/>
      <c r="F1937" s="3"/>
      <c r="G1937" s="3"/>
      <c r="H1937" s="3"/>
      <c r="I1937" s="3"/>
      <c r="J1937" s="4" t="s">
        <v>1757</v>
      </c>
    </row>
    <row r="1938">
      <c r="A1938" s="4" t="s">
        <v>6470</v>
      </c>
      <c r="B1938" s="13" t="s">
        <v>43</v>
      </c>
      <c r="D1938" s="3"/>
      <c r="E1938" s="3"/>
      <c r="F1938" s="3"/>
      <c r="G1938" s="3"/>
      <c r="H1938" s="3"/>
      <c r="I1938" s="3"/>
      <c r="J1938" s="4" t="s">
        <v>1757</v>
      </c>
    </row>
    <row r="1939">
      <c r="A1939" s="4" t="s">
        <v>6471</v>
      </c>
      <c r="B1939" s="13" t="s">
        <v>43</v>
      </c>
      <c r="D1939" s="3"/>
      <c r="E1939" s="3"/>
      <c r="F1939" s="3"/>
      <c r="G1939" s="3"/>
      <c r="H1939" s="3"/>
      <c r="I1939" s="3"/>
      <c r="J1939" s="4" t="s">
        <v>1757</v>
      </c>
    </row>
    <row r="1940">
      <c r="A1940" s="4" t="s">
        <v>6472</v>
      </c>
      <c r="B1940" s="13" t="s">
        <v>43</v>
      </c>
      <c r="D1940" s="3"/>
      <c r="E1940" s="3"/>
      <c r="F1940" s="3"/>
      <c r="G1940" s="3"/>
      <c r="H1940" s="3"/>
      <c r="I1940" s="3"/>
      <c r="J1940" s="4" t="s">
        <v>1757</v>
      </c>
    </row>
    <row r="1941">
      <c r="A1941" s="4" t="s">
        <v>6473</v>
      </c>
      <c r="B1941" s="13" t="s">
        <v>43</v>
      </c>
      <c r="D1941" s="3"/>
      <c r="E1941" s="3"/>
      <c r="F1941" s="3"/>
      <c r="G1941" s="3"/>
      <c r="H1941" s="3"/>
      <c r="I1941" s="3"/>
      <c r="J1941" s="4" t="s">
        <v>1757</v>
      </c>
      <c r="K1941" s="4" t="s">
        <v>1757</v>
      </c>
    </row>
    <row r="1942">
      <c r="A1942" s="4" t="s">
        <v>6474</v>
      </c>
      <c r="B1942" s="13" t="s">
        <v>43</v>
      </c>
      <c r="D1942" s="3"/>
      <c r="E1942" s="3"/>
      <c r="F1942" s="3"/>
      <c r="G1942" s="3"/>
      <c r="H1942" s="3"/>
      <c r="I1942" s="3"/>
      <c r="J1942" s="4" t="s">
        <v>1757</v>
      </c>
      <c r="K1942" s="4" t="s">
        <v>1757</v>
      </c>
    </row>
    <row r="1943">
      <c r="A1943" s="4" t="s">
        <v>6475</v>
      </c>
      <c r="B1943" s="13" t="s">
        <v>43</v>
      </c>
      <c r="D1943" s="3"/>
      <c r="E1943" s="3"/>
      <c r="F1943" s="3"/>
      <c r="G1943" s="3"/>
      <c r="H1943" s="3"/>
      <c r="I1943" s="3"/>
      <c r="J1943" s="4" t="s">
        <v>1757</v>
      </c>
      <c r="K1943" s="4" t="s">
        <v>1757</v>
      </c>
    </row>
    <row r="1944">
      <c r="A1944" s="4" t="s">
        <v>6476</v>
      </c>
      <c r="B1944" s="13" t="s">
        <v>43</v>
      </c>
      <c r="D1944" s="3"/>
      <c r="E1944" s="3"/>
      <c r="F1944" s="3"/>
      <c r="G1944" s="3"/>
      <c r="H1944" s="3"/>
      <c r="I1944" s="3"/>
      <c r="J1944" s="4" t="s">
        <v>1757</v>
      </c>
      <c r="K1944" s="4" t="s">
        <v>1757</v>
      </c>
    </row>
    <row r="1945">
      <c r="A1945" s="4" t="s">
        <v>6477</v>
      </c>
      <c r="B1945" s="13" t="s">
        <v>43</v>
      </c>
      <c r="D1945" s="3"/>
      <c r="E1945" s="3"/>
      <c r="F1945" s="3"/>
      <c r="G1945" s="3"/>
      <c r="H1945" s="3"/>
      <c r="I1945" s="3"/>
      <c r="J1945" s="4" t="s">
        <v>1757</v>
      </c>
      <c r="K1945" s="4" t="s">
        <v>1757</v>
      </c>
    </row>
    <row r="1946">
      <c r="A1946" s="4" t="s">
        <v>6478</v>
      </c>
      <c r="B1946" s="13" t="s">
        <v>43</v>
      </c>
      <c r="D1946" s="3"/>
      <c r="E1946" s="3"/>
      <c r="F1946" s="3"/>
      <c r="G1946" s="3"/>
      <c r="H1946" s="3"/>
      <c r="I1946" s="3"/>
      <c r="J1946" s="4" t="s">
        <v>1757</v>
      </c>
      <c r="K1946" s="4" t="s">
        <v>1757</v>
      </c>
    </row>
    <row r="1947">
      <c r="A1947" s="4" t="s">
        <v>6479</v>
      </c>
      <c r="B1947" s="13" t="s">
        <v>43</v>
      </c>
      <c r="D1947" s="3"/>
      <c r="E1947" s="3"/>
      <c r="F1947" s="3"/>
      <c r="G1947" s="3"/>
      <c r="H1947" s="3"/>
      <c r="I1947" s="3"/>
      <c r="J1947" s="4" t="s">
        <v>1757</v>
      </c>
      <c r="K1947" s="4" t="s">
        <v>1757</v>
      </c>
    </row>
    <row r="1948">
      <c r="A1948" s="4" t="s">
        <v>6480</v>
      </c>
      <c r="B1948" s="13" t="s">
        <v>43</v>
      </c>
      <c r="D1948" s="3"/>
      <c r="E1948" s="3"/>
      <c r="F1948" s="3"/>
      <c r="G1948" s="3"/>
      <c r="H1948" s="3"/>
      <c r="I1948" s="3"/>
      <c r="J1948" s="4" t="s">
        <v>1757</v>
      </c>
      <c r="K1948" s="4" t="s">
        <v>1757</v>
      </c>
    </row>
    <row r="1949">
      <c r="A1949" s="4" t="s">
        <v>6481</v>
      </c>
      <c r="B1949" s="13" t="s">
        <v>43</v>
      </c>
      <c r="D1949" s="3"/>
      <c r="E1949" s="3"/>
      <c r="F1949" s="3"/>
      <c r="G1949" s="3"/>
      <c r="H1949" s="3"/>
      <c r="I1949" s="3"/>
      <c r="J1949" s="4" t="s">
        <v>1757</v>
      </c>
      <c r="K1949" s="4" t="s">
        <v>1757</v>
      </c>
    </row>
    <row r="1950">
      <c r="A1950" s="4" t="s">
        <v>6482</v>
      </c>
      <c r="B1950" s="13" t="s">
        <v>43</v>
      </c>
      <c r="D1950" s="3"/>
      <c r="E1950" s="3"/>
      <c r="F1950" s="3"/>
      <c r="G1950" s="3"/>
      <c r="H1950" s="3"/>
      <c r="I1950" s="3"/>
      <c r="J1950" s="4" t="s">
        <v>1757</v>
      </c>
      <c r="K1950" s="4" t="s">
        <v>1757</v>
      </c>
    </row>
    <row r="1951">
      <c r="A1951" s="4" t="s">
        <v>6483</v>
      </c>
      <c r="B1951" s="13" t="s">
        <v>43</v>
      </c>
      <c r="D1951" s="3"/>
      <c r="E1951" s="3"/>
      <c r="F1951" s="3"/>
      <c r="G1951" s="3"/>
      <c r="H1951" s="3"/>
      <c r="I1951" s="3"/>
      <c r="J1951" s="4" t="s">
        <v>1757</v>
      </c>
      <c r="K1951" s="4" t="s">
        <v>1757</v>
      </c>
    </row>
    <row r="1952">
      <c r="A1952" s="4" t="s">
        <v>6484</v>
      </c>
      <c r="B1952" s="13" t="s">
        <v>43</v>
      </c>
      <c r="D1952" s="3"/>
      <c r="E1952" s="3"/>
      <c r="F1952" s="3"/>
      <c r="G1952" s="3"/>
      <c r="H1952" s="3"/>
      <c r="I1952" s="3"/>
      <c r="J1952" s="4" t="s">
        <v>1757</v>
      </c>
      <c r="K1952" s="4" t="s">
        <v>1757</v>
      </c>
    </row>
    <row r="1953">
      <c r="A1953" s="4" t="s">
        <v>6485</v>
      </c>
      <c r="B1953" s="13" t="s">
        <v>43</v>
      </c>
      <c r="D1953" s="3"/>
      <c r="E1953" s="3"/>
      <c r="F1953" s="3"/>
      <c r="G1953" s="3"/>
      <c r="H1953" s="3"/>
      <c r="I1953" s="3"/>
      <c r="J1953" s="4" t="s">
        <v>1757</v>
      </c>
      <c r="K1953" s="4" t="s">
        <v>1757</v>
      </c>
    </row>
    <row r="1954">
      <c r="A1954" s="4" t="s">
        <v>6486</v>
      </c>
      <c r="B1954" s="13" t="s">
        <v>43</v>
      </c>
      <c r="D1954" s="3"/>
      <c r="E1954" s="3"/>
      <c r="F1954" s="3"/>
      <c r="G1954" s="3"/>
      <c r="H1954" s="3"/>
      <c r="I1954" s="3"/>
      <c r="J1954" s="4" t="s">
        <v>1757</v>
      </c>
      <c r="K1954" s="4" t="s">
        <v>1757</v>
      </c>
    </row>
    <row r="1955">
      <c r="A1955" s="4" t="s">
        <v>6487</v>
      </c>
      <c r="B1955" s="13" t="s">
        <v>43</v>
      </c>
      <c r="D1955" s="3"/>
      <c r="E1955" s="3"/>
      <c r="F1955" s="3"/>
      <c r="G1955" s="3"/>
      <c r="H1955" s="3"/>
      <c r="I1955" s="3"/>
      <c r="J1955" s="4" t="s">
        <v>1757</v>
      </c>
      <c r="K1955" s="4" t="s">
        <v>1757</v>
      </c>
    </row>
    <row r="1956">
      <c r="A1956" s="4" t="s">
        <v>6488</v>
      </c>
      <c r="B1956" s="13" t="s">
        <v>43</v>
      </c>
      <c r="D1956" s="3"/>
      <c r="E1956" s="3"/>
      <c r="F1956" s="3"/>
      <c r="G1956" s="3"/>
      <c r="H1956" s="3"/>
      <c r="I1956" s="3"/>
      <c r="J1956" s="4" t="s">
        <v>1757</v>
      </c>
      <c r="K1956" s="4" t="s">
        <v>1757</v>
      </c>
    </row>
    <row r="1957">
      <c r="A1957" s="4" t="s">
        <v>6489</v>
      </c>
      <c r="B1957" s="13" t="s">
        <v>43</v>
      </c>
      <c r="D1957" s="3"/>
      <c r="E1957" s="3"/>
      <c r="F1957" s="3"/>
      <c r="G1957" s="3"/>
      <c r="H1957" s="3"/>
      <c r="I1957" s="3"/>
      <c r="J1957" s="4" t="s">
        <v>1757</v>
      </c>
      <c r="K1957" s="4" t="s">
        <v>1757</v>
      </c>
    </row>
    <row r="1958">
      <c r="A1958" s="4" t="s">
        <v>6490</v>
      </c>
      <c r="B1958" s="13" t="s">
        <v>43</v>
      </c>
      <c r="D1958" s="3"/>
      <c r="E1958" s="3"/>
      <c r="F1958" s="3"/>
      <c r="G1958" s="3"/>
      <c r="H1958" s="3"/>
      <c r="I1958" s="3"/>
      <c r="J1958" s="4" t="s">
        <v>1757</v>
      </c>
      <c r="K1958" s="4" t="s">
        <v>1757</v>
      </c>
    </row>
    <row r="1959">
      <c r="A1959" s="4" t="s">
        <v>6491</v>
      </c>
      <c r="B1959" s="13" t="s">
        <v>43</v>
      </c>
      <c r="D1959" s="3"/>
      <c r="E1959" s="3"/>
      <c r="F1959" s="3"/>
      <c r="G1959" s="3"/>
      <c r="H1959" s="3"/>
      <c r="I1959" s="3"/>
      <c r="J1959" s="4" t="s">
        <v>1757</v>
      </c>
      <c r="K1959" s="4" t="s">
        <v>1757</v>
      </c>
    </row>
    <row r="1960">
      <c r="A1960" s="4" t="s">
        <v>6492</v>
      </c>
      <c r="B1960" s="13" t="s">
        <v>43</v>
      </c>
      <c r="D1960" s="3"/>
      <c r="E1960" s="3"/>
      <c r="F1960" s="3"/>
      <c r="G1960" s="3"/>
      <c r="H1960" s="3"/>
      <c r="I1960" s="3"/>
      <c r="J1960" s="4" t="s">
        <v>1757</v>
      </c>
      <c r="K1960" s="4" t="s">
        <v>1757</v>
      </c>
    </row>
    <row r="1961">
      <c r="A1961" s="4" t="s">
        <v>6493</v>
      </c>
      <c r="B1961" s="13" t="s">
        <v>43</v>
      </c>
      <c r="D1961" s="3"/>
      <c r="E1961" s="3"/>
      <c r="F1961" s="3"/>
      <c r="G1961" s="3"/>
      <c r="H1961" s="3"/>
      <c r="I1961" s="3"/>
      <c r="J1961" s="4" t="s">
        <v>1757</v>
      </c>
    </row>
    <row r="1962">
      <c r="A1962" s="4" t="s">
        <v>6494</v>
      </c>
      <c r="B1962" s="13" t="s">
        <v>43</v>
      </c>
      <c r="D1962" s="3"/>
      <c r="E1962" s="3"/>
      <c r="F1962" s="3"/>
      <c r="G1962" s="3"/>
      <c r="H1962" s="3"/>
      <c r="I1962" s="3"/>
      <c r="J1962" s="4" t="s">
        <v>1757</v>
      </c>
    </row>
    <row r="1963">
      <c r="A1963" s="4" t="s">
        <v>6495</v>
      </c>
      <c r="B1963" s="13" t="s">
        <v>43</v>
      </c>
      <c r="D1963" s="3"/>
      <c r="E1963" s="3"/>
      <c r="F1963" s="3"/>
      <c r="G1963" s="3"/>
      <c r="H1963" s="3"/>
      <c r="I1963" s="3"/>
      <c r="J1963" s="4" t="s">
        <v>1757</v>
      </c>
    </row>
    <row r="1964">
      <c r="A1964" s="4" t="s">
        <v>6496</v>
      </c>
      <c r="B1964" s="13" t="s">
        <v>43</v>
      </c>
      <c r="D1964" s="3"/>
      <c r="E1964" s="3"/>
      <c r="F1964" s="3"/>
      <c r="G1964" s="3"/>
      <c r="H1964" s="3"/>
      <c r="I1964" s="3"/>
      <c r="J1964" s="4" t="s">
        <v>1757</v>
      </c>
    </row>
    <row r="1965">
      <c r="A1965" s="4" t="s">
        <v>6497</v>
      </c>
      <c r="B1965" s="13" t="s">
        <v>43</v>
      </c>
      <c r="D1965" s="3"/>
      <c r="E1965" s="3"/>
      <c r="F1965" s="3"/>
      <c r="G1965" s="3"/>
      <c r="H1965" s="3"/>
      <c r="I1965" s="3"/>
      <c r="J1965" s="4" t="s">
        <v>1757</v>
      </c>
    </row>
    <row r="1966">
      <c r="A1966" s="4" t="s">
        <v>6498</v>
      </c>
      <c r="B1966" s="13" t="s">
        <v>43</v>
      </c>
      <c r="D1966" s="3"/>
      <c r="E1966" s="3"/>
      <c r="F1966" s="3"/>
      <c r="G1966" s="3"/>
      <c r="H1966" s="3"/>
      <c r="I1966" s="3"/>
      <c r="J1966" s="4" t="s">
        <v>1757</v>
      </c>
    </row>
    <row r="1967">
      <c r="A1967" s="4" t="s">
        <v>6499</v>
      </c>
      <c r="B1967" s="13" t="s">
        <v>43</v>
      </c>
      <c r="D1967" s="3"/>
      <c r="E1967" s="3"/>
      <c r="F1967" s="3"/>
      <c r="G1967" s="3"/>
      <c r="H1967" s="3"/>
      <c r="I1967" s="3"/>
      <c r="J1967" s="4" t="s">
        <v>1757</v>
      </c>
    </row>
    <row r="1968">
      <c r="A1968" s="4" t="s">
        <v>6500</v>
      </c>
      <c r="B1968" s="13" t="s">
        <v>43</v>
      </c>
      <c r="D1968" s="3"/>
      <c r="E1968" s="3"/>
      <c r="F1968" s="3"/>
      <c r="G1968" s="3"/>
      <c r="H1968" s="3"/>
      <c r="I1968" s="3"/>
      <c r="J1968" s="4" t="s">
        <v>1757</v>
      </c>
    </row>
    <row r="1969">
      <c r="A1969" s="4" t="s">
        <v>6501</v>
      </c>
      <c r="B1969" s="13" t="s">
        <v>43</v>
      </c>
      <c r="D1969" s="3"/>
      <c r="E1969" s="3"/>
      <c r="F1969" s="3"/>
      <c r="G1969" s="3"/>
      <c r="H1969" s="3"/>
      <c r="I1969" s="3"/>
      <c r="J1969" s="4" t="s">
        <v>1757</v>
      </c>
    </row>
    <row r="1970">
      <c r="A1970" s="4" t="s">
        <v>6502</v>
      </c>
      <c r="B1970" s="13" t="s">
        <v>43</v>
      </c>
      <c r="D1970" s="3"/>
      <c r="E1970" s="3"/>
      <c r="F1970" s="3"/>
      <c r="G1970" s="3"/>
      <c r="H1970" s="3"/>
      <c r="I1970" s="3"/>
      <c r="J1970" s="4" t="s">
        <v>1757</v>
      </c>
    </row>
    <row r="1971">
      <c r="A1971" s="4" t="s">
        <v>6503</v>
      </c>
      <c r="B1971" s="13" t="s">
        <v>43</v>
      </c>
      <c r="D1971" s="3"/>
      <c r="E1971" s="3"/>
      <c r="F1971" s="3"/>
      <c r="G1971" s="3"/>
      <c r="H1971" s="3"/>
      <c r="I1971" s="3"/>
      <c r="J1971" s="4" t="s">
        <v>1757</v>
      </c>
    </row>
    <row r="1972">
      <c r="A1972" s="4" t="s">
        <v>6504</v>
      </c>
      <c r="B1972" s="13" t="s">
        <v>43</v>
      </c>
      <c r="D1972" s="3"/>
      <c r="E1972" s="3"/>
      <c r="F1972" s="3"/>
      <c r="G1972" s="3"/>
      <c r="H1972" s="3"/>
      <c r="I1972" s="3"/>
      <c r="J1972" s="4" t="s">
        <v>1757</v>
      </c>
    </row>
    <row r="1973">
      <c r="A1973" s="4" t="s">
        <v>6505</v>
      </c>
      <c r="B1973" s="13" t="s">
        <v>43</v>
      </c>
      <c r="D1973" s="3"/>
      <c r="E1973" s="3"/>
      <c r="F1973" s="3"/>
      <c r="G1973" s="3"/>
      <c r="H1973" s="3"/>
      <c r="I1973" s="3"/>
      <c r="J1973" s="4" t="s">
        <v>1757</v>
      </c>
    </row>
    <row r="1974">
      <c r="A1974" s="4" t="s">
        <v>6506</v>
      </c>
      <c r="B1974" s="13" t="s">
        <v>43</v>
      </c>
      <c r="D1974" s="3"/>
      <c r="E1974" s="3"/>
      <c r="F1974" s="3"/>
      <c r="G1974" s="3"/>
      <c r="H1974" s="3"/>
      <c r="I1974" s="3"/>
      <c r="J1974" s="4" t="s">
        <v>1757</v>
      </c>
    </row>
    <row r="1975">
      <c r="A1975" s="4" t="s">
        <v>6507</v>
      </c>
      <c r="B1975" s="13" t="s">
        <v>43</v>
      </c>
      <c r="D1975" s="3"/>
      <c r="E1975" s="3"/>
      <c r="F1975" s="3"/>
      <c r="G1975" s="3"/>
      <c r="H1975" s="3"/>
      <c r="I1975" s="3"/>
      <c r="J1975" s="4" t="s">
        <v>1757</v>
      </c>
    </row>
    <row r="1976">
      <c r="A1976" s="4" t="s">
        <v>6508</v>
      </c>
      <c r="B1976" s="13" t="s">
        <v>43</v>
      </c>
      <c r="D1976" s="3"/>
      <c r="E1976" s="3"/>
      <c r="F1976" s="3"/>
      <c r="G1976" s="3"/>
      <c r="H1976" s="3"/>
      <c r="I1976" s="3"/>
      <c r="J1976" s="4" t="s">
        <v>1757</v>
      </c>
    </row>
    <row r="1977">
      <c r="A1977" s="4" t="s">
        <v>6509</v>
      </c>
      <c r="B1977" s="13" t="s">
        <v>43</v>
      </c>
      <c r="D1977" s="3"/>
      <c r="E1977" s="3"/>
      <c r="F1977" s="3"/>
      <c r="G1977" s="3"/>
      <c r="H1977" s="3"/>
      <c r="I1977" s="3"/>
      <c r="J1977" s="4" t="s">
        <v>1757</v>
      </c>
    </row>
    <row r="1978">
      <c r="A1978" s="4" t="s">
        <v>6510</v>
      </c>
      <c r="B1978" s="13" t="s">
        <v>43</v>
      </c>
      <c r="D1978" s="3"/>
      <c r="E1978" s="3"/>
      <c r="F1978" s="3"/>
      <c r="G1978" s="3"/>
      <c r="H1978" s="3"/>
      <c r="I1978" s="3"/>
      <c r="J1978" s="4" t="s">
        <v>1757</v>
      </c>
    </row>
    <row r="1979">
      <c r="A1979" s="4" t="s">
        <v>6511</v>
      </c>
      <c r="B1979" s="13" t="s">
        <v>43</v>
      </c>
      <c r="D1979" s="3"/>
      <c r="E1979" s="3"/>
      <c r="F1979" s="3"/>
      <c r="G1979" s="3"/>
      <c r="H1979" s="3"/>
      <c r="I1979" s="3"/>
      <c r="J1979" s="4" t="s">
        <v>1757</v>
      </c>
    </row>
    <row r="1980">
      <c r="A1980" s="4" t="s">
        <v>6512</v>
      </c>
      <c r="B1980" s="13" t="s">
        <v>43</v>
      </c>
      <c r="D1980" s="3"/>
      <c r="E1980" s="3"/>
      <c r="F1980" s="3"/>
      <c r="G1980" s="3"/>
      <c r="H1980" s="3"/>
      <c r="I1980" s="3"/>
      <c r="J1980" s="4" t="s">
        <v>1757</v>
      </c>
    </row>
    <row r="1981">
      <c r="A1981" s="4" t="s">
        <v>6513</v>
      </c>
      <c r="B1981" s="13" t="s">
        <v>43</v>
      </c>
      <c r="D1981" s="3"/>
      <c r="E1981" s="3"/>
      <c r="F1981" s="3"/>
      <c r="G1981" s="3"/>
      <c r="H1981" s="3"/>
      <c r="I1981" s="3"/>
      <c r="J1981" s="4" t="s">
        <v>1757</v>
      </c>
    </row>
    <row r="1982">
      <c r="A1982" s="4" t="s">
        <v>6514</v>
      </c>
      <c r="B1982" s="13" t="s">
        <v>43</v>
      </c>
      <c r="D1982" s="3"/>
      <c r="E1982" s="3"/>
      <c r="F1982" s="3"/>
      <c r="G1982" s="3"/>
      <c r="H1982" s="3"/>
      <c r="I1982" s="3"/>
      <c r="J1982" s="4" t="s">
        <v>1757</v>
      </c>
    </row>
    <row r="1983">
      <c r="A1983" s="4" t="s">
        <v>6515</v>
      </c>
      <c r="B1983" s="13" t="s">
        <v>43</v>
      </c>
      <c r="D1983" s="3"/>
      <c r="E1983" s="3"/>
      <c r="F1983" s="3"/>
      <c r="G1983" s="3"/>
      <c r="H1983" s="3"/>
      <c r="I1983" s="3"/>
      <c r="J1983" s="4" t="s">
        <v>1757</v>
      </c>
    </row>
    <row r="1984">
      <c r="A1984" s="4" t="s">
        <v>6516</v>
      </c>
      <c r="B1984" s="13" t="s">
        <v>43</v>
      </c>
      <c r="D1984" s="3"/>
      <c r="E1984" s="3"/>
      <c r="F1984" s="3"/>
      <c r="G1984" s="3"/>
      <c r="H1984" s="3"/>
      <c r="I1984" s="3"/>
      <c r="J1984" s="4" t="s">
        <v>1757</v>
      </c>
    </row>
    <row r="1985">
      <c r="A1985" s="4" t="s">
        <v>6517</v>
      </c>
      <c r="B1985" s="13" t="s">
        <v>43</v>
      </c>
      <c r="D1985" s="3"/>
      <c r="E1985" s="3"/>
      <c r="F1985" s="3"/>
      <c r="G1985" s="3"/>
      <c r="H1985" s="3"/>
      <c r="I1985" s="3"/>
      <c r="J1985" s="4" t="s">
        <v>1757</v>
      </c>
    </row>
    <row r="1986">
      <c r="A1986" s="4" t="s">
        <v>6518</v>
      </c>
      <c r="B1986" s="13" t="s">
        <v>43</v>
      </c>
      <c r="D1986" s="3"/>
      <c r="E1986" s="3"/>
      <c r="F1986" s="3"/>
      <c r="G1986" s="3"/>
      <c r="H1986" s="3"/>
      <c r="I1986" s="3"/>
      <c r="J1986" s="4" t="s">
        <v>1757</v>
      </c>
    </row>
    <row r="1987">
      <c r="A1987" s="4" t="s">
        <v>6519</v>
      </c>
      <c r="B1987" s="13" t="s">
        <v>43</v>
      </c>
      <c r="D1987" s="3"/>
      <c r="E1987" s="3"/>
      <c r="F1987" s="3"/>
      <c r="G1987" s="3"/>
      <c r="H1987" s="3"/>
      <c r="I1987" s="3"/>
      <c r="J1987" s="4" t="s">
        <v>1757</v>
      </c>
    </row>
    <row r="1988">
      <c r="A1988" s="4" t="s">
        <v>6520</v>
      </c>
      <c r="B1988" s="13" t="s">
        <v>43</v>
      </c>
      <c r="D1988" s="3"/>
      <c r="E1988" s="3"/>
      <c r="F1988" s="3"/>
      <c r="G1988" s="3"/>
      <c r="H1988" s="3"/>
      <c r="I1988" s="3"/>
      <c r="J1988" s="4" t="s">
        <v>1757</v>
      </c>
    </row>
    <row r="1989">
      <c r="A1989" s="4" t="s">
        <v>6521</v>
      </c>
      <c r="B1989" s="13" t="s">
        <v>43</v>
      </c>
      <c r="D1989" s="3"/>
      <c r="E1989" s="3"/>
      <c r="F1989" s="3"/>
      <c r="G1989" s="3"/>
      <c r="H1989" s="3"/>
      <c r="I1989" s="3"/>
      <c r="J1989" s="4" t="s">
        <v>1757</v>
      </c>
    </row>
    <row r="1990">
      <c r="A1990" s="4" t="s">
        <v>6522</v>
      </c>
      <c r="B1990" s="13" t="s">
        <v>43</v>
      </c>
      <c r="D1990" s="3"/>
      <c r="E1990" s="3"/>
      <c r="F1990" s="3"/>
      <c r="G1990" s="3"/>
      <c r="H1990" s="3"/>
      <c r="I1990" s="3"/>
      <c r="J1990" s="4" t="s">
        <v>1757</v>
      </c>
    </row>
    <row r="1991">
      <c r="A1991" s="4" t="s">
        <v>6523</v>
      </c>
      <c r="B1991" s="13" t="s">
        <v>43</v>
      </c>
      <c r="D1991" s="3"/>
      <c r="E1991" s="3"/>
      <c r="F1991" s="3"/>
      <c r="G1991" s="3"/>
      <c r="H1991" s="3"/>
      <c r="I1991" s="3"/>
      <c r="J1991" s="4" t="s">
        <v>1757</v>
      </c>
    </row>
    <row r="1992">
      <c r="A1992" s="4" t="s">
        <v>6524</v>
      </c>
      <c r="B1992" s="13" t="s">
        <v>43</v>
      </c>
      <c r="D1992" s="3"/>
      <c r="E1992" s="3"/>
      <c r="F1992" s="3"/>
      <c r="G1992" s="3"/>
      <c r="H1992" s="3"/>
      <c r="I1992" s="3"/>
      <c r="J1992" s="4" t="s">
        <v>1757</v>
      </c>
    </row>
    <row r="1993">
      <c r="A1993" s="4" t="s">
        <v>6525</v>
      </c>
      <c r="B1993" s="13" t="s">
        <v>43</v>
      </c>
      <c r="D1993" s="3"/>
      <c r="E1993" s="3"/>
      <c r="F1993" s="3"/>
      <c r="G1993" s="3"/>
      <c r="H1993" s="3"/>
      <c r="I1993" s="3"/>
      <c r="J1993" s="4" t="s">
        <v>1757</v>
      </c>
    </row>
    <row r="1994">
      <c r="A1994" s="4" t="s">
        <v>6526</v>
      </c>
      <c r="B1994" s="13" t="s">
        <v>43</v>
      </c>
      <c r="D1994" s="3"/>
      <c r="E1994" s="3"/>
      <c r="F1994" s="3"/>
      <c r="G1994" s="3"/>
      <c r="H1994" s="3"/>
      <c r="I1994" s="3"/>
      <c r="J1994" s="4" t="s">
        <v>1757</v>
      </c>
    </row>
    <row r="1995">
      <c r="A1995" s="4" t="s">
        <v>6527</v>
      </c>
      <c r="B1995" s="13" t="s">
        <v>43</v>
      </c>
      <c r="D1995" s="3"/>
      <c r="E1995" s="3"/>
      <c r="F1995" s="3"/>
      <c r="G1995" s="3"/>
      <c r="H1995" s="3"/>
      <c r="I1995" s="3"/>
      <c r="J1995" s="4" t="s">
        <v>1757</v>
      </c>
    </row>
    <row r="1996">
      <c r="A1996" s="4" t="s">
        <v>6528</v>
      </c>
      <c r="B1996" s="13" t="s">
        <v>43</v>
      </c>
      <c r="D1996" s="3"/>
      <c r="E1996" s="3"/>
      <c r="F1996" s="3"/>
      <c r="G1996" s="3"/>
      <c r="H1996" s="3"/>
      <c r="I1996" s="3"/>
      <c r="J1996" s="4" t="s">
        <v>1757</v>
      </c>
    </row>
    <row r="1997">
      <c r="A1997" s="4" t="s">
        <v>6529</v>
      </c>
      <c r="B1997" s="13" t="s">
        <v>43</v>
      </c>
      <c r="D1997" s="3"/>
      <c r="E1997" s="3"/>
      <c r="F1997" s="3"/>
      <c r="G1997" s="3"/>
      <c r="H1997" s="3"/>
      <c r="I1997" s="3"/>
      <c r="J1997" s="4" t="s">
        <v>1757</v>
      </c>
    </row>
    <row r="1998">
      <c r="A1998" s="4" t="s">
        <v>6530</v>
      </c>
      <c r="B1998" s="13" t="s">
        <v>43</v>
      </c>
      <c r="D1998" s="3"/>
      <c r="E1998" s="3"/>
      <c r="F1998" s="3"/>
      <c r="G1998" s="3"/>
      <c r="H1998" s="3"/>
      <c r="I1998" s="3"/>
      <c r="J1998" s="4" t="s">
        <v>1757</v>
      </c>
    </row>
    <row r="1999">
      <c r="A1999" s="4" t="s">
        <v>6531</v>
      </c>
      <c r="B1999" s="13" t="s">
        <v>43</v>
      </c>
      <c r="D1999" s="3"/>
      <c r="E1999" s="3"/>
      <c r="F1999" s="3"/>
      <c r="G1999" s="3"/>
      <c r="H1999" s="3"/>
      <c r="I1999" s="3"/>
      <c r="J1999" s="4" t="s">
        <v>1757</v>
      </c>
    </row>
    <row r="2000">
      <c r="A2000" s="4" t="s">
        <v>6532</v>
      </c>
      <c r="B2000" s="13" t="s">
        <v>43</v>
      </c>
      <c r="D2000" s="3"/>
      <c r="E2000" s="3"/>
      <c r="F2000" s="3"/>
      <c r="G2000" s="3"/>
      <c r="H2000" s="3"/>
      <c r="I2000" s="3"/>
      <c r="J2000" s="4" t="s">
        <v>1757</v>
      </c>
    </row>
    <row r="2001">
      <c r="A2001" s="4" t="s">
        <v>6533</v>
      </c>
      <c r="B2001" s="13" t="s">
        <v>43</v>
      </c>
      <c r="D2001" s="3"/>
      <c r="E2001" s="3"/>
      <c r="F2001" s="3"/>
      <c r="G2001" s="3"/>
      <c r="H2001" s="3"/>
      <c r="I2001" s="3"/>
      <c r="J2001" s="4" t="s">
        <v>1757</v>
      </c>
    </row>
    <row r="2002">
      <c r="A2002" s="4" t="s">
        <v>6534</v>
      </c>
      <c r="B2002" s="13" t="s">
        <v>43</v>
      </c>
      <c r="D2002" s="3"/>
      <c r="E2002" s="3"/>
      <c r="F2002" s="3"/>
      <c r="G2002" s="3"/>
      <c r="H2002" s="3"/>
      <c r="I2002" s="3"/>
      <c r="J2002" s="4" t="s">
        <v>1757</v>
      </c>
    </row>
    <row r="2003">
      <c r="A2003" s="4" t="s">
        <v>6535</v>
      </c>
      <c r="B2003" s="13" t="s">
        <v>43</v>
      </c>
      <c r="D2003" s="3"/>
      <c r="E2003" s="3"/>
      <c r="F2003" s="3"/>
      <c r="G2003" s="3"/>
      <c r="H2003" s="3"/>
      <c r="I2003" s="3"/>
      <c r="J2003" s="4" t="s">
        <v>1757</v>
      </c>
    </row>
    <row r="2004">
      <c r="A2004" s="4" t="s">
        <v>6536</v>
      </c>
      <c r="B2004" s="13" t="s">
        <v>43</v>
      </c>
      <c r="D2004" s="3"/>
      <c r="E2004" s="3"/>
      <c r="F2004" s="3"/>
      <c r="G2004" s="3"/>
      <c r="H2004" s="3"/>
      <c r="I2004" s="3"/>
      <c r="J2004" s="4" t="s">
        <v>1757</v>
      </c>
    </row>
    <row r="2005">
      <c r="A2005" s="4" t="s">
        <v>6537</v>
      </c>
      <c r="B2005" s="13" t="s">
        <v>43</v>
      </c>
      <c r="D2005" s="3"/>
      <c r="E2005" s="3"/>
      <c r="F2005" s="3"/>
      <c r="G2005" s="3"/>
      <c r="H2005" s="3"/>
      <c r="I2005" s="3"/>
      <c r="J2005" s="4" t="s">
        <v>1757</v>
      </c>
    </row>
    <row r="2006">
      <c r="A2006" s="4" t="s">
        <v>6538</v>
      </c>
      <c r="B2006" s="13" t="s">
        <v>43</v>
      </c>
      <c r="D2006" s="3"/>
      <c r="E2006" s="3"/>
      <c r="F2006" s="3"/>
      <c r="G2006" s="3"/>
      <c r="H2006" s="3"/>
      <c r="I2006" s="3"/>
    </row>
    <row r="2007">
      <c r="A2007" s="4" t="s">
        <v>6539</v>
      </c>
      <c r="B2007" s="13" t="s">
        <v>43</v>
      </c>
      <c r="D2007" s="3"/>
      <c r="E2007" s="3"/>
      <c r="F2007" s="3"/>
      <c r="G2007" s="3"/>
      <c r="H2007" s="3"/>
      <c r="I2007" s="3"/>
    </row>
    <row r="2008">
      <c r="A2008" s="4" t="s">
        <v>6540</v>
      </c>
      <c r="B2008" s="13" t="s">
        <v>43</v>
      </c>
      <c r="D2008" s="3"/>
      <c r="E2008" s="3"/>
      <c r="F2008" s="3"/>
      <c r="G2008" s="3"/>
      <c r="H2008" s="3"/>
      <c r="I2008" s="3"/>
    </row>
    <row r="2009">
      <c r="A2009" s="4" t="s">
        <v>6541</v>
      </c>
      <c r="B2009" s="13" t="s">
        <v>43</v>
      </c>
      <c r="D2009" s="3"/>
      <c r="E2009" s="3"/>
      <c r="F2009" s="3"/>
      <c r="G2009" s="3"/>
      <c r="H2009" s="3"/>
      <c r="I2009" s="3"/>
    </row>
    <row r="2010">
      <c r="A2010" s="4" t="s">
        <v>6542</v>
      </c>
      <c r="B2010" s="13" t="s">
        <v>43</v>
      </c>
      <c r="D2010" s="3"/>
      <c r="E2010" s="3"/>
      <c r="F2010" s="3"/>
      <c r="G2010" s="3"/>
      <c r="H2010" s="3"/>
      <c r="I2010" s="3"/>
    </row>
    <row r="2011">
      <c r="A2011" s="4" t="s">
        <v>6543</v>
      </c>
      <c r="B2011" s="13" t="s">
        <v>43</v>
      </c>
      <c r="D2011" s="3"/>
      <c r="E2011" s="3"/>
      <c r="F2011" s="3"/>
      <c r="G2011" s="3"/>
      <c r="H2011" s="3"/>
      <c r="I2011" s="3"/>
    </row>
    <row r="2012">
      <c r="A2012" s="4" t="s">
        <v>6544</v>
      </c>
      <c r="B2012" s="13" t="s">
        <v>43</v>
      </c>
      <c r="D2012" s="3"/>
      <c r="E2012" s="3"/>
      <c r="F2012" s="3"/>
      <c r="G2012" s="3"/>
      <c r="H2012" s="3"/>
      <c r="I2012" s="3"/>
    </row>
    <row r="2013">
      <c r="A2013" s="4" t="s">
        <v>6545</v>
      </c>
      <c r="B2013" s="13" t="s">
        <v>43</v>
      </c>
      <c r="D2013" s="3"/>
      <c r="E2013" s="3"/>
      <c r="F2013" s="3"/>
      <c r="G2013" s="3"/>
      <c r="H2013" s="3"/>
      <c r="I2013" s="3"/>
    </row>
    <row r="2014">
      <c r="A2014" s="4" t="s">
        <v>6546</v>
      </c>
      <c r="B2014" s="13" t="s">
        <v>43</v>
      </c>
      <c r="D2014" s="3"/>
      <c r="E2014" s="3"/>
      <c r="F2014" s="3"/>
      <c r="G2014" s="3"/>
      <c r="H2014" s="3"/>
      <c r="I2014" s="3"/>
    </row>
    <row r="2015">
      <c r="A2015" s="4" t="s">
        <v>6547</v>
      </c>
      <c r="B2015" s="13" t="s">
        <v>43</v>
      </c>
      <c r="D2015" s="3"/>
      <c r="E2015" s="3"/>
      <c r="F2015" s="3"/>
      <c r="G2015" s="3"/>
      <c r="H2015" s="3"/>
      <c r="I2015" s="3"/>
    </row>
    <row r="2016">
      <c r="A2016" s="4" t="s">
        <v>6548</v>
      </c>
      <c r="B2016" s="13" t="s">
        <v>43</v>
      </c>
      <c r="D2016" s="3"/>
      <c r="E2016" s="3"/>
      <c r="F2016" s="3"/>
      <c r="G2016" s="3"/>
      <c r="H2016" s="3"/>
      <c r="I2016" s="3"/>
    </row>
    <row r="2017">
      <c r="A2017" s="4" t="s">
        <v>6549</v>
      </c>
      <c r="B2017" s="13" t="s">
        <v>43</v>
      </c>
      <c r="D2017" s="3"/>
      <c r="E2017" s="3"/>
      <c r="F2017" s="3"/>
      <c r="G2017" s="3"/>
      <c r="H2017" s="3"/>
      <c r="I2017" s="3"/>
    </row>
    <row r="2018">
      <c r="A2018" s="4" t="s">
        <v>6550</v>
      </c>
      <c r="B2018" s="13" t="s">
        <v>43</v>
      </c>
      <c r="D2018" s="3"/>
      <c r="E2018" s="3"/>
      <c r="F2018" s="3"/>
      <c r="G2018" s="3"/>
      <c r="H2018" s="3"/>
      <c r="I2018" s="3"/>
    </row>
    <row r="2019">
      <c r="A2019" s="4" t="s">
        <v>6551</v>
      </c>
      <c r="B2019" s="13" t="s">
        <v>43</v>
      </c>
      <c r="D2019" s="3"/>
      <c r="E2019" s="3"/>
      <c r="F2019" s="3"/>
      <c r="G2019" s="3"/>
      <c r="H2019" s="3"/>
      <c r="I2019" s="3"/>
    </row>
    <row r="2020">
      <c r="A2020" s="4" t="s">
        <v>6552</v>
      </c>
      <c r="B2020" s="13" t="s">
        <v>43</v>
      </c>
      <c r="D2020" s="3"/>
      <c r="E2020" s="3"/>
      <c r="F2020" s="3"/>
      <c r="G2020" s="3"/>
      <c r="H2020" s="3"/>
      <c r="I2020" s="3"/>
    </row>
    <row r="2021">
      <c r="A2021" s="4" t="s">
        <v>6553</v>
      </c>
      <c r="B2021" s="13" t="s">
        <v>43</v>
      </c>
      <c r="D2021" s="3"/>
      <c r="E2021" s="3"/>
      <c r="F2021" s="3"/>
      <c r="G2021" s="3"/>
      <c r="H2021" s="3"/>
      <c r="I2021" s="3"/>
    </row>
    <row r="2022">
      <c r="A2022" s="4" t="s">
        <v>6554</v>
      </c>
      <c r="B2022" s="13" t="s">
        <v>43</v>
      </c>
      <c r="D2022" s="3"/>
      <c r="E2022" s="3"/>
      <c r="F2022" s="3"/>
      <c r="G2022" s="3"/>
      <c r="H2022" s="3"/>
      <c r="I2022" s="3"/>
    </row>
    <row r="2023">
      <c r="A2023" s="4" t="s">
        <v>6555</v>
      </c>
      <c r="B2023" s="13" t="s">
        <v>43</v>
      </c>
      <c r="D2023" s="3"/>
      <c r="E2023" s="3"/>
      <c r="F2023" s="3"/>
      <c r="G2023" s="3"/>
      <c r="H2023" s="3"/>
      <c r="I2023" s="3"/>
    </row>
    <row r="2024">
      <c r="A2024" s="4" t="s">
        <v>6556</v>
      </c>
      <c r="B2024" s="13" t="s">
        <v>43</v>
      </c>
      <c r="D2024" s="3"/>
      <c r="E2024" s="3"/>
      <c r="F2024" s="3"/>
      <c r="G2024" s="3"/>
      <c r="H2024" s="3"/>
      <c r="I2024" s="3"/>
    </row>
    <row r="2025">
      <c r="A2025" s="4" t="s">
        <v>6557</v>
      </c>
      <c r="B2025" s="13" t="s">
        <v>43</v>
      </c>
      <c r="D2025" s="3"/>
      <c r="E2025" s="3"/>
      <c r="F2025" s="3"/>
      <c r="G2025" s="3"/>
      <c r="H2025" s="3"/>
      <c r="I2025" s="3"/>
    </row>
    <row r="2026">
      <c r="A2026" s="4" t="s">
        <v>6558</v>
      </c>
      <c r="B2026" s="13" t="s">
        <v>43</v>
      </c>
      <c r="D2026" s="3"/>
      <c r="E2026" s="3"/>
      <c r="F2026" s="3"/>
      <c r="G2026" s="3"/>
      <c r="H2026" s="3"/>
      <c r="I2026" s="3"/>
    </row>
    <row r="2027">
      <c r="A2027" s="4" t="s">
        <v>6559</v>
      </c>
      <c r="B2027" s="13" t="s">
        <v>43</v>
      </c>
      <c r="D2027" s="3"/>
      <c r="E2027" s="3"/>
      <c r="F2027" s="3"/>
      <c r="G2027" s="3"/>
      <c r="H2027" s="3"/>
      <c r="I2027" s="3"/>
    </row>
    <row r="2028">
      <c r="A2028" s="4" t="s">
        <v>6560</v>
      </c>
      <c r="B2028" s="13" t="s">
        <v>43</v>
      </c>
      <c r="D2028" s="3"/>
      <c r="E2028" s="3"/>
      <c r="F2028" s="3"/>
      <c r="G2028" s="3"/>
      <c r="H2028" s="3"/>
      <c r="I2028" s="3"/>
    </row>
    <row r="2029">
      <c r="A2029" s="4" t="s">
        <v>6561</v>
      </c>
      <c r="B2029" s="13" t="s">
        <v>43</v>
      </c>
      <c r="D2029" s="3"/>
      <c r="E2029" s="3"/>
      <c r="F2029" s="3"/>
      <c r="G2029" s="3"/>
      <c r="H2029" s="3"/>
      <c r="I2029" s="3"/>
    </row>
    <row r="2030">
      <c r="A2030" s="4" t="s">
        <v>6562</v>
      </c>
      <c r="B2030" s="13" t="s">
        <v>43</v>
      </c>
      <c r="D2030" s="3"/>
      <c r="E2030" s="3"/>
      <c r="F2030" s="3"/>
      <c r="G2030" s="3"/>
      <c r="H2030" s="3"/>
      <c r="I2030" s="3"/>
    </row>
    <row r="2031">
      <c r="A2031" s="4" t="s">
        <v>6563</v>
      </c>
      <c r="B2031" s="13" t="s">
        <v>43</v>
      </c>
      <c r="D2031" s="3"/>
      <c r="E2031" s="3"/>
      <c r="F2031" s="3"/>
      <c r="G2031" s="3"/>
      <c r="H2031" s="3"/>
      <c r="I2031" s="3"/>
    </row>
    <row r="2032">
      <c r="A2032" s="4" t="s">
        <v>6564</v>
      </c>
      <c r="B2032" s="13" t="s">
        <v>43</v>
      </c>
      <c r="D2032" s="3"/>
      <c r="E2032" s="3"/>
      <c r="F2032" s="3"/>
      <c r="G2032" s="3"/>
      <c r="H2032" s="3"/>
      <c r="I2032" s="3"/>
    </row>
    <row r="2033">
      <c r="A2033" s="4" t="s">
        <v>6565</v>
      </c>
      <c r="B2033" s="13" t="s">
        <v>43</v>
      </c>
      <c r="D2033" s="3"/>
      <c r="E2033" s="3"/>
      <c r="F2033" s="3"/>
      <c r="G2033" s="3"/>
      <c r="H2033" s="3"/>
      <c r="I2033" s="3"/>
    </row>
    <row r="2034">
      <c r="A2034" s="4" t="s">
        <v>6566</v>
      </c>
      <c r="B2034" s="13" t="s">
        <v>43</v>
      </c>
      <c r="D2034" s="3"/>
      <c r="E2034" s="3"/>
      <c r="F2034" s="3"/>
      <c r="G2034" s="3"/>
      <c r="H2034" s="3"/>
      <c r="I2034" s="3"/>
    </row>
    <row r="2035">
      <c r="A2035" s="4" t="s">
        <v>6567</v>
      </c>
      <c r="B2035" s="13" t="s">
        <v>43</v>
      </c>
      <c r="D2035" s="3"/>
      <c r="E2035" s="3"/>
      <c r="F2035" s="3"/>
      <c r="G2035" s="3"/>
      <c r="H2035" s="3"/>
      <c r="I2035" s="3"/>
    </row>
    <row r="2036">
      <c r="A2036" s="4" t="s">
        <v>6568</v>
      </c>
      <c r="B2036" s="13" t="s">
        <v>43</v>
      </c>
      <c r="D2036" s="3"/>
      <c r="E2036" s="3"/>
      <c r="F2036" s="3"/>
      <c r="G2036" s="3"/>
      <c r="H2036" s="3"/>
      <c r="I2036" s="3"/>
    </row>
    <row r="2037">
      <c r="A2037" s="4" t="s">
        <v>6569</v>
      </c>
      <c r="B2037" s="13" t="s">
        <v>43</v>
      </c>
      <c r="D2037" s="3"/>
      <c r="E2037" s="3"/>
      <c r="F2037" s="3"/>
      <c r="G2037" s="3"/>
      <c r="H2037" s="3"/>
      <c r="I2037" s="3"/>
    </row>
    <row r="2038">
      <c r="A2038" s="4" t="s">
        <v>6570</v>
      </c>
      <c r="B2038" s="13" t="s">
        <v>43</v>
      </c>
      <c r="D2038" s="3"/>
      <c r="E2038" s="3"/>
      <c r="F2038" s="3"/>
      <c r="G2038" s="3"/>
      <c r="H2038" s="3"/>
      <c r="I2038" s="3"/>
    </row>
    <row r="2039">
      <c r="A2039" s="4" t="s">
        <v>6571</v>
      </c>
      <c r="B2039" s="13" t="s">
        <v>43</v>
      </c>
      <c r="D2039" s="3"/>
      <c r="E2039" s="3"/>
      <c r="F2039" s="3"/>
      <c r="G2039" s="3"/>
      <c r="H2039" s="3"/>
      <c r="I2039" s="3"/>
    </row>
    <row r="2040">
      <c r="A2040" s="4" t="s">
        <v>6572</v>
      </c>
      <c r="B2040" s="13" t="s">
        <v>43</v>
      </c>
      <c r="D2040" s="3"/>
      <c r="E2040" s="3"/>
      <c r="F2040" s="3"/>
      <c r="G2040" s="3"/>
      <c r="H2040" s="3"/>
      <c r="I2040" s="3"/>
    </row>
    <row r="2041">
      <c r="A2041" s="4" t="s">
        <v>6573</v>
      </c>
      <c r="B2041" s="13" t="s">
        <v>43</v>
      </c>
      <c r="D2041" s="3"/>
      <c r="E2041" s="3"/>
      <c r="F2041" s="3"/>
      <c r="G2041" s="3"/>
      <c r="H2041" s="3"/>
      <c r="I2041" s="3"/>
    </row>
    <row r="2042">
      <c r="A2042" s="4" t="s">
        <v>6574</v>
      </c>
      <c r="B2042" s="13" t="s">
        <v>43</v>
      </c>
      <c r="D2042" s="3"/>
      <c r="E2042" s="3"/>
      <c r="F2042" s="3"/>
      <c r="G2042" s="3"/>
      <c r="H2042" s="3"/>
      <c r="I2042" s="3"/>
    </row>
    <row r="2043">
      <c r="A2043" s="4" t="s">
        <v>6575</v>
      </c>
      <c r="B2043" s="13" t="s">
        <v>43</v>
      </c>
      <c r="D2043" s="3"/>
      <c r="E2043" s="3"/>
      <c r="F2043" s="3"/>
      <c r="G2043" s="3"/>
      <c r="H2043" s="3"/>
      <c r="I2043" s="3"/>
    </row>
    <row r="2044">
      <c r="A2044" s="4" t="s">
        <v>6576</v>
      </c>
      <c r="B2044" s="13" t="s">
        <v>43</v>
      </c>
      <c r="D2044" s="3"/>
      <c r="E2044" s="3"/>
      <c r="F2044" s="3"/>
      <c r="G2044" s="3"/>
      <c r="H2044" s="3"/>
      <c r="I2044" s="3"/>
    </row>
    <row r="2045">
      <c r="A2045" s="4" t="s">
        <v>6577</v>
      </c>
      <c r="B2045" s="13" t="s">
        <v>43</v>
      </c>
      <c r="D2045" s="3"/>
      <c r="E2045" s="3"/>
      <c r="F2045" s="3"/>
      <c r="G2045" s="3"/>
      <c r="H2045" s="3"/>
      <c r="I2045" s="3"/>
    </row>
    <row r="2046">
      <c r="A2046" s="4" t="s">
        <v>6578</v>
      </c>
      <c r="B2046" s="13" t="s">
        <v>43</v>
      </c>
      <c r="D2046" s="3"/>
      <c r="E2046" s="3"/>
      <c r="F2046" s="3"/>
      <c r="G2046" s="3"/>
      <c r="H2046" s="3"/>
      <c r="I2046" s="3"/>
    </row>
    <row r="2047">
      <c r="A2047" s="4" t="s">
        <v>6579</v>
      </c>
      <c r="B2047" s="13" t="s">
        <v>43</v>
      </c>
      <c r="D2047" s="3"/>
      <c r="E2047" s="3"/>
      <c r="F2047" s="3"/>
      <c r="G2047" s="3"/>
      <c r="H2047" s="3"/>
      <c r="I2047" s="3"/>
    </row>
    <row r="2048">
      <c r="A2048" s="4" t="s">
        <v>6580</v>
      </c>
      <c r="B2048" s="13" t="s">
        <v>43</v>
      </c>
      <c r="D2048" s="3"/>
      <c r="E2048" s="3"/>
      <c r="F2048" s="3"/>
      <c r="G2048" s="3"/>
      <c r="H2048" s="3"/>
      <c r="I2048" s="3"/>
    </row>
    <row r="2049">
      <c r="A2049" s="4" t="s">
        <v>6581</v>
      </c>
      <c r="B2049" s="13" t="s">
        <v>43</v>
      </c>
      <c r="D2049" s="3"/>
      <c r="E2049" s="3"/>
      <c r="F2049" s="3"/>
      <c r="G2049" s="3"/>
      <c r="H2049" s="3"/>
      <c r="I2049" s="3"/>
    </row>
    <row r="2050">
      <c r="A2050" s="4" t="s">
        <v>6582</v>
      </c>
      <c r="B2050" s="13" t="s">
        <v>43</v>
      </c>
      <c r="D2050" s="3"/>
      <c r="E2050" s="3"/>
      <c r="F2050" s="3"/>
      <c r="G2050" s="3"/>
      <c r="H2050" s="3"/>
      <c r="I2050" s="3"/>
    </row>
    <row r="2051">
      <c r="A2051" s="4" t="s">
        <v>6583</v>
      </c>
      <c r="B2051" s="13" t="s">
        <v>43</v>
      </c>
      <c r="D2051" s="3"/>
      <c r="E2051" s="3"/>
      <c r="F2051" s="3"/>
      <c r="G2051" s="3"/>
      <c r="H2051" s="3"/>
      <c r="I2051" s="3"/>
    </row>
    <row r="2052">
      <c r="A2052" s="4" t="s">
        <v>6584</v>
      </c>
      <c r="B2052" s="13" t="s">
        <v>43</v>
      </c>
      <c r="D2052" s="3"/>
      <c r="E2052" s="3"/>
      <c r="F2052" s="3"/>
      <c r="G2052" s="3"/>
      <c r="H2052" s="3"/>
      <c r="I2052" s="3"/>
    </row>
    <row r="2053">
      <c r="A2053" s="4" t="s">
        <v>6585</v>
      </c>
      <c r="B2053" s="13" t="s">
        <v>43</v>
      </c>
      <c r="D2053" s="3"/>
      <c r="E2053" s="3"/>
      <c r="F2053" s="3"/>
      <c r="G2053" s="3"/>
      <c r="H2053" s="3"/>
      <c r="I2053" s="3"/>
    </row>
    <row r="2054">
      <c r="A2054" s="4" t="s">
        <v>6586</v>
      </c>
      <c r="B2054" s="13" t="s">
        <v>43</v>
      </c>
      <c r="D2054" s="3"/>
      <c r="E2054" s="3"/>
      <c r="F2054" s="3"/>
      <c r="G2054" s="3"/>
      <c r="H2054" s="3"/>
      <c r="I2054" s="3"/>
    </row>
    <row r="2055">
      <c r="A2055" s="4" t="s">
        <v>6587</v>
      </c>
      <c r="B2055" s="13" t="s">
        <v>43</v>
      </c>
      <c r="D2055" s="3"/>
      <c r="E2055" s="3"/>
      <c r="F2055" s="3"/>
      <c r="G2055" s="3"/>
      <c r="H2055" s="3"/>
      <c r="I2055" s="3"/>
    </row>
    <row r="2056">
      <c r="A2056" s="4" t="s">
        <v>6588</v>
      </c>
      <c r="B2056" s="13" t="s">
        <v>43</v>
      </c>
      <c r="D2056" s="3"/>
      <c r="E2056" s="3"/>
      <c r="F2056" s="3"/>
      <c r="G2056" s="3"/>
      <c r="H2056" s="3"/>
      <c r="I2056" s="3"/>
    </row>
    <row r="2057">
      <c r="A2057" s="4" t="s">
        <v>6589</v>
      </c>
      <c r="B2057" s="13" t="s">
        <v>43</v>
      </c>
      <c r="D2057" s="3"/>
      <c r="E2057" s="3"/>
      <c r="F2057" s="3"/>
      <c r="G2057" s="3"/>
      <c r="H2057" s="3"/>
      <c r="I2057" s="3"/>
    </row>
    <row r="2058">
      <c r="A2058" s="4" t="s">
        <v>6590</v>
      </c>
      <c r="B2058" s="13" t="s">
        <v>43</v>
      </c>
      <c r="D2058" s="3"/>
      <c r="E2058" s="3"/>
      <c r="F2058" s="3"/>
      <c r="G2058" s="3"/>
      <c r="H2058" s="3"/>
      <c r="I2058" s="3"/>
    </row>
    <row r="2059">
      <c r="A2059" s="4" t="s">
        <v>6591</v>
      </c>
      <c r="B2059" s="13" t="s">
        <v>43</v>
      </c>
      <c r="D2059" s="3"/>
      <c r="E2059" s="3"/>
      <c r="F2059" s="3"/>
      <c r="G2059" s="3"/>
      <c r="H2059" s="3"/>
      <c r="I2059" s="3"/>
    </row>
    <row r="2060">
      <c r="A2060" s="4" t="s">
        <v>6592</v>
      </c>
      <c r="B2060" s="13" t="s">
        <v>43</v>
      </c>
      <c r="D2060" s="3"/>
      <c r="E2060" s="3"/>
      <c r="F2060" s="3"/>
      <c r="G2060" s="3"/>
      <c r="H2060" s="3"/>
      <c r="I2060" s="3"/>
    </row>
    <row r="2061">
      <c r="A2061" s="4" t="s">
        <v>6593</v>
      </c>
      <c r="B2061" s="13" t="s">
        <v>43</v>
      </c>
      <c r="D2061" s="3"/>
      <c r="E2061" s="3"/>
      <c r="F2061" s="3"/>
      <c r="G2061" s="3"/>
      <c r="H2061" s="3"/>
      <c r="I2061" s="3"/>
    </row>
    <row r="2062">
      <c r="A2062" s="4" t="s">
        <v>6594</v>
      </c>
      <c r="B2062" s="13" t="s">
        <v>43</v>
      </c>
      <c r="D2062" s="3"/>
      <c r="E2062" s="3"/>
      <c r="F2062" s="3"/>
      <c r="G2062" s="3"/>
      <c r="H2062" s="3"/>
      <c r="I2062" s="3"/>
    </row>
    <row r="2063">
      <c r="A2063" s="4" t="s">
        <v>6595</v>
      </c>
      <c r="B2063" s="13" t="s">
        <v>43</v>
      </c>
      <c r="D2063" s="3"/>
      <c r="E2063" s="3"/>
      <c r="F2063" s="3"/>
      <c r="G2063" s="3"/>
      <c r="H2063" s="3"/>
      <c r="I2063" s="3"/>
    </row>
    <row r="2064">
      <c r="A2064" s="4" t="s">
        <v>6596</v>
      </c>
      <c r="B2064" s="13" t="s">
        <v>43</v>
      </c>
      <c r="D2064" s="3"/>
      <c r="E2064" s="3"/>
      <c r="F2064" s="3"/>
      <c r="G2064" s="3"/>
      <c r="H2064" s="3"/>
      <c r="I2064" s="3"/>
    </row>
    <row r="2065">
      <c r="A2065" s="4" t="s">
        <v>6597</v>
      </c>
      <c r="B2065" s="13" t="s">
        <v>43</v>
      </c>
      <c r="D2065" s="3"/>
      <c r="E2065" s="3"/>
      <c r="F2065" s="3"/>
      <c r="G2065" s="3"/>
      <c r="H2065" s="3"/>
      <c r="I2065" s="3"/>
    </row>
    <row r="2066">
      <c r="A2066" s="4" t="s">
        <v>6598</v>
      </c>
      <c r="B2066" s="13" t="s">
        <v>43</v>
      </c>
      <c r="D2066" s="3"/>
      <c r="E2066" s="3"/>
      <c r="F2066" s="3"/>
      <c r="G2066" s="3"/>
      <c r="H2066" s="3"/>
      <c r="I2066" s="3"/>
    </row>
    <row r="2067">
      <c r="A2067" s="4" t="s">
        <v>6599</v>
      </c>
      <c r="B2067" s="13" t="s">
        <v>43</v>
      </c>
      <c r="D2067" s="3"/>
      <c r="E2067" s="3"/>
      <c r="F2067" s="3"/>
      <c r="G2067" s="3"/>
      <c r="H2067" s="3"/>
      <c r="I2067" s="3"/>
    </row>
    <row r="2068">
      <c r="A2068" s="4" t="s">
        <v>6600</v>
      </c>
      <c r="B2068" s="13" t="s">
        <v>43</v>
      </c>
      <c r="D2068" s="3"/>
      <c r="E2068" s="3"/>
      <c r="F2068" s="3"/>
      <c r="G2068" s="3"/>
      <c r="H2068" s="3"/>
      <c r="I2068" s="3"/>
    </row>
    <row r="2069">
      <c r="A2069" s="4" t="s">
        <v>6601</v>
      </c>
      <c r="B2069" s="13" t="s">
        <v>43</v>
      </c>
      <c r="D2069" s="3"/>
      <c r="E2069" s="3"/>
      <c r="F2069" s="3"/>
      <c r="G2069" s="3"/>
      <c r="H2069" s="3"/>
      <c r="I2069" s="3"/>
    </row>
    <row r="2070">
      <c r="A2070" s="4" t="s">
        <v>6602</v>
      </c>
      <c r="B2070" s="13" t="s">
        <v>43</v>
      </c>
      <c r="D2070" s="3"/>
      <c r="E2070" s="3"/>
      <c r="F2070" s="3"/>
      <c r="G2070" s="3"/>
      <c r="H2070" s="3"/>
      <c r="I2070" s="3"/>
    </row>
    <row r="2071">
      <c r="A2071" s="4" t="s">
        <v>6603</v>
      </c>
      <c r="B2071" s="13" t="s">
        <v>43</v>
      </c>
      <c r="D2071" s="3"/>
      <c r="E2071" s="3"/>
      <c r="F2071" s="3"/>
      <c r="G2071" s="3"/>
      <c r="H2071" s="3"/>
      <c r="I2071" s="3"/>
    </row>
    <row r="2072">
      <c r="A2072" s="4" t="s">
        <v>6604</v>
      </c>
      <c r="B2072" s="13" t="s">
        <v>43</v>
      </c>
      <c r="D2072" s="3"/>
      <c r="E2072" s="3"/>
      <c r="F2072" s="3"/>
      <c r="G2072" s="3"/>
      <c r="H2072" s="3"/>
      <c r="I2072" s="3"/>
    </row>
    <row r="2073">
      <c r="A2073" s="4" t="s">
        <v>6605</v>
      </c>
      <c r="B2073" s="13" t="s">
        <v>43</v>
      </c>
      <c r="D2073" s="3"/>
      <c r="E2073" s="3"/>
      <c r="F2073" s="3"/>
      <c r="G2073" s="3"/>
      <c r="H2073" s="3"/>
      <c r="I2073" s="3"/>
    </row>
    <row r="2074">
      <c r="A2074" s="4" t="s">
        <v>6606</v>
      </c>
      <c r="B2074" s="13" t="s">
        <v>43</v>
      </c>
      <c r="D2074" s="3"/>
      <c r="E2074" s="3"/>
      <c r="F2074" s="3"/>
      <c r="G2074" s="3"/>
      <c r="H2074" s="3"/>
      <c r="I2074" s="3"/>
    </row>
    <row r="2075">
      <c r="A2075" s="4" t="s">
        <v>6607</v>
      </c>
      <c r="B2075" s="13" t="s">
        <v>43</v>
      </c>
      <c r="D2075" s="3"/>
      <c r="E2075" s="3"/>
      <c r="F2075" s="3"/>
      <c r="G2075" s="3"/>
      <c r="H2075" s="3"/>
      <c r="I2075" s="3"/>
    </row>
    <row r="2076">
      <c r="A2076" s="4" t="s">
        <v>6608</v>
      </c>
      <c r="B2076" s="13" t="s">
        <v>43</v>
      </c>
      <c r="D2076" s="3"/>
      <c r="E2076" s="3"/>
      <c r="F2076" s="3"/>
      <c r="G2076" s="3"/>
      <c r="H2076" s="3"/>
      <c r="I2076" s="3"/>
    </row>
    <row r="2077">
      <c r="A2077" s="4" t="s">
        <v>6609</v>
      </c>
      <c r="B2077" s="13" t="s">
        <v>43</v>
      </c>
      <c r="D2077" s="3"/>
      <c r="E2077" s="3"/>
      <c r="F2077" s="3"/>
      <c r="G2077" s="3"/>
      <c r="H2077" s="3"/>
      <c r="I2077" s="3"/>
    </row>
    <row r="2078">
      <c r="A2078" s="4" t="s">
        <v>6610</v>
      </c>
      <c r="B2078" s="13" t="s">
        <v>43</v>
      </c>
      <c r="D2078" s="3"/>
      <c r="E2078" s="3"/>
      <c r="F2078" s="3"/>
      <c r="G2078" s="3"/>
      <c r="H2078" s="3"/>
      <c r="I2078" s="3"/>
    </row>
    <row r="2079">
      <c r="A2079" s="4" t="s">
        <v>6611</v>
      </c>
      <c r="B2079" s="13" t="s">
        <v>43</v>
      </c>
      <c r="D2079" s="3"/>
      <c r="E2079" s="3"/>
      <c r="F2079" s="3"/>
      <c r="G2079" s="3"/>
      <c r="H2079" s="3"/>
      <c r="I2079" s="3"/>
    </row>
    <row r="2080">
      <c r="A2080" s="4" t="s">
        <v>6612</v>
      </c>
      <c r="B2080" s="13" t="s">
        <v>43</v>
      </c>
      <c r="D2080" s="3"/>
      <c r="E2080" s="3"/>
      <c r="F2080" s="3"/>
      <c r="G2080" s="3"/>
      <c r="H2080" s="3"/>
      <c r="I2080" s="3"/>
    </row>
    <row r="2081">
      <c r="A2081" s="4" t="s">
        <v>6613</v>
      </c>
      <c r="B2081" s="13" t="s">
        <v>43</v>
      </c>
      <c r="D2081" s="3"/>
      <c r="E2081" s="3"/>
      <c r="F2081" s="3"/>
      <c r="G2081" s="3"/>
      <c r="H2081" s="3"/>
      <c r="I2081" s="3"/>
    </row>
    <row r="2082">
      <c r="A2082" s="4" t="s">
        <v>6614</v>
      </c>
      <c r="B2082" s="13" t="s">
        <v>43</v>
      </c>
      <c r="D2082" s="3"/>
      <c r="E2082" s="3"/>
      <c r="F2082" s="3"/>
      <c r="G2082" s="3"/>
      <c r="H2082" s="3"/>
      <c r="I2082" s="3"/>
    </row>
    <row r="2083">
      <c r="A2083" s="4" t="s">
        <v>6615</v>
      </c>
      <c r="B2083" s="13" t="s">
        <v>43</v>
      </c>
      <c r="D2083" s="3"/>
      <c r="E2083" s="3"/>
      <c r="F2083" s="3"/>
      <c r="G2083" s="3"/>
      <c r="H2083" s="3"/>
      <c r="I2083" s="3"/>
    </row>
    <row r="2084">
      <c r="A2084" s="4" t="s">
        <v>6616</v>
      </c>
      <c r="B2084" s="13" t="s">
        <v>43</v>
      </c>
      <c r="D2084" s="3"/>
      <c r="E2084" s="3"/>
      <c r="F2084" s="3"/>
      <c r="G2084" s="3"/>
      <c r="H2084" s="3"/>
      <c r="I2084" s="3"/>
    </row>
    <row r="2085">
      <c r="A2085" s="4" t="s">
        <v>6617</v>
      </c>
      <c r="B2085" s="13" t="s">
        <v>43</v>
      </c>
      <c r="D2085" s="3"/>
      <c r="E2085" s="3"/>
      <c r="F2085" s="3"/>
      <c r="G2085" s="3"/>
      <c r="H2085" s="3"/>
      <c r="I2085" s="3"/>
    </row>
    <row r="2086">
      <c r="A2086" s="4" t="s">
        <v>6618</v>
      </c>
      <c r="B2086" s="13" t="s">
        <v>43</v>
      </c>
      <c r="D2086" s="3"/>
      <c r="E2086" s="3"/>
      <c r="F2086" s="3"/>
      <c r="G2086" s="3"/>
      <c r="H2086" s="3"/>
      <c r="I2086" s="3"/>
    </row>
    <row r="2087">
      <c r="A2087" s="4" t="s">
        <v>6619</v>
      </c>
      <c r="B2087" s="13" t="s">
        <v>43</v>
      </c>
      <c r="D2087" s="3"/>
      <c r="E2087" s="3"/>
      <c r="F2087" s="3"/>
      <c r="G2087" s="3"/>
      <c r="H2087" s="3"/>
      <c r="I2087" s="3"/>
    </row>
    <row r="2088">
      <c r="A2088" s="4" t="s">
        <v>6620</v>
      </c>
      <c r="B2088" s="13" t="s">
        <v>43</v>
      </c>
      <c r="D2088" s="3"/>
      <c r="E2088" s="3"/>
      <c r="F2088" s="3"/>
      <c r="G2088" s="3"/>
      <c r="H2088" s="3"/>
      <c r="I2088" s="3"/>
    </row>
    <row r="2089">
      <c r="A2089" s="4" t="s">
        <v>6621</v>
      </c>
      <c r="B2089" s="13" t="s">
        <v>43</v>
      </c>
      <c r="D2089" s="3"/>
      <c r="E2089" s="3"/>
      <c r="F2089" s="3"/>
      <c r="G2089" s="3"/>
      <c r="H2089" s="3"/>
      <c r="I2089" s="3"/>
    </row>
    <row r="2090">
      <c r="A2090" s="4" t="s">
        <v>6622</v>
      </c>
      <c r="B2090" s="13" t="s">
        <v>43</v>
      </c>
      <c r="D2090" s="3"/>
      <c r="E2090" s="3"/>
      <c r="F2090" s="3"/>
      <c r="G2090" s="3"/>
      <c r="H2090" s="3"/>
      <c r="I2090" s="3"/>
    </row>
    <row r="2091">
      <c r="A2091" s="4" t="s">
        <v>6623</v>
      </c>
      <c r="B2091" s="13" t="s">
        <v>43</v>
      </c>
      <c r="D2091" s="3"/>
      <c r="E2091" s="3"/>
      <c r="F2091" s="3"/>
      <c r="G2091" s="3"/>
      <c r="H2091" s="3"/>
      <c r="I2091" s="3"/>
    </row>
    <row r="2092">
      <c r="A2092" s="4" t="s">
        <v>6624</v>
      </c>
      <c r="B2092" s="13" t="s">
        <v>43</v>
      </c>
      <c r="D2092" s="3"/>
      <c r="E2092" s="3"/>
      <c r="F2092" s="3"/>
      <c r="G2092" s="3"/>
      <c r="H2092" s="3"/>
      <c r="I2092" s="3"/>
    </row>
    <row r="2093">
      <c r="A2093" s="4" t="s">
        <v>6625</v>
      </c>
      <c r="B2093" s="13" t="s">
        <v>43</v>
      </c>
      <c r="D2093" s="3"/>
      <c r="E2093" s="3"/>
      <c r="F2093" s="3"/>
      <c r="G2093" s="3"/>
      <c r="H2093" s="3"/>
      <c r="I2093" s="3"/>
    </row>
    <row r="2094">
      <c r="A2094" s="4" t="s">
        <v>6626</v>
      </c>
      <c r="B2094" s="13" t="s">
        <v>43</v>
      </c>
      <c r="D2094" s="3"/>
      <c r="E2094" s="3"/>
      <c r="F2094" s="3"/>
      <c r="G2094" s="3"/>
      <c r="H2094" s="3"/>
      <c r="I2094" s="3"/>
    </row>
    <row r="2095">
      <c r="A2095" s="4" t="s">
        <v>6627</v>
      </c>
      <c r="B2095" s="13" t="s">
        <v>43</v>
      </c>
      <c r="D2095" s="3"/>
      <c r="E2095" s="3"/>
      <c r="F2095" s="3"/>
      <c r="G2095" s="3"/>
      <c r="H2095" s="3"/>
      <c r="I2095" s="3"/>
    </row>
    <row r="2096">
      <c r="A2096" s="4" t="s">
        <v>6628</v>
      </c>
      <c r="B2096" s="13" t="s">
        <v>43</v>
      </c>
      <c r="D2096" s="3"/>
      <c r="E2096" s="3"/>
      <c r="F2096" s="3"/>
      <c r="G2096" s="3"/>
      <c r="H2096" s="3"/>
      <c r="I2096" s="3"/>
    </row>
    <row r="2097">
      <c r="A2097" s="4" t="s">
        <v>6629</v>
      </c>
      <c r="B2097" s="13" t="s">
        <v>43</v>
      </c>
      <c r="D2097" s="3"/>
      <c r="E2097" s="3"/>
      <c r="F2097" s="3"/>
      <c r="G2097" s="3"/>
      <c r="H2097" s="3"/>
      <c r="I2097" s="3"/>
    </row>
    <row r="2098">
      <c r="A2098" s="4" t="s">
        <v>6630</v>
      </c>
      <c r="B2098" s="13" t="s">
        <v>43</v>
      </c>
      <c r="D2098" s="3"/>
      <c r="E2098" s="3"/>
      <c r="F2098" s="3"/>
      <c r="G2098" s="3"/>
      <c r="H2098" s="3"/>
      <c r="I2098" s="3"/>
    </row>
    <row r="2099">
      <c r="A2099" s="4" t="s">
        <v>6631</v>
      </c>
      <c r="B2099" s="13" t="s">
        <v>43</v>
      </c>
      <c r="D2099" s="3"/>
      <c r="E2099" s="3"/>
      <c r="F2099" s="3"/>
      <c r="G2099" s="3"/>
      <c r="H2099" s="3"/>
      <c r="I2099" s="3"/>
    </row>
    <row r="2100">
      <c r="A2100" s="4" t="s">
        <v>6632</v>
      </c>
      <c r="B2100" s="13" t="s">
        <v>43</v>
      </c>
      <c r="D2100" s="3"/>
      <c r="E2100" s="3"/>
      <c r="F2100" s="3"/>
      <c r="G2100" s="3"/>
      <c r="H2100" s="3"/>
      <c r="I2100" s="3"/>
    </row>
    <row r="2101">
      <c r="A2101" s="4" t="s">
        <v>6633</v>
      </c>
      <c r="B2101" s="13" t="s">
        <v>43</v>
      </c>
      <c r="D2101" s="3"/>
      <c r="E2101" s="3"/>
      <c r="F2101" s="3"/>
      <c r="G2101" s="3"/>
      <c r="H2101" s="3"/>
      <c r="I2101" s="3"/>
    </row>
    <row r="2102">
      <c r="A2102" s="4" t="s">
        <v>6634</v>
      </c>
      <c r="B2102" s="13" t="s">
        <v>43</v>
      </c>
      <c r="D2102" s="3"/>
      <c r="E2102" s="3"/>
      <c r="F2102" s="3"/>
      <c r="G2102" s="3"/>
      <c r="H2102" s="3"/>
      <c r="I2102" s="3"/>
    </row>
    <row r="2103">
      <c r="A2103" s="4" t="s">
        <v>6635</v>
      </c>
      <c r="B2103" s="13" t="s">
        <v>43</v>
      </c>
      <c r="D2103" s="3"/>
      <c r="E2103" s="3"/>
      <c r="F2103" s="3"/>
      <c r="G2103" s="3"/>
      <c r="H2103" s="3"/>
      <c r="I2103" s="3"/>
    </row>
    <row r="2104">
      <c r="A2104" s="4" t="s">
        <v>6636</v>
      </c>
      <c r="B2104" s="13" t="s">
        <v>43</v>
      </c>
      <c r="D2104" s="3"/>
      <c r="E2104" s="3"/>
      <c r="F2104" s="3"/>
      <c r="G2104" s="3"/>
      <c r="H2104" s="3"/>
      <c r="I2104" s="3"/>
    </row>
    <row r="2105">
      <c r="A2105" s="4" t="s">
        <v>6637</v>
      </c>
      <c r="B2105" s="13" t="s">
        <v>43</v>
      </c>
      <c r="D2105" s="3"/>
      <c r="E2105" s="3"/>
      <c r="F2105" s="3"/>
      <c r="G2105" s="3"/>
      <c r="H2105" s="3"/>
      <c r="I2105" s="3"/>
    </row>
    <row r="2106">
      <c r="A2106" s="4" t="s">
        <v>6638</v>
      </c>
      <c r="B2106" s="13" t="s">
        <v>43</v>
      </c>
      <c r="D2106" s="3"/>
      <c r="E2106" s="3"/>
      <c r="F2106" s="3"/>
      <c r="G2106" s="3"/>
      <c r="H2106" s="3"/>
      <c r="I2106" s="3"/>
    </row>
    <row r="2107">
      <c r="A2107" s="4" t="s">
        <v>6639</v>
      </c>
      <c r="B2107" s="13" t="s">
        <v>43</v>
      </c>
      <c r="D2107" s="3"/>
      <c r="E2107" s="3"/>
      <c r="F2107" s="3"/>
      <c r="G2107" s="3"/>
      <c r="H2107" s="3"/>
      <c r="I2107" s="3"/>
    </row>
    <row r="2108">
      <c r="A2108" s="4" t="s">
        <v>6640</v>
      </c>
      <c r="B2108" s="13" t="s">
        <v>43</v>
      </c>
      <c r="D2108" s="3"/>
      <c r="E2108" s="3"/>
      <c r="F2108" s="3"/>
      <c r="G2108" s="3"/>
      <c r="H2108" s="3"/>
      <c r="I2108" s="3"/>
    </row>
    <row r="2109">
      <c r="A2109" s="4" t="s">
        <v>6641</v>
      </c>
      <c r="B2109" s="13" t="s">
        <v>43</v>
      </c>
      <c r="D2109" s="3"/>
      <c r="E2109" s="3"/>
      <c r="F2109" s="3"/>
      <c r="G2109" s="3"/>
      <c r="H2109" s="3"/>
      <c r="I2109" s="3"/>
    </row>
    <row r="2110">
      <c r="A2110" s="4" t="s">
        <v>6642</v>
      </c>
      <c r="B2110" s="13" t="s">
        <v>43</v>
      </c>
      <c r="D2110" s="3"/>
      <c r="E2110" s="3"/>
      <c r="F2110" s="3"/>
      <c r="G2110" s="3"/>
      <c r="H2110" s="3"/>
      <c r="I2110" s="3"/>
    </row>
    <row r="2111">
      <c r="A2111" s="4" t="s">
        <v>6643</v>
      </c>
      <c r="B2111" s="13" t="s">
        <v>43</v>
      </c>
      <c r="D2111" s="3"/>
      <c r="E2111" s="3"/>
      <c r="F2111" s="3"/>
      <c r="G2111" s="3"/>
      <c r="H2111" s="3"/>
      <c r="I2111" s="3"/>
    </row>
    <row r="2112">
      <c r="A2112" s="4" t="s">
        <v>6644</v>
      </c>
      <c r="B2112" s="13" t="s">
        <v>43</v>
      </c>
      <c r="D2112" s="3"/>
      <c r="E2112" s="3"/>
      <c r="F2112" s="3"/>
      <c r="G2112" s="3"/>
      <c r="H2112" s="3"/>
      <c r="I2112" s="3"/>
    </row>
    <row r="2113">
      <c r="A2113" s="4" t="s">
        <v>6645</v>
      </c>
      <c r="B2113" s="13" t="s">
        <v>43</v>
      </c>
      <c r="D2113" s="3"/>
      <c r="E2113" s="3"/>
      <c r="F2113" s="3"/>
      <c r="G2113" s="3"/>
      <c r="H2113" s="3"/>
      <c r="I2113" s="3"/>
    </row>
    <row r="2114">
      <c r="A2114" s="4" t="s">
        <v>6646</v>
      </c>
      <c r="B2114" s="13" t="s">
        <v>43</v>
      </c>
      <c r="D2114" s="3"/>
      <c r="E2114" s="3"/>
      <c r="F2114" s="3"/>
      <c r="G2114" s="3"/>
      <c r="H2114" s="3"/>
      <c r="I2114" s="3"/>
    </row>
    <row r="2115">
      <c r="A2115" s="4" t="s">
        <v>6647</v>
      </c>
      <c r="B2115" s="13" t="s">
        <v>43</v>
      </c>
      <c r="D2115" s="3"/>
      <c r="E2115" s="3"/>
      <c r="F2115" s="3"/>
      <c r="G2115" s="3"/>
      <c r="H2115" s="3"/>
      <c r="I2115" s="3"/>
      <c r="J2115" s="4" t="s">
        <v>1757</v>
      </c>
    </row>
    <row r="2116">
      <c r="A2116" s="4" t="s">
        <v>6648</v>
      </c>
      <c r="B2116" s="13" t="s">
        <v>43</v>
      </c>
      <c r="D2116" s="3"/>
      <c r="E2116" s="3"/>
      <c r="F2116" s="3"/>
      <c r="G2116" s="3"/>
      <c r="H2116" s="3"/>
      <c r="I2116" s="3"/>
      <c r="J2116" s="4" t="s">
        <v>1757</v>
      </c>
    </row>
    <row r="2117">
      <c r="A2117" s="4" t="s">
        <v>6649</v>
      </c>
      <c r="B2117" s="13" t="s">
        <v>43</v>
      </c>
      <c r="D2117" s="3"/>
      <c r="E2117" s="3"/>
      <c r="F2117" s="3"/>
      <c r="G2117" s="3"/>
      <c r="H2117" s="3"/>
      <c r="I2117" s="3"/>
      <c r="J2117" s="4" t="s">
        <v>1757</v>
      </c>
    </row>
    <row r="2118">
      <c r="A2118" s="4" t="s">
        <v>6650</v>
      </c>
      <c r="B2118" s="13" t="s">
        <v>43</v>
      </c>
      <c r="D2118" s="3"/>
      <c r="E2118" s="3"/>
      <c r="F2118" s="3"/>
      <c r="G2118" s="3"/>
      <c r="H2118" s="3"/>
      <c r="I2118" s="3"/>
      <c r="J2118" s="4" t="s">
        <v>1757</v>
      </c>
    </row>
    <row r="2119">
      <c r="A2119" s="4" t="s">
        <v>6651</v>
      </c>
      <c r="B2119" s="13" t="s">
        <v>43</v>
      </c>
      <c r="D2119" s="3"/>
      <c r="E2119" s="3"/>
      <c r="F2119" s="3"/>
      <c r="G2119" s="3"/>
      <c r="H2119" s="3"/>
      <c r="I2119" s="3"/>
      <c r="J2119" s="4" t="s">
        <v>1757</v>
      </c>
    </row>
    <row r="2120">
      <c r="A2120" s="4" t="s">
        <v>6652</v>
      </c>
      <c r="B2120" s="13" t="s">
        <v>43</v>
      </c>
      <c r="D2120" s="3"/>
      <c r="E2120" s="3"/>
      <c r="F2120" s="3"/>
      <c r="G2120" s="3"/>
      <c r="H2120" s="3"/>
      <c r="I2120" s="3"/>
      <c r="J2120" s="4" t="s">
        <v>1757</v>
      </c>
    </row>
    <row r="2121">
      <c r="A2121" s="4" t="s">
        <v>6653</v>
      </c>
      <c r="B2121" s="13" t="s">
        <v>43</v>
      </c>
      <c r="D2121" s="3"/>
      <c r="E2121" s="3"/>
      <c r="F2121" s="3"/>
      <c r="G2121" s="3"/>
      <c r="H2121" s="3"/>
      <c r="I2121" s="3"/>
      <c r="J2121" s="4" t="s">
        <v>1757</v>
      </c>
    </row>
    <row r="2122">
      <c r="A2122" s="4" t="s">
        <v>6654</v>
      </c>
      <c r="B2122" s="13" t="s">
        <v>43</v>
      </c>
      <c r="D2122" s="3"/>
      <c r="E2122" s="3"/>
      <c r="F2122" s="3"/>
      <c r="G2122" s="3"/>
      <c r="H2122" s="3"/>
      <c r="I2122" s="3"/>
      <c r="J2122" s="4" t="s">
        <v>1757</v>
      </c>
    </row>
    <row r="2123">
      <c r="A2123" s="4" t="s">
        <v>6655</v>
      </c>
      <c r="B2123" s="13" t="s">
        <v>43</v>
      </c>
      <c r="D2123" s="3"/>
      <c r="E2123" s="3"/>
      <c r="F2123" s="3"/>
      <c r="G2123" s="3"/>
      <c r="H2123" s="3"/>
      <c r="I2123" s="3"/>
      <c r="J2123" s="4" t="s">
        <v>1757</v>
      </c>
    </row>
    <row r="2124">
      <c r="A2124" s="4" t="s">
        <v>6656</v>
      </c>
      <c r="B2124" s="13" t="s">
        <v>43</v>
      </c>
      <c r="D2124" s="3"/>
      <c r="E2124" s="3"/>
      <c r="F2124" s="3"/>
      <c r="G2124" s="3"/>
      <c r="H2124" s="3"/>
      <c r="I2124" s="3"/>
      <c r="J2124" s="4" t="s">
        <v>1757</v>
      </c>
    </row>
    <row r="2125">
      <c r="A2125" s="4" t="s">
        <v>6657</v>
      </c>
      <c r="B2125" s="13" t="s">
        <v>43</v>
      </c>
      <c r="D2125" s="3"/>
      <c r="E2125" s="3"/>
      <c r="F2125" s="3"/>
      <c r="G2125" s="3"/>
      <c r="H2125" s="3"/>
      <c r="I2125" s="3"/>
      <c r="J2125" s="4" t="s">
        <v>1757</v>
      </c>
    </row>
    <row r="2126">
      <c r="A2126" s="4" t="s">
        <v>6658</v>
      </c>
      <c r="B2126" s="13" t="s">
        <v>43</v>
      </c>
      <c r="D2126" s="3"/>
      <c r="E2126" s="3"/>
      <c r="F2126" s="3"/>
      <c r="G2126" s="3"/>
      <c r="H2126" s="3"/>
      <c r="I2126" s="3"/>
      <c r="J2126" s="4" t="s">
        <v>1757</v>
      </c>
    </row>
    <row r="2127">
      <c r="A2127" s="4" t="s">
        <v>6659</v>
      </c>
      <c r="B2127" s="13" t="s">
        <v>43</v>
      </c>
      <c r="D2127" s="3"/>
      <c r="E2127" s="3"/>
      <c r="F2127" s="3"/>
      <c r="G2127" s="3"/>
      <c r="H2127" s="3"/>
      <c r="I2127" s="3"/>
      <c r="J2127" s="4" t="s">
        <v>1757</v>
      </c>
    </row>
    <row r="2128">
      <c r="A2128" s="4" t="s">
        <v>6660</v>
      </c>
      <c r="B2128" s="13" t="s">
        <v>43</v>
      </c>
      <c r="D2128" s="3"/>
      <c r="E2128" s="3"/>
      <c r="F2128" s="3"/>
      <c r="G2128" s="3"/>
      <c r="H2128" s="3"/>
      <c r="I2128" s="3"/>
      <c r="J2128" s="4" t="s">
        <v>1757</v>
      </c>
    </row>
    <row r="2129">
      <c r="A2129" s="4" t="s">
        <v>6661</v>
      </c>
      <c r="B2129" s="13" t="s">
        <v>43</v>
      </c>
      <c r="D2129" s="3"/>
      <c r="E2129" s="3"/>
      <c r="F2129" s="3"/>
      <c r="G2129" s="3"/>
      <c r="H2129" s="3"/>
      <c r="I2129" s="3"/>
      <c r="J2129" s="4" t="s">
        <v>1757</v>
      </c>
    </row>
    <row r="2130">
      <c r="A2130" s="4" t="s">
        <v>6662</v>
      </c>
      <c r="B2130" s="13" t="s">
        <v>43</v>
      </c>
      <c r="D2130" s="3"/>
      <c r="E2130" s="3"/>
      <c r="F2130" s="3"/>
      <c r="G2130" s="3"/>
      <c r="H2130" s="3"/>
      <c r="I2130" s="3"/>
      <c r="J2130" s="4" t="s">
        <v>1757</v>
      </c>
    </row>
    <row r="2131">
      <c r="A2131" s="4" t="s">
        <v>6663</v>
      </c>
      <c r="B2131" s="13" t="s">
        <v>43</v>
      </c>
      <c r="D2131" s="3"/>
      <c r="E2131" s="3"/>
      <c r="F2131" s="3"/>
      <c r="G2131" s="3"/>
      <c r="H2131" s="3"/>
      <c r="I2131" s="3"/>
      <c r="J2131" s="4" t="s">
        <v>1757</v>
      </c>
    </row>
    <row r="2132">
      <c r="A2132" s="4" t="s">
        <v>6664</v>
      </c>
      <c r="B2132" s="13" t="s">
        <v>43</v>
      </c>
      <c r="D2132" s="3"/>
      <c r="E2132" s="3"/>
      <c r="F2132" s="3"/>
      <c r="G2132" s="3"/>
      <c r="H2132" s="3"/>
      <c r="I2132" s="3"/>
      <c r="J2132" s="4" t="s">
        <v>1757</v>
      </c>
    </row>
    <row r="2133">
      <c r="A2133" s="4" t="s">
        <v>6665</v>
      </c>
      <c r="B2133" s="13" t="s">
        <v>43</v>
      </c>
      <c r="D2133" s="3"/>
      <c r="E2133" s="3"/>
      <c r="F2133" s="3"/>
      <c r="G2133" s="3"/>
      <c r="H2133" s="3"/>
      <c r="I2133" s="3"/>
      <c r="J2133" s="4" t="s">
        <v>1757</v>
      </c>
    </row>
    <row r="2134">
      <c r="A2134" s="4" t="s">
        <v>6666</v>
      </c>
      <c r="B2134" s="13" t="s">
        <v>43</v>
      </c>
      <c r="D2134" s="3"/>
      <c r="E2134" s="3"/>
      <c r="F2134" s="3"/>
      <c r="G2134" s="3"/>
      <c r="H2134" s="3"/>
      <c r="I2134" s="3"/>
      <c r="J2134" s="4" t="s">
        <v>1757</v>
      </c>
    </row>
    <row r="2135">
      <c r="A2135" s="4" t="s">
        <v>6667</v>
      </c>
      <c r="B2135" s="13" t="s">
        <v>43</v>
      </c>
      <c r="D2135" s="3"/>
      <c r="E2135" s="3"/>
      <c r="F2135" s="3"/>
      <c r="G2135" s="3"/>
      <c r="H2135" s="3"/>
      <c r="I2135" s="3"/>
      <c r="J2135" s="4" t="s">
        <v>1757</v>
      </c>
    </row>
    <row r="2136">
      <c r="A2136" s="4" t="s">
        <v>6668</v>
      </c>
      <c r="B2136" s="13" t="s">
        <v>43</v>
      </c>
      <c r="D2136" s="3"/>
      <c r="E2136" s="3"/>
      <c r="F2136" s="3"/>
      <c r="G2136" s="3"/>
      <c r="H2136" s="3"/>
      <c r="I2136" s="3"/>
      <c r="J2136" s="4" t="s">
        <v>1757</v>
      </c>
    </row>
    <row r="2137">
      <c r="A2137" s="4" t="s">
        <v>6669</v>
      </c>
      <c r="B2137" s="13" t="s">
        <v>43</v>
      </c>
      <c r="D2137" s="3"/>
      <c r="E2137" s="3"/>
      <c r="F2137" s="3"/>
      <c r="G2137" s="3"/>
      <c r="H2137" s="3"/>
      <c r="I2137" s="3"/>
      <c r="J2137" s="4" t="s">
        <v>1757</v>
      </c>
    </row>
    <row r="2138">
      <c r="A2138" s="4" t="s">
        <v>6670</v>
      </c>
      <c r="B2138" s="13" t="s">
        <v>43</v>
      </c>
      <c r="D2138" s="3"/>
      <c r="E2138" s="3"/>
      <c r="F2138" s="3"/>
      <c r="G2138" s="3"/>
      <c r="H2138" s="3"/>
      <c r="I2138" s="3"/>
      <c r="J2138" s="4" t="s">
        <v>1757</v>
      </c>
    </row>
    <row r="2139">
      <c r="A2139" s="4" t="s">
        <v>6671</v>
      </c>
      <c r="B2139" s="13" t="s">
        <v>43</v>
      </c>
      <c r="D2139" s="3"/>
      <c r="E2139" s="3"/>
      <c r="F2139" s="3"/>
      <c r="G2139" s="3"/>
      <c r="H2139" s="3"/>
      <c r="I2139" s="3"/>
      <c r="J2139" s="4" t="s">
        <v>1757</v>
      </c>
    </row>
    <row r="2140">
      <c r="A2140" s="4" t="s">
        <v>6672</v>
      </c>
      <c r="B2140" s="13" t="s">
        <v>43</v>
      </c>
      <c r="D2140" s="3"/>
      <c r="E2140" s="3"/>
      <c r="F2140" s="3"/>
      <c r="G2140" s="3"/>
      <c r="H2140" s="3"/>
      <c r="I2140" s="3"/>
      <c r="J2140" s="4" t="s">
        <v>1757</v>
      </c>
    </row>
    <row r="2141">
      <c r="A2141" s="4" t="s">
        <v>6673</v>
      </c>
      <c r="B2141" s="13" t="s">
        <v>43</v>
      </c>
      <c r="D2141" s="3"/>
      <c r="E2141" s="3"/>
      <c r="F2141" s="3"/>
      <c r="G2141" s="3"/>
      <c r="H2141" s="3"/>
      <c r="I2141" s="3"/>
      <c r="J2141" s="4" t="s">
        <v>1757</v>
      </c>
    </row>
    <row r="2142">
      <c r="A2142" s="4" t="s">
        <v>6674</v>
      </c>
      <c r="B2142" s="13" t="s">
        <v>48</v>
      </c>
      <c r="C2142" s="4">
        <v>1.0</v>
      </c>
      <c r="D2142" s="3"/>
      <c r="E2142" s="3"/>
      <c r="F2142" s="3"/>
      <c r="G2142" s="3"/>
      <c r="H2142" s="4">
        <v>13.0</v>
      </c>
      <c r="I2142" s="3"/>
      <c r="J2142" s="4" t="s">
        <v>1757</v>
      </c>
    </row>
    <row r="2143">
      <c r="A2143" s="4" t="s">
        <v>6675</v>
      </c>
      <c r="B2143" s="13" t="s">
        <v>48</v>
      </c>
      <c r="C2143" s="4">
        <v>1.0</v>
      </c>
      <c r="D2143" s="3"/>
      <c r="E2143" s="3"/>
      <c r="F2143" s="3"/>
      <c r="G2143" s="3"/>
      <c r="H2143" s="4">
        <v>13.0</v>
      </c>
      <c r="I2143" s="3"/>
      <c r="J2143" s="4" t="s">
        <v>1757</v>
      </c>
    </row>
    <row r="2144">
      <c r="A2144" s="4" t="s">
        <v>6676</v>
      </c>
      <c r="B2144" s="13" t="s">
        <v>48</v>
      </c>
      <c r="C2144" s="4">
        <v>2.0</v>
      </c>
      <c r="D2144" s="3"/>
      <c r="E2144" s="4">
        <v>2.0</v>
      </c>
      <c r="F2144" s="3"/>
      <c r="G2144" s="3"/>
      <c r="H2144" s="4">
        <v>13.0</v>
      </c>
      <c r="I2144" s="3"/>
      <c r="J2144" s="4" t="s">
        <v>1757</v>
      </c>
    </row>
    <row r="2145">
      <c r="A2145" s="4" t="s">
        <v>6677</v>
      </c>
      <c r="B2145" s="13" t="s">
        <v>48</v>
      </c>
      <c r="C2145" s="4">
        <v>2.0</v>
      </c>
      <c r="D2145" s="3"/>
      <c r="E2145" s="4">
        <v>2.0</v>
      </c>
      <c r="F2145" s="3"/>
      <c r="G2145" s="3"/>
      <c r="H2145" s="4">
        <v>13.0</v>
      </c>
      <c r="I2145" s="3"/>
      <c r="J2145" s="4" t="s">
        <v>1757</v>
      </c>
    </row>
    <row r="2146">
      <c r="A2146" s="4" t="s">
        <v>6678</v>
      </c>
      <c r="B2146" s="13" t="s">
        <v>48</v>
      </c>
      <c r="C2146" s="4">
        <v>2.0</v>
      </c>
      <c r="D2146" s="3"/>
      <c r="E2146" s="4">
        <v>2.0</v>
      </c>
      <c r="F2146" s="3"/>
      <c r="G2146" s="3"/>
      <c r="H2146" s="4">
        <v>13.0</v>
      </c>
      <c r="I2146" s="3"/>
      <c r="J2146" s="4" t="s">
        <v>1757</v>
      </c>
    </row>
    <row r="2147">
      <c r="A2147" s="4" t="s">
        <v>6679</v>
      </c>
      <c r="B2147" s="13" t="s">
        <v>48</v>
      </c>
      <c r="C2147" s="4">
        <v>2.0</v>
      </c>
      <c r="D2147" s="3"/>
      <c r="E2147" s="4">
        <v>2.0</v>
      </c>
      <c r="F2147" s="3"/>
      <c r="G2147" s="3"/>
      <c r="H2147" s="4">
        <v>13.0</v>
      </c>
      <c r="I2147" s="3"/>
      <c r="J2147" s="4" t="s">
        <v>1757</v>
      </c>
    </row>
    <row r="2148">
      <c r="A2148" s="4" t="s">
        <v>6680</v>
      </c>
      <c r="B2148" s="13" t="s">
        <v>48</v>
      </c>
      <c r="C2148" s="4">
        <v>2.0</v>
      </c>
      <c r="D2148" s="3"/>
      <c r="E2148" s="4">
        <v>2.0</v>
      </c>
      <c r="F2148" s="3"/>
      <c r="G2148" s="3"/>
      <c r="H2148" s="4">
        <v>13.0</v>
      </c>
      <c r="I2148" s="3"/>
      <c r="J2148" s="4" t="s">
        <v>1757</v>
      </c>
    </row>
    <row r="2149">
      <c r="A2149" s="4" t="s">
        <v>6681</v>
      </c>
      <c r="B2149" s="13" t="s">
        <v>48</v>
      </c>
      <c r="C2149" s="4">
        <v>2.0</v>
      </c>
      <c r="D2149" s="3"/>
      <c r="E2149" s="4">
        <v>2.0</v>
      </c>
      <c r="F2149" s="3"/>
      <c r="G2149" s="3"/>
      <c r="H2149" s="4">
        <v>13.0</v>
      </c>
      <c r="I2149" s="3"/>
      <c r="J2149" s="4" t="s">
        <v>1757</v>
      </c>
    </row>
    <row r="2150">
      <c r="A2150" s="4" t="s">
        <v>6682</v>
      </c>
      <c r="B2150" s="13" t="s">
        <v>48</v>
      </c>
      <c r="C2150" s="4">
        <v>2.0</v>
      </c>
      <c r="D2150" s="3"/>
      <c r="E2150" s="4">
        <v>2.0</v>
      </c>
      <c r="F2150" s="3"/>
      <c r="G2150" s="3"/>
      <c r="H2150" s="4">
        <v>13.0</v>
      </c>
      <c r="I2150" s="3"/>
      <c r="J2150" s="4" t="s">
        <v>1757</v>
      </c>
    </row>
    <row r="2151">
      <c r="A2151" s="4" t="s">
        <v>6683</v>
      </c>
      <c r="B2151" s="13" t="s">
        <v>48</v>
      </c>
      <c r="C2151" s="4">
        <v>2.0</v>
      </c>
      <c r="D2151" s="3"/>
      <c r="E2151" s="4">
        <v>2.0</v>
      </c>
      <c r="F2151" s="3"/>
      <c r="G2151" s="3"/>
      <c r="H2151" s="4">
        <v>13.0</v>
      </c>
      <c r="I2151" s="3"/>
      <c r="J2151" s="4" t="s">
        <v>1757</v>
      </c>
    </row>
    <row r="2152">
      <c r="A2152" s="4" t="s">
        <v>6684</v>
      </c>
      <c r="B2152" s="13" t="s">
        <v>48</v>
      </c>
      <c r="C2152" s="4">
        <v>2.0</v>
      </c>
      <c r="D2152" s="3"/>
      <c r="E2152" s="4">
        <v>2.0</v>
      </c>
      <c r="F2152" s="3"/>
      <c r="G2152" s="3"/>
      <c r="H2152" s="4">
        <v>13.0</v>
      </c>
      <c r="I2152" s="3"/>
    </row>
    <row r="2153">
      <c r="A2153" s="4" t="s">
        <v>6685</v>
      </c>
      <c r="B2153" s="13" t="s">
        <v>48</v>
      </c>
      <c r="C2153" s="4">
        <v>2.0</v>
      </c>
      <c r="D2153" s="3"/>
      <c r="E2153" s="4">
        <v>2.0</v>
      </c>
      <c r="F2153" s="3"/>
      <c r="G2153" s="3"/>
      <c r="H2153" s="4">
        <v>13.0</v>
      </c>
      <c r="I2153" s="3"/>
    </row>
    <row r="2154">
      <c r="A2154" s="4" t="s">
        <v>6686</v>
      </c>
      <c r="B2154" s="13" t="s">
        <v>48</v>
      </c>
      <c r="C2154" s="4">
        <v>2.0</v>
      </c>
      <c r="D2154" s="3"/>
      <c r="E2154" s="4">
        <v>2.0</v>
      </c>
      <c r="F2154" s="3"/>
      <c r="G2154" s="3"/>
      <c r="H2154" s="4">
        <v>13.0</v>
      </c>
      <c r="I2154" s="3"/>
    </row>
    <row r="2155">
      <c r="A2155" s="4" t="s">
        <v>6687</v>
      </c>
      <c r="B2155" s="13" t="s">
        <v>48</v>
      </c>
      <c r="C2155" s="4">
        <v>2.0</v>
      </c>
      <c r="D2155" s="3"/>
      <c r="E2155" s="4">
        <v>2.0</v>
      </c>
      <c r="F2155" s="3"/>
      <c r="G2155" s="3"/>
      <c r="H2155" s="4">
        <v>13.0</v>
      </c>
      <c r="I2155" s="3"/>
    </row>
    <row r="2156">
      <c r="A2156" s="4" t="s">
        <v>6688</v>
      </c>
      <c r="B2156" s="13" t="s">
        <v>48</v>
      </c>
      <c r="C2156" s="4">
        <v>1.0</v>
      </c>
      <c r="D2156" s="3"/>
      <c r="E2156" s="4">
        <v>2.0</v>
      </c>
      <c r="F2156" s="3"/>
      <c r="G2156" s="3"/>
      <c r="H2156" s="3"/>
      <c r="I2156" s="3"/>
    </row>
    <row r="2157">
      <c r="A2157" s="4" t="s">
        <v>6689</v>
      </c>
      <c r="B2157" s="13" t="s">
        <v>48</v>
      </c>
      <c r="C2157" s="4">
        <v>1.0</v>
      </c>
      <c r="D2157" s="3"/>
      <c r="E2157" s="4">
        <v>2.0</v>
      </c>
      <c r="F2157" s="3"/>
      <c r="G2157" s="3"/>
      <c r="H2157" s="3"/>
      <c r="I2157" s="3"/>
    </row>
    <row r="2158">
      <c r="A2158" s="4" t="s">
        <v>6690</v>
      </c>
      <c r="B2158" s="13" t="s">
        <v>48</v>
      </c>
      <c r="C2158" s="4">
        <v>1.0</v>
      </c>
      <c r="D2158" s="3"/>
      <c r="E2158" s="4">
        <v>2.0</v>
      </c>
      <c r="F2158" s="3"/>
      <c r="G2158" s="3"/>
      <c r="H2158" s="3"/>
      <c r="I2158" s="3"/>
    </row>
    <row r="2159">
      <c r="A2159" s="4" t="s">
        <v>6691</v>
      </c>
      <c r="B2159" s="13" t="s">
        <v>48</v>
      </c>
      <c r="C2159" s="4">
        <v>1.0</v>
      </c>
      <c r="D2159" s="3"/>
      <c r="E2159" s="4">
        <v>2.0</v>
      </c>
      <c r="F2159" s="3"/>
      <c r="G2159" s="3"/>
      <c r="H2159" s="3"/>
      <c r="I2159" s="3"/>
    </row>
    <row r="2160">
      <c r="A2160" s="4" t="s">
        <v>6692</v>
      </c>
      <c r="B2160" s="13" t="s">
        <v>48</v>
      </c>
      <c r="C2160" s="4">
        <v>1.0</v>
      </c>
      <c r="D2160" s="3"/>
      <c r="E2160" s="4">
        <v>2.0</v>
      </c>
      <c r="F2160" s="3"/>
      <c r="G2160" s="3"/>
      <c r="H2160" s="3"/>
      <c r="I2160" s="3"/>
    </row>
    <row r="2161">
      <c r="A2161" s="4" t="s">
        <v>6693</v>
      </c>
      <c r="B2161" s="13" t="s">
        <v>48</v>
      </c>
      <c r="C2161" s="4">
        <v>1.0</v>
      </c>
      <c r="D2161" s="3"/>
      <c r="E2161" s="4">
        <v>2.0</v>
      </c>
      <c r="F2161" s="3"/>
      <c r="G2161" s="3"/>
      <c r="H2161" s="3"/>
      <c r="I2161" s="3"/>
    </row>
    <row r="2162">
      <c r="A2162" s="4" t="s">
        <v>6694</v>
      </c>
      <c r="B2162" s="13" t="s">
        <v>48</v>
      </c>
      <c r="C2162" s="4">
        <v>1.0</v>
      </c>
      <c r="D2162" s="3"/>
      <c r="E2162" s="4">
        <v>2.0</v>
      </c>
      <c r="F2162" s="3"/>
      <c r="G2162" s="3"/>
      <c r="H2162" s="3"/>
      <c r="I2162" s="3"/>
    </row>
    <row r="2163">
      <c r="A2163" s="4" t="s">
        <v>6695</v>
      </c>
      <c r="B2163" s="13" t="s">
        <v>48</v>
      </c>
      <c r="C2163" s="4">
        <v>1.0</v>
      </c>
      <c r="D2163" s="3"/>
      <c r="E2163" s="4">
        <v>2.0</v>
      </c>
      <c r="F2163" s="3"/>
      <c r="G2163" s="3"/>
      <c r="H2163" s="3"/>
      <c r="I2163" s="3"/>
    </row>
    <row r="2164">
      <c r="A2164" s="4" t="s">
        <v>6696</v>
      </c>
      <c r="B2164" s="13" t="s">
        <v>48</v>
      </c>
      <c r="C2164" s="4">
        <v>1.0</v>
      </c>
      <c r="D2164" s="3"/>
      <c r="E2164" s="4">
        <v>2.0</v>
      </c>
      <c r="F2164" s="3"/>
      <c r="G2164" s="3"/>
      <c r="H2164" s="3"/>
      <c r="I2164" s="3"/>
    </row>
    <row r="2165">
      <c r="A2165" s="4" t="s">
        <v>6697</v>
      </c>
      <c r="B2165" s="13" t="s">
        <v>48</v>
      </c>
      <c r="C2165" s="4">
        <v>1.0</v>
      </c>
      <c r="D2165" s="3"/>
      <c r="E2165" s="4">
        <v>2.0</v>
      </c>
      <c r="F2165" s="3"/>
      <c r="G2165" s="3"/>
      <c r="H2165" s="3"/>
      <c r="I2165" s="3"/>
    </row>
    <row r="2166">
      <c r="A2166" s="4" t="s">
        <v>6698</v>
      </c>
      <c r="B2166" s="13" t="s">
        <v>48</v>
      </c>
      <c r="C2166" s="4">
        <v>1.0</v>
      </c>
      <c r="D2166" s="3"/>
      <c r="E2166" s="4">
        <v>2.0</v>
      </c>
      <c r="F2166" s="3"/>
      <c r="G2166" s="3"/>
      <c r="H2166" s="3"/>
      <c r="I2166" s="3"/>
    </row>
    <row r="2167">
      <c r="A2167" s="4" t="s">
        <v>6699</v>
      </c>
      <c r="B2167" s="13" t="s">
        <v>48</v>
      </c>
      <c r="C2167" s="4">
        <v>1.0</v>
      </c>
      <c r="D2167" s="3"/>
      <c r="E2167" s="4">
        <v>2.0</v>
      </c>
      <c r="F2167" s="3"/>
      <c r="G2167" s="3"/>
      <c r="H2167" s="3"/>
      <c r="I2167" s="3"/>
    </row>
    <row r="2168">
      <c r="A2168" s="4" t="s">
        <v>6700</v>
      </c>
      <c r="B2168" s="13" t="s">
        <v>48</v>
      </c>
      <c r="C2168" s="4">
        <v>1.0</v>
      </c>
      <c r="D2168" s="3"/>
      <c r="E2168" s="4">
        <v>2.0</v>
      </c>
      <c r="F2168" s="3"/>
      <c r="G2168" s="3"/>
      <c r="H2168" s="3"/>
      <c r="I2168" s="3"/>
    </row>
    <row r="2169">
      <c r="A2169" s="4" t="s">
        <v>6701</v>
      </c>
      <c r="B2169" s="13" t="s">
        <v>48</v>
      </c>
      <c r="C2169" s="4">
        <v>1.0</v>
      </c>
      <c r="D2169" s="3"/>
      <c r="E2169" s="4">
        <v>2.0</v>
      </c>
      <c r="F2169" s="3"/>
      <c r="G2169" s="3"/>
      <c r="H2169" s="3"/>
      <c r="I2169" s="3"/>
    </row>
    <row r="2170">
      <c r="A2170" s="4" t="s">
        <v>6702</v>
      </c>
      <c r="B2170" s="13" t="s">
        <v>48</v>
      </c>
      <c r="C2170" s="4">
        <v>1.0</v>
      </c>
      <c r="D2170" s="3"/>
      <c r="E2170" s="4">
        <v>2.0</v>
      </c>
      <c r="F2170" s="3"/>
      <c r="G2170" s="3"/>
      <c r="H2170" s="3"/>
      <c r="I2170" s="3"/>
    </row>
    <row r="2171">
      <c r="A2171" s="4" t="s">
        <v>6703</v>
      </c>
      <c r="B2171" s="13" t="s">
        <v>48</v>
      </c>
      <c r="C2171" s="4">
        <v>1.0</v>
      </c>
      <c r="D2171" s="3"/>
      <c r="E2171" s="4">
        <v>2.0</v>
      </c>
      <c r="F2171" s="3"/>
      <c r="G2171" s="3"/>
      <c r="H2171" s="3"/>
      <c r="I2171" s="3"/>
    </row>
    <row r="2172">
      <c r="A2172" s="4" t="s">
        <v>6704</v>
      </c>
      <c r="B2172" s="13" t="s">
        <v>48</v>
      </c>
      <c r="C2172" s="4">
        <v>1.0</v>
      </c>
      <c r="D2172" s="3"/>
      <c r="E2172" s="4">
        <v>2.0</v>
      </c>
      <c r="F2172" s="3"/>
      <c r="G2172" s="3"/>
      <c r="H2172" s="3"/>
      <c r="I2172" s="3"/>
    </row>
    <row r="2173">
      <c r="A2173" s="4" t="s">
        <v>6705</v>
      </c>
      <c r="B2173" s="13" t="s">
        <v>48</v>
      </c>
      <c r="C2173" s="4">
        <v>1.0</v>
      </c>
      <c r="D2173" s="3"/>
      <c r="E2173" s="4">
        <v>2.0</v>
      </c>
      <c r="F2173" s="3"/>
      <c r="G2173" s="3"/>
      <c r="H2173" s="3"/>
      <c r="I2173" s="3"/>
    </row>
    <row r="2174">
      <c r="A2174" s="4" t="s">
        <v>6706</v>
      </c>
      <c r="B2174" s="13" t="s">
        <v>48</v>
      </c>
      <c r="C2174" s="4">
        <v>1.0</v>
      </c>
      <c r="D2174" s="3"/>
      <c r="E2174" s="4">
        <v>2.0</v>
      </c>
      <c r="F2174" s="3"/>
      <c r="G2174" s="3"/>
      <c r="H2174" s="3"/>
      <c r="I2174" s="3"/>
    </row>
    <row r="2175">
      <c r="A2175" s="4" t="s">
        <v>6707</v>
      </c>
      <c r="B2175" s="13" t="s">
        <v>48</v>
      </c>
      <c r="C2175" s="4">
        <v>1.0</v>
      </c>
      <c r="D2175" s="3"/>
      <c r="E2175" s="4">
        <v>2.0</v>
      </c>
      <c r="F2175" s="3"/>
      <c r="G2175" s="3"/>
      <c r="H2175" s="3"/>
      <c r="I2175" s="3"/>
    </row>
    <row r="2176">
      <c r="A2176" s="4" t="s">
        <v>6708</v>
      </c>
      <c r="B2176" s="13" t="s">
        <v>48</v>
      </c>
      <c r="C2176" s="4">
        <v>1.0</v>
      </c>
      <c r="D2176" s="3"/>
      <c r="E2176" s="4">
        <v>2.0</v>
      </c>
      <c r="F2176" s="3"/>
      <c r="G2176" s="3"/>
      <c r="H2176" s="3"/>
      <c r="I2176" s="3"/>
    </row>
    <row r="2177">
      <c r="A2177" s="4" t="s">
        <v>6709</v>
      </c>
      <c r="B2177" s="13" t="s">
        <v>48</v>
      </c>
      <c r="C2177" s="4">
        <v>1.0</v>
      </c>
      <c r="D2177" s="3"/>
      <c r="E2177" s="4">
        <v>2.0</v>
      </c>
      <c r="F2177" s="3"/>
      <c r="G2177" s="3"/>
      <c r="H2177" s="3"/>
      <c r="I2177" s="3"/>
    </row>
    <row r="2178">
      <c r="A2178" s="4" t="s">
        <v>6710</v>
      </c>
      <c r="B2178" s="13" t="s">
        <v>48</v>
      </c>
      <c r="C2178" s="4">
        <v>2.0</v>
      </c>
      <c r="D2178" s="3"/>
      <c r="E2178" s="4">
        <v>2.0</v>
      </c>
      <c r="F2178" s="3"/>
      <c r="G2178" s="3"/>
      <c r="H2178" s="4">
        <v>13.0</v>
      </c>
      <c r="I2178" s="3"/>
    </row>
    <row r="2179">
      <c r="A2179" s="4" t="s">
        <v>6711</v>
      </c>
      <c r="B2179" s="13" t="s">
        <v>48</v>
      </c>
      <c r="C2179" s="4">
        <v>3.0</v>
      </c>
      <c r="D2179" s="3"/>
      <c r="E2179" s="4">
        <v>2.0</v>
      </c>
      <c r="F2179" s="4">
        <v>9.0</v>
      </c>
      <c r="G2179" s="3"/>
      <c r="H2179" s="4">
        <v>13.0</v>
      </c>
      <c r="I2179" s="3"/>
    </row>
    <row r="2180">
      <c r="A2180" s="4" t="s">
        <v>6712</v>
      </c>
      <c r="B2180" s="13" t="s">
        <v>48</v>
      </c>
      <c r="C2180" s="4">
        <v>3.0</v>
      </c>
      <c r="D2180" s="3"/>
      <c r="E2180" s="4">
        <v>2.0</v>
      </c>
      <c r="F2180" s="4">
        <v>9.0</v>
      </c>
      <c r="G2180" s="3"/>
      <c r="H2180" s="4">
        <v>13.0</v>
      </c>
      <c r="I2180" s="3"/>
    </row>
    <row r="2181">
      <c r="A2181" s="4" t="s">
        <v>6713</v>
      </c>
      <c r="B2181" s="13" t="s">
        <v>48</v>
      </c>
      <c r="C2181" s="4">
        <v>3.0</v>
      </c>
      <c r="D2181" s="3"/>
      <c r="E2181" s="4">
        <v>2.0</v>
      </c>
      <c r="F2181" s="4">
        <v>9.0</v>
      </c>
      <c r="G2181" s="3"/>
      <c r="H2181" s="4">
        <v>13.0</v>
      </c>
      <c r="I2181" s="3"/>
    </row>
    <row r="2182">
      <c r="A2182" s="4" t="s">
        <v>6714</v>
      </c>
      <c r="B2182" s="13" t="s">
        <v>48</v>
      </c>
      <c r="C2182" s="4">
        <v>3.0</v>
      </c>
      <c r="D2182" s="3"/>
      <c r="E2182" s="4">
        <v>2.0</v>
      </c>
      <c r="F2182" s="4">
        <v>9.0</v>
      </c>
      <c r="G2182" s="3"/>
      <c r="H2182" s="4">
        <v>13.0</v>
      </c>
      <c r="I2182" s="3"/>
    </row>
    <row r="2183">
      <c r="A2183" s="4" t="s">
        <v>6715</v>
      </c>
      <c r="B2183" s="13" t="s">
        <v>48</v>
      </c>
      <c r="C2183" s="4">
        <v>3.0</v>
      </c>
      <c r="D2183" s="3"/>
      <c r="E2183" s="4">
        <v>2.0</v>
      </c>
      <c r="F2183" s="4">
        <v>9.0</v>
      </c>
      <c r="G2183" s="3"/>
      <c r="H2183" s="4">
        <v>13.0</v>
      </c>
      <c r="I2183" s="3"/>
    </row>
    <row r="2184">
      <c r="A2184" s="4" t="s">
        <v>6716</v>
      </c>
      <c r="B2184" s="13" t="s">
        <v>48</v>
      </c>
      <c r="C2184" s="4">
        <v>3.0</v>
      </c>
      <c r="D2184" s="3"/>
      <c r="E2184" s="4">
        <v>2.0</v>
      </c>
      <c r="F2184" s="4">
        <v>9.0</v>
      </c>
      <c r="G2184" s="3"/>
      <c r="H2184" s="4">
        <v>13.0</v>
      </c>
      <c r="I2184" s="3"/>
      <c r="J2184" s="4" t="s">
        <v>1757</v>
      </c>
    </row>
    <row r="2185">
      <c r="A2185" s="4" t="s">
        <v>6717</v>
      </c>
      <c r="B2185" s="13" t="s">
        <v>48</v>
      </c>
      <c r="C2185" s="4">
        <v>3.0</v>
      </c>
      <c r="D2185" s="3"/>
      <c r="E2185" s="4">
        <v>2.0</v>
      </c>
      <c r="F2185" s="4">
        <v>9.0</v>
      </c>
      <c r="G2185" s="3"/>
      <c r="H2185" s="4">
        <v>13.0</v>
      </c>
      <c r="I2185" s="3"/>
      <c r="J2185" s="4" t="s">
        <v>1757</v>
      </c>
    </row>
    <row r="2186">
      <c r="A2186" s="4" t="s">
        <v>6718</v>
      </c>
      <c r="B2186" s="13" t="s">
        <v>48</v>
      </c>
      <c r="C2186" s="4">
        <v>3.0</v>
      </c>
      <c r="D2186" s="3"/>
      <c r="E2186" s="4">
        <v>2.0</v>
      </c>
      <c r="F2186" s="4">
        <v>9.0</v>
      </c>
      <c r="G2186" s="3"/>
      <c r="H2186" s="4">
        <v>13.0</v>
      </c>
      <c r="I2186" s="3"/>
      <c r="J2186" s="4" t="s">
        <v>1757</v>
      </c>
    </row>
    <row r="2187">
      <c r="A2187" s="4" t="s">
        <v>6719</v>
      </c>
      <c r="B2187" s="13" t="s">
        <v>48</v>
      </c>
      <c r="C2187" s="4">
        <v>3.0</v>
      </c>
      <c r="D2187" s="3"/>
      <c r="E2187" s="4">
        <v>2.0</v>
      </c>
      <c r="F2187" s="4">
        <v>9.0</v>
      </c>
      <c r="G2187" s="3"/>
      <c r="H2187" s="4">
        <v>13.0</v>
      </c>
      <c r="I2187" s="3"/>
      <c r="J2187" s="4" t="s">
        <v>1757</v>
      </c>
    </row>
    <row r="2188">
      <c r="A2188" s="4" t="s">
        <v>6720</v>
      </c>
      <c r="B2188" s="13" t="s">
        <v>48</v>
      </c>
      <c r="C2188" s="4">
        <v>3.0</v>
      </c>
      <c r="D2188" s="3"/>
      <c r="E2188" s="4">
        <v>2.0</v>
      </c>
      <c r="F2188" s="4">
        <v>9.0</v>
      </c>
      <c r="G2188" s="3"/>
      <c r="H2188" s="4">
        <v>13.0</v>
      </c>
      <c r="I2188" s="3"/>
      <c r="J2188" s="4" t="s">
        <v>1757</v>
      </c>
    </row>
    <row r="2189">
      <c r="A2189" s="4" t="s">
        <v>6721</v>
      </c>
      <c r="B2189" s="13" t="s">
        <v>48</v>
      </c>
      <c r="C2189" s="4">
        <v>3.0</v>
      </c>
      <c r="D2189" s="3"/>
      <c r="E2189" s="4">
        <v>2.0</v>
      </c>
      <c r="F2189" s="4">
        <v>9.0</v>
      </c>
      <c r="G2189" s="3"/>
      <c r="H2189" s="4">
        <v>13.0</v>
      </c>
      <c r="I2189" s="3"/>
    </row>
    <row r="2190">
      <c r="A2190" s="4" t="s">
        <v>6722</v>
      </c>
      <c r="B2190" s="13" t="s">
        <v>48</v>
      </c>
      <c r="C2190" s="4">
        <v>3.0</v>
      </c>
      <c r="D2190" s="3"/>
      <c r="E2190" s="4">
        <v>2.0</v>
      </c>
      <c r="F2190" s="4">
        <v>9.0</v>
      </c>
      <c r="G2190" s="3"/>
      <c r="H2190" s="4">
        <v>13.0</v>
      </c>
      <c r="I2190" s="3"/>
    </row>
    <row r="2191">
      <c r="A2191" s="4" t="s">
        <v>6723</v>
      </c>
      <c r="B2191" s="13" t="s">
        <v>48</v>
      </c>
      <c r="C2191" s="4">
        <v>3.0</v>
      </c>
      <c r="D2191" s="3"/>
      <c r="E2191" s="4">
        <v>2.0</v>
      </c>
      <c r="F2191" s="4">
        <v>9.0</v>
      </c>
      <c r="G2191" s="3"/>
      <c r="H2191" s="4">
        <v>13.0</v>
      </c>
      <c r="I2191" s="3"/>
    </row>
    <row r="2192">
      <c r="A2192" s="4" t="s">
        <v>6724</v>
      </c>
      <c r="B2192" s="13" t="s">
        <v>48</v>
      </c>
      <c r="C2192" s="4">
        <v>3.0</v>
      </c>
      <c r="D2192" s="3"/>
      <c r="E2192" s="4">
        <v>2.0</v>
      </c>
      <c r="F2192" s="4">
        <v>9.0</v>
      </c>
      <c r="G2192" s="3"/>
      <c r="H2192" s="4">
        <v>13.0</v>
      </c>
      <c r="I2192" s="3"/>
    </row>
    <row r="2193">
      <c r="A2193" s="4" t="s">
        <v>6725</v>
      </c>
      <c r="B2193" s="13" t="s">
        <v>48</v>
      </c>
      <c r="C2193" s="4">
        <v>3.0</v>
      </c>
      <c r="D2193" s="3"/>
      <c r="E2193" s="4">
        <v>2.0</v>
      </c>
      <c r="F2193" s="4">
        <v>9.0</v>
      </c>
      <c r="G2193" s="3"/>
      <c r="H2193" s="4">
        <v>13.0</v>
      </c>
      <c r="I2193" s="3"/>
    </row>
    <row r="2194">
      <c r="A2194" s="4" t="s">
        <v>6726</v>
      </c>
      <c r="B2194" s="13" t="s">
        <v>48</v>
      </c>
      <c r="C2194" s="4">
        <v>3.0</v>
      </c>
      <c r="D2194" s="3"/>
      <c r="E2194" s="4">
        <v>2.0</v>
      </c>
      <c r="F2194" s="4">
        <v>9.0</v>
      </c>
      <c r="G2194" s="3"/>
      <c r="H2194" s="4">
        <v>13.0</v>
      </c>
      <c r="I2194" s="3"/>
    </row>
    <row r="2195">
      <c r="A2195" s="4" t="s">
        <v>6727</v>
      </c>
      <c r="B2195" s="13" t="s">
        <v>48</v>
      </c>
      <c r="C2195" s="4">
        <v>3.0</v>
      </c>
      <c r="D2195" s="3"/>
      <c r="E2195" s="4">
        <v>2.0</v>
      </c>
      <c r="F2195" s="4">
        <v>9.0</v>
      </c>
      <c r="G2195" s="3"/>
      <c r="H2195" s="4">
        <v>13.0</v>
      </c>
      <c r="I2195" s="3"/>
    </row>
    <row r="2196">
      <c r="A2196" s="4" t="s">
        <v>6728</v>
      </c>
      <c r="B2196" s="13" t="s">
        <v>48</v>
      </c>
      <c r="C2196" s="4">
        <v>3.0</v>
      </c>
      <c r="D2196" s="3"/>
      <c r="E2196" s="4">
        <v>2.0</v>
      </c>
      <c r="F2196" s="4">
        <v>9.0</v>
      </c>
      <c r="G2196" s="3"/>
      <c r="H2196" s="4">
        <v>13.0</v>
      </c>
      <c r="I2196" s="3"/>
    </row>
    <row r="2197">
      <c r="A2197" s="4" t="s">
        <v>6729</v>
      </c>
      <c r="B2197" s="13" t="s">
        <v>48</v>
      </c>
      <c r="C2197" s="4">
        <v>3.0</v>
      </c>
      <c r="D2197" s="3"/>
      <c r="E2197" s="4">
        <v>2.0</v>
      </c>
      <c r="F2197" s="4">
        <v>9.0</v>
      </c>
      <c r="G2197" s="3"/>
      <c r="H2197" s="4">
        <v>13.0</v>
      </c>
      <c r="I2197" s="3"/>
    </row>
    <row r="2198">
      <c r="A2198" s="4" t="s">
        <v>6730</v>
      </c>
      <c r="B2198" s="13" t="s">
        <v>48</v>
      </c>
      <c r="C2198" s="4">
        <v>3.0</v>
      </c>
      <c r="D2198" s="3"/>
      <c r="E2198" s="4">
        <v>2.0</v>
      </c>
      <c r="F2198" s="4">
        <v>9.0</v>
      </c>
      <c r="G2198" s="3"/>
      <c r="H2198" s="4">
        <v>13.0</v>
      </c>
      <c r="I2198" s="3"/>
    </row>
    <row r="2199">
      <c r="A2199" s="4" t="s">
        <v>6731</v>
      </c>
      <c r="B2199" s="13" t="s">
        <v>48</v>
      </c>
      <c r="C2199" s="4">
        <v>3.0</v>
      </c>
      <c r="D2199" s="3"/>
      <c r="E2199" s="4">
        <v>2.0</v>
      </c>
      <c r="F2199" s="4">
        <v>9.0</v>
      </c>
      <c r="G2199" s="3"/>
      <c r="H2199" s="4">
        <v>13.0</v>
      </c>
      <c r="I2199" s="3"/>
    </row>
    <row r="2200">
      <c r="A2200" s="4" t="s">
        <v>6732</v>
      </c>
      <c r="B2200" s="13" t="s">
        <v>48</v>
      </c>
      <c r="C2200" s="4">
        <v>3.0</v>
      </c>
      <c r="D2200" s="3"/>
      <c r="E2200" s="4">
        <v>2.0</v>
      </c>
      <c r="F2200" s="4">
        <v>9.0</v>
      </c>
      <c r="G2200" s="3"/>
      <c r="H2200" s="4">
        <v>13.0</v>
      </c>
      <c r="I2200" s="3"/>
    </row>
    <row r="2201">
      <c r="A2201" s="4" t="s">
        <v>6733</v>
      </c>
      <c r="B2201" s="13" t="s">
        <v>48</v>
      </c>
      <c r="C2201" s="4">
        <v>3.0</v>
      </c>
      <c r="D2201" s="3"/>
      <c r="E2201" s="4">
        <v>2.0</v>
      </c>
      <c r="F2201" s="4">
        <v>9.0</v>
      </c>
      <c r="G2201" s="3"/>
      <c r="H2201" s="4">
        <v>13.0</v>
      </c>
      <c r="I2201" s="3"/>
    </row>
    <row r="2202">
      <c r="A2202" s="4" t="s">
        <v>6734</v>
      </c>
      <c r="B2202" s="13" t="s">
        <v>48</v>
      </c>
      <c r="C2202" s="4">
        <v>3.0</v>
      </c>
      <c r="D2202" s="3"/>
      <c r="E2202" s="4">
        <v>2.0</v>
      </c>
      <c r="F2202" s="4">
        <v>9.0</v>
      </c>
      <c r="G2202" s="3"/>
      <c r="H2202" s="4">
        <v>13.0</v>
      </c>
      <c r="I2202" s="3"/>
    </row>
    <row r="2203">
      <c r="A2203" s="4" t="s">
        <v>6735</v>
      </c>
      <c r="B2203" s="13" t="s">
        <v>48</v>
      </c>
      <c r="C2203" s="4">
        <v>2.0</v>
      </c>
      <c r="D2203" s="3"/>
      <c r="E2203" s="4">
        <v>2.0</v>
      </c>
      <c r="F2203" s="3"/>
      <c r="G2203" s="3"/>
      <c r="H2203" s="4">
        <v>13.0</v>
      </c>
      <c r="I2203" s="3"/>
    </row>
    <row r="2204">
      <c r="A2204" s="4" t="s">
        <v>6736</v>
      </c>
      <c r="B2204" s="13" t="s">
        <v>48</v>
      </c>
      <c r="C2204" s="4">
        <v>1.0</v>
      </c>
      <c r="D2204" s="3"/>
      <c r="E2204" s="4">
        <v>2.0</v>
      </c>
      <c r="F2204" s="3"/>
      <c r="G2204" s="3"/>
      <c r="H2204" s="3"/>
      <c r="I2204" s="3"/>
    </row>
    <row r="2205">
      <c r="A2205" s="4" t="s">
        <v>6737</v>
      </c>
      <c r="B2205" s="13" t="s">
        <v>48</v>
      </c>
      <c r="C2205" s="4">
        <v>1.0</v>
      </c>
      <c r="D2205" s="3"/>
      <c r="E2205" s="4">
        <v>2.0</v>
      </c>
      <c r="F2205" s="3"/>
      <c r="G2205" s="3"/>
      <c r="H2205" s="3"/>
      <c r="I2205" s="3"/>
    </row>
    <row r="2206">
      <c r="A2206" s="4" t="s">
        <v>6738</v>
      </c>
      <c r="B2206" s="13" t="s">
        <v>48</v>
      </c>
      <c r="C2206" s="4">
        <v>1.0</v>
      </c>
      <c r="D2206" s="3"/>
      <c r="E2206" s="4">
        <v>2.0</v>
      </c>
      <c r="F2206" s="3"/>
      <c r="G2206" s="3"/>
      <c r="H2206" s="3"/>
      <c r="I2206" s="3"/>
    </row>
    <row r="2207">
      <c r="A2207" s="4" t="s">
        <v>6739</v>
      </c>
      <c r="B2207" s="13" t="s">
        <v>48</v>
      </c>
      <c r="C2207" s="4">
        <v>1.0</v>
      </c>
      <c r="D2207" s="3"/>
      <c r="E2207" s="4">
        <v>2.0</v>
      </c>
      <c r="F2207" s="3"/>
      <c r="G2207" s="3"/>
      <c r="H2207" s="3"/>
      <c r="I2207" s="3"/>
    </row>
    <row r="2208">
      <c r="A2208" s="4" t="s">
        <v>6740</v>
      </c>
      <c r="B2208" s="13" t="s">
        <v>48</v>
      </c>
      <c r="C2208" s="4">
        <v>1.0</v>
      </c>
      <c r="D2208" s="3"/>
      <c r="E2208" s="4">
        <v>2.0</v>
      </c>
      <c r="F2208" s="3"/>
      <c r="G2208" s="3"/>
      <c r="H2208" s="3"/>
      <c r="I2208" s="3"/>
    </row>
    <row r="2209">
      <c r="A2209" s="4" t="s">
        <v>6741</v>
      </c>
      <c r="B2209" s="13" t="s">
        <v>48</v>
      </c>
      <c r="C2209" s="4">
        <v>1.0</v>
      </c>
      <c r="D2209" s="3"/>
      <c r="E2209" s="4">
        <v>2.0</v>
      </c>
      <c r="F2209" s="3"/>
      <c r="G2209" s="3"/>
      <c r="H2209" s="3"/>
      <c r="I2209" s="3"/>
    </row>
    <row r="2210">
      <c r="A2210" s="4" t="s">
        <v>6742</v>
      </c>
      <c r="B2210" s="13" t="s">
        <v>48</v>
      </c>
      <c r="C2210" s="4">
        <v>1.0</v>
      </c>
      <c r="D2210" s="3"/>
      <c r="E2210" s="4">
        <v>2.0</v>
      </c>
      <c r="F2210" s="3"/>
      <c r="G2210" s="3"/>
      <c r="H2210" s="3"/>
      <c r="I2210" s="3"/>
    </row>
    <row r="2211">
      <c r="A2211" s="4" t="s">
        <v>6743</v>
      </c>
      <c r="B2211" s="13" t="s">
        <v>48</v>
      </c>
      <c r="C2211" s="4">
        <v>1.0</v>
      </c>
      <c r="D2211" s="3"/>
      <c r="E2211" s="4">
        <v>2.0</v>
      </c>
      <c r="F2211" s="3"/>
      <c r="G2211" s="3"/>
      <c r="H2211" s="3"/>
      <c r="I2211" s="3"/>
    </row>
    <row r="2212">
      <c r="A2212" s="4" t="s">
        <v>6744</v>
      </c>
      <c r="B2212" s="13" t="s">
        <v>48</v>
      </c>
      <c r="C2212" s="4">
        <v>2.0</v>
      </c>
      <c r="D2212" s="3"/>
      <c r="E2212" s="4">
        <v>2.0</v>
      </c>
      <c r="F2212" s="3"/>
      <c r="G2212" s="3"/>
      <c r="H2212" s="4">
        <v>13.0</v>
      </c>
      <c r="I2212" s="3"/>
    </row>
    <row r="2213">
      <c r="A2213" s="4" t="s">
        <v>6745</v>
      </c>
      <c r="B2213" s="13" t="s">
        <v>48</v>
      </c>
      <c r="C2213" s="4">
        <v>2.0</v>
      </c>
      <c r="D2213" s="3"/>
      <c r="E2213" s="4">
        <v>2.0</v>
      </c>
      <c r="F2213" s="3"/>
      <c r="G2213" s="3"/>
      <c r="H2213" s="4">
        <v>13.0</v>
      </c>
      <c r="I2213" s="3"/>
    </row>
    <row r="2214">
      <c r="A2214" s="4" t="s">
        <v>6746</v>
      </c>
      <c r="B2214" s="13" t="s">
        <v>48</v>
      </c>
      <c r="C2214" s="4">
        <v>2.0</v>
      </c>
      <c r="D2214" s="3"/>
      <c r="E2214" s="4">
        <v>2.0</v>
      </c>
      <c r="F2214" s="3"/>
      <c r="G2214" s="3"/>
      <c r="H2214" s="4">
        <v>13.0</v>
      </c>
      <c r="I2214" s="3"/>
    </row>
    <row r="2215">
      <c r="A2215" s="4" t="s">
        <v>6747</v>
      </c>
      <c r="B2215" s="13" t="s">
        <v>48</v>
      </c>
      <c r="C2215" s="4">
        <v>3.0</v>
      </c>
      <c r="D2215" s="3"/>
      <c r="E2215" s="4">
        <v>2.0</v>
      </c>
      <c r="F2215" s="4">
        <v>9.0</v>
      </c>
      <c r="G2215" s="3"/>
      <c r="H2215" s="4">
        <v>13.0</v>
      </c>
      <c r="I2215" s="3"/>
    </row>
    <row r="2216">
      <c r="A2216" s="4" t="s">
        <v>6748</v>
      </c>
      <c r="B2216" s="13" t="s">
        <v>48</v>
      </c>
      <c r="C2216" s="4">
        <v>3.0</v>
      </c>
      <c r="D2216" s="3"/>
      <c r="E2216" s="4">
        <v>2.0</v>
      </c>
      <c r="F2216" s="4">
        <v>9.0</v>
      </c>
      <c r="G2216" s="3"/>
      <c r="H2216" s="4">
        <v>13.0</v>
      </c>
      <c r="I2216" s="3"/>
      <c r="J2216" s="4" t="s">
        <v>1757</v>
      </c>
    </row>
    <row r="2217">
      <c r="A2217" s="4" t="s">
        <v>6749</v>
      </c>
      <c r="B2217" s="13" t="s">
        <v>48</v>
      </c>
      <c r="C2217" s="4">
        <v>3.0</v>
      </c>
      <c r="D2217" s="3"/>
      <c r="E2217" s="4">
        <v>2.0</v>
      </c>
      <c r="F2217" s="4">
        <v>9.0</v>
      </c>
      <c r="G2217" s="3"/>
      <c r="H2217" s="4">
        <v>13.0</v>
      </c>
      <c r="I2217" s="3"/>
      <c r="J2217" s="4" t="s">
        <v>1757</v>
      </c>
    </row>
    <row r="2218">
      <c r="A2218" s="4" t="s">
        <v>6750</v>
      </c>
      <c r="B2218" s="13" t="s">
        <v>48</v>
      </c>
      <c r="C2218" s="4">
        <v>3.0</v>
      </c>
      <c r="D2218" s="3"/>
      <c r="E2218" s="4">
        <v>2.0</v>
      </c>
      <c r="F2218" s="4">
        <v>9.0</v>
      </c>
      <c r="G2218" s="3"/>
      <c r="H2218" s="4">
        <v>13.0</v>
      </c>
      <c r="I2218" s="3"/>
      <c r="J2218" s="4" t="s">
        <v>1757</v>
      </c>
    </row>
    <row r="2219">
      <c r="A2219" s="4" t="s">
        <v>6751</v>
      </c>
      <c r="B2219" s="13" t="s">
        <v>48</v>
      </c>
      <c r="C2219" s="4">
        <v>3.0</v>
      </c>
      <c r="D2219" s="3"/>
      <c r="E2219" s="4">
        <v>2.0</v>
      </c>
      <c r="F2219" s="4">
        <v>9.0</v>
      </c>
      <c r="G2219" s="3"/>
      <c r="H2219" s="4">
        <v>13.0</v>
      </c>
      <c r="I2219" s="3"/>
      <c r="J2219" s="4" t="s">
        <v>1757</v>
      </c>
    </row>
    <row r="2220">
      <c r="A2220" s="4" t="s">
        <v>6752</v>
      </c>
      <c r="B2220" s="13" t="s">
        <v>48</v>
      </c>
      <c r="C2220" s="4">
        <v>3.0</v>
      </c>
      <c r="D2220" s="3"/>
      <c r="E2220" s="4">
        <v>2.0</v>
      </c>
      <c r="F2220" s="4">
        <v>9.0</v>
      </c>
      <c r="G2220" s="3"/>
      <c r="H2220" s="4">
        <v>13.0</v>
      </c>
      <c r="I2220" s="3"/>
      <c r="J2220" s="4" t="s">
        <v>1757</v>
      </c>
      <c r="K2220" s="4" t="s">
        <v>1757</v>
      </c>
      <c r="L2220" s="4" t="s">
        <v>1757</v>
      </c>
    </row>
    <row r="2221">
      <c r="A2221" s="4" t="s">
        <v>6753</v>
      </c>
      <c r="B2221" s="13" t="s">
        <v>48</v>
      </c>
      <c r="C2221" s="4">
        <v>3.0</v>
      </c>
      <c r="D2221" s="3"/>
      <c r="E2221" s="4">
        <v>2.0</v>
      </c>
      <c r="F2221" s="4">
        <v>9.0</v>
      </c>
      <c r="G2221" s="3"/>
      <c r="H2221" s="4">
        <v>13.0</v>
      </c>
      <c r="I2221" s="3"/>
      <c r="J2221" s="4" t="s">
        <v>1757</v>
      </c>
      <c r="K2221" s="4" t="s">
        <v>1757</v>
      </c>
      <c r="L2221" s="4" t="s">
        <v>1757</v>
      </c>
    </row>
    <row r="2222">
      <c r="A2222" s="4" t="s">
        <v>6754</v>
      </c>
      <c r="B2222" s="13" t="s">
        <v>48</v>
      </c>
      <c r="C2222" s="4">
        <v>3.0</v>
      </c>
      <c r="D2222" s="3"/>
      <c r="E2222" s="4">
        <v>2.0</v>
      </c>
      <c r="F2222" s="4">
        <v>9.0</v>
      </c>
      <c r="G2222" s="3"/>
      <c r="H2222" s="4">
        <v>13.0</v>
      </c>
      <c r="I2222" s="3"/>
      <c r="J2222" s="4" t="s">
        <v>1757</v>
      </c>
      <c r="K2222" s="4" t="s">
        <v>1757</v>
      </c>
      <c r="L2222" s="4" t="s">
        <v>1757</v>
      </c>
    </row>
    <row r="2223">
      <c r="A2223" s="4" t="s">
        <v>6755</v>
      </c>
      <c r="B2223" s="13" t="s">
        <v>48</v>
      </c>
      <c r="C2223" s="4">
        <v>3.0</v>
      </c>
      <c r="D2223" s="3"/>
      <c r="E2223" s="4">
        <v>2.0</v>
      </c>
      <c r="F2223" s="4">
        <v>9.0</v>
      </c>
      <c r="G2223" s="3"/>
      <c r="H2223" s="4">
        <v>13.0</v>
      </c>
      <c r="I2223" s="3"/>
      <c r="J2223" s="4" t="s">
        <v>1757</v>
      </c>
      <c r="K2223" s="4" t="s">
        <v>1757</v>
      </c>
      <c r="L2223" s="4" t="s">
        <v>1757</v>
      </c>
    </row>
    <row r="2224">
      <c r="A2224" s="4" t="s">
        <v>6756</v>
      </c>
      <c r="B2224" s="13" t="s">
        <v>48</v>
      </c>
      <c r="C2224" s="4">
        <v>3.0</v>
      </c>
      <c r="D2224" s="3"/>
      <c r="E2224" s="4">
        <v>2.0</v>
      </c>
      <c r="F2224" s="4">
        <v>9.0</v>
      </c>
      <c r="G2224" s="3"/>
      <c r="H2224" s="4">
        <v>13.0</v>
      </c>
      <c r="I2224" s="3"/>
      <c r="J2224" s="4" t="s">
        <v>1757</v>
      </c>
      <c r="K2224" s="4" t="s">
        <v>1757</v>
      </c>
      <c r="L2224" s="4" t="s">
        <v>1757</v>
      </c>
    </row>
    <row r="2225">
      <c r="A2225" s="4" t="s">
        <v>6757</v>
      </c>
      <c r="B2225" s="13" t="s">
        <v>48</v>
      </c>
      <c r="C2225" s="4">
        <v>3.0</v>
      </c>
      <c r="D2225" s="3"/>
      <c r="E2225" s="4">
        <v>2.0</v>
      </c>
      <c r="F2225" s="4">
        <v>9.0</v>
      </c>
      <c r="G2225" s="3"/>
      <c r="H2225" s="4">
        <v>13.0</v>
      </c>
      <c r="I2225" s="3"/>
      <c r="J2225" s="4" t="s">
        <v>1757</v>
      </c>
      <c r="K2225" s="4" t="s">
        <v>1757</v>
      </c>
      <c r="L2225" s="4" t="s">
        <v>1757</v>
      </c>
    </row>
    <row r="2226">
      <c r="A2226" s="4" t="s">
        <v>6758</v>
      </c>
      <c r="B2226" s="13" t="s">
        <v>48</v>
      </c>
      <c r="C2226" s="4">
        <v>3.0</v>
      </c>
      <c r="D2226" s="3"/>
      <c r="E2226" s="4">
        <v>2.0</v>
      </c>
      <c r="F2226" s="4">
        <v>9.0</v>
      </c>
      <c r="G2226" s="3"/>
      <c r="H2226" s="4">
        <v>13.0</v>
      </c>
      <c r="I2226" s="3"/>
      <c r="J2226" s="4" t="s">
        <v>1757</v>
      </c>
      <c r="K2226" s="4" t="s">
        <v>1757</v>
      </c>
      <c r="L2226" s="4" t="s">
        <v>1757</v>
      </c>
    </row>
    <row r="2227">
      <c r="A2227" s="4" t="s">
        <v>6759</v>
      </c>
      <c r="B2227" s="13" t="s">
        <v>48</v>
      </c>
      <c r="C2227" s="4">
        <v>3.0</v>
      </c>
      <c r="D2227" s="3"/>
      <c r="E2227" s="4">
        <v>2.0</v>
      </c>
      <c r="F2227" s="4">
        <v>9.0</v>
      </c>
      <c r="G2227" s="3"/>
      <c r="H2227" s="4">
        <v>13.0</v>
      </c>
      <c r="I2227" s="3"/>
      <c r="J2227" s="4" t="s">
        <v>1757</v>
      </c>
      <c r="K2227" s="4" t="s">
        <v>1757</v>
      </c>
      <c r="L2227" s="4" t="s">
        <v>1757</v>
      </c>
    </row>
    <row r="2228">
      <c r="A2228" s="4" t="s">
        <v>6760</v>
      </c>
      <c r="B2228" s="13" t="s">
        <v>48</v>
      </c>
      <c r="C2228" s="4">
        <v>4.0</v>
      </c>
      <c r="D2228" s="4">
        <v>1.0</v>
      </c>
      <c r="E2228" s="4">
        <v>2.0</v>
      </c>
      <c r="F2228" s="4">
        <v>9.0</v>
      </c>
      <c r="G2228" s="3"/>
      <c r="H2228" s="4">
        <v>13.0</v>
      </c>
      <c r="I2228" s="3"/>
      <c r="J2228" s="4" t="s">
        <v>1757</v>
      </c>
      <c r="K2228" s="4" t="s">
        <v>1757</v>
      </c>
      <c r="L2228" s="4" t="s">
        <v>1757</v>
      </c>
    </row>
    <row r="2229">
      <c r="A2229" s="4" t="s">
        <v>6761</v>
      </c>
      <c r="B2229" s="13" t="s">
        <v>48</v>
      </c>
      <c r="C2229" s="4">
        <v>3.0</v>
      </c>
      <c r="D2229" s="3"/>
      <c r="E2229" s="4">
        <v>2.0</v>
      </c>
      <c r="F2229" s="4">
        <v>9.0</v>
      </c>
      <c r="G2229" s="3"/>
      <c r="H2229" s="4">
        <v>13.0</v>
      </c>
      <c r="I2229" s="3"/>
      <c r="J2229" s="4" t="s">
        <v>1757</v>
      </c>
      <c r="K2229" s="4" t="s">
        <v>1757</v>
      </c>
      <c r="L2229" s="4" t="s">
        <v>1757</v>
      </c>
    </row>
    <row r="2230">
      <c r="A2230" s="4" t="s">
        <v>6762</v>
      </c>
      <c r="B2230" s="13" t="s">
        <v>48</v>
      </c>
      <c r="C2230" s="4">
        <v>4.0</v>
      </c>
      <c r="D2230" s="4">
        <v>1.0</v>
      </c>
      <c r="E2230" s="4">
        <v>2.0</v>
      </c>
      <c r="F2230" s="4">
        <v>9.0</v>
      </c>
      <c r="G2230" s="3"/>
      <c r="H2230" s="4">
        <v>13.0</v>
      </c>
      <c r="I2230" s="3"/>
      <c r="J2230" s="4" t="s">
        <v>1757</v>
      </c>
      <c r="K2230" s="4" t="s">
        <v>1757</v>
      </c>
      <c r="L2230" s="4" t="s">
        <v>1757</v>
      </c>
    </row>
    <row r="2231">
      <c r="A2231" s="4" t="s">
        <v>6763</v>
      </c>
      <c r="B2231" s="13" t="s">
        <v>48</v>
      </c>
      <c r="C2231" s="4">
        <v>4.0</v>
      </c>
      <c r="D2231" s="4">
        <v>1.0</v>
      </c>
      <c r="E2231" s="4">
        <v>2.0</v>
      </c>
      <c r="F2231" s="4">
        <v>9.0</v>
      </c>
      <c r="G2231" s="3"/>
      <c r="H2231" s="4">
        <v>13.0</v>
      </c>
      <c r="I2231" s="3"/>
      <c r="J2231" s="4" t="s">
        <v>1757</v>
      </c>
      <c r="K2231" s="4" t="s">
        <v>1757</v>
      </c>
      <c r="L2231" s="4" t="s">
        <v>1757</v>
      </c>
    </row>
    <row r="2232">
      <c r="A2232" s="4" t="s">
        <v>6764</v>
      </c>
      <c r="B2232" s="13" t="s">
        <v>48</v>
      </c>
      <c r="C2232" s="4">
        <v>5.0</v>
      </c>
      <c r="D2232" s="4">
        <v>1.0</v>
      </c>
      <c r="E2232" s="4">
        <v>2.0</v>
      </c>
      <c r="F2232" s="4">
        <v>9.0</v>
      </c>
      <c r="G2232" s="3"/>
      <c r="H2232" s="4">
        <v>13.0</v>
      </c>
      <c r="I2232" s="4">
        <v>15.0</v>
      </c>
      <c r="J2232" s="4" t="s">
        <v>1757</v>
      </c>
      <c r="K2232" s="4" t="s">
        <v>1757</v>
      </c>
      <c r="L2232" s="4" t="s">
        <v>1757</v>
      </c>
    </row>
    <row r="2233">
      <c r="A2233" s="4" t="s">
        <v>6765</v>
      </c>
      <c r="B2233" s="13" t="s">
        <v>48</v>
      </c>
      <c r="C2233" s="4">
        <v>4.0</v>
      </c>
      <c r="D2233" s="4">
        <v>1.0</v>
      </c>
      <c r="E2233" s="4">
        <v>2.0</v>
      </c>
      <c r="F2233" s="4">
        <v>9.0</v>
      </c>
      <c r="G2233" s="3"/>
      <c r="H2233" s="4">
        <v>13.0</v>
      </c>
      <c r="I2233" s="3"/>
      <c r="J2233" s="4" t="s">
        <v>1757</v>
      </c>
      <c r="K2233" s="4" t="s">
        <v>1757</v>
      </c>
      <c r="L2233" s="4" t="s">
        <v>1757</v>
      </c>
    </row>
    <row r="2234">
      <c r="A2234" s="4" t="s">
        <v>6766</v>
      </c>
      <c r="B2234" s="13" t="s">
        <v>48</v>
      </c>
      <c r="C2234" s="4">
        <v>4.0</v>
      </c>
      <c r="D2234" s="4">
        <v>1.0</v>
      </c>
      <c r="E2234" s="4">
        <v>2.0</v>
      </c>
      <c r="F2234" s="4">
        <v>9.0</v>
      </c>
      <c r="G2234" s="3"/>
      <c r="H2234" s="4">
        <v>13.0</v>
      </c>
      <c r="I2234" s="3"/>
      <c r="J2234" s="4" t="s">
        <v>1757</v>
      </c>
      <c r="K2234" s="4" t="s">
        <v>1757</v>
      </c>
      <c r="L2234" s="4" t="s">
        <v>1757</v>
      </c>
    </row>
    <row r="2235">
      <c r="A2235" s="4" t="s">
        <v>6767</v>
      </c>
      <c r="B2235" s="13" t="s">
        <v>48</v>
      </c>
      <c r="C2235" s="4">
        <v>4.0</v>
      </c>
      <c r="D2235" s="4">
        <v>1.0</v>
      </c>
      <c r="E2235" s="4">
        <v>2.0</v>
      </c>
      <c r="F2235" s="4">
        <v>9.0</v>
      </c>
      <c r="G2235" s="3"/>
      <c r="H2235" s="4">
        <v>13.0</v>
      </c>
      <c r="I2235" s="3"/>
      <c r="J2235" s="4" t="s">
        <v>1757</v>
      </c>
      <c r="K2235" s="4" t="s">
        <v>1757</v>
      </c>
      <c r="L2235" s="4" t="s">
        <v>1757</v>
      </c>
    </row>
    <row r="2236">
      <c r="A2236" s="4" t="s">
        <v>6768</v>
      </c>
      <c r="B2236" s="13" t="s">
        <v>48</v>
      </c>
      <c r="C2236" s="4">
        <v>4.0</v>
      </c>
      <c r="D2236" s="4">
        <v>1.0</v>
      </c>
      <c r="E2236" s="4">
        <v>2.0</v>
      </c>
      <c r="F2236" s="4">
        <v>9.0</v>
      </c>
      <c r="G2236" s="3"/>
      <c r="H2236" s="4">
        <v>13.0</v>
      </c>
      <c r="I2236" s="3"/>
      <c r="J2236" s="4" t="s">
        <v>1757</v>
      </c>
      <c r="K2236" s="4" t="s">
        <v>1757</v>
      </c>
      <c r="L2236" s="4" t="s">
        <v>1757</v>
      </c>
    </row>
    <row r="2237">
      <c r="A2237" s="4" t="s">
        <v>6769</v>
      </c>
      <c r="B2237" s="13" t="s">
        <v>48</v>
      </c>
      <c r="C2237" s="4">
        <v>4.0</v>
      </c>
      <c r="D2237" s="4">
        <v>1.0</v>
      </c>
      <c r="E2237" s="4">
        <v>2.0</v>
      </c>
      <c r="F2237" s="4">
        <v>9.0</v>
      </c>
      <c r="G2237" s="3"/>
      <c r="H2237" s="4">
        <v>13.0</v>
      </c>
      <c r="I2237" s="3"/>
      <c r="J2237" s="4" t="s">
        <v>1757</v>
      </c>
      <c r="K2237" s="4" t="s">
        <v>1757</v>
      </c>
      <c r="L2237" s="4" t="s">
        <v>1757</v>
      </c>
    </row>
    <row r="2238">
      <c r="A2238" s="4" t="s">
        <v>6770</v>
      </c>
      <c r="B2238" s="13" t="s">
        <v>48</v>
      </c>
      <c r="C2238" s="4">
        <v>3.0</v>
      </c>
      <c r="D2238" s="3"/>
      <c r="E2238" s="4">
        <v>2.0</v>
      </c>
      <c r="F2238" s="4">
        <v>9.0</v>
      </c>
      <c r="G2238" s="3"/>
      <c r="H2238" s="4">
        <v>13.0</v>
      </c>
      <c r="I2238" s="3"/>
      <c r="J2238" s="4" t="s">
        <v>1757</v>
      </c>
      <c r="K2238" s="4" t="s">
        <v>1757</v>
      </c>
      <c r="L2238" s="4" t="s">
        <v>1757</v>
      </c>
    </row>
    <row r="2239">
      <c r="A2239" s="4" t="s">
        <v>6771</v>
      </c>
      <c r="B2239" s="13" t="s">
        <v>48</v>
      </c>
      <c r="C2239" s="4">
        <v>3.0</v>
      </c>
      <c r="D2239" s="3"/>
      <c r="E2239" s="4">
        <v>2.0</v>
      </c>
      <c r="F2239" s="4">
        <v>9.0</v>
      </c>
      <c r="G2239" s="3"/>
      <c r="H2239" s="4">
        <v>13.0</v>
      </c>
      <c r="I2239" s="3"/>
      <c r="J2239" s="4" t="s">
        <v>1757</v>
      </c>
      <c r="K2239" s="4" t="s">
        <v>1757</v>
      </c>
      <c r="L2239" s="4" t="s">
        <v>1757</v>
      </c>
    </row>
    <row r="2240">
      <c r="A2240" s="4" t="s">
        <v>6772</v>
      </c>
      <c r="B2240" s="13" t="s">
        <v>48</v>
      </c>
      <c r="C2240" s="4">
        <v>3.0</v>
      </c>
      <c r="D2240" s="3"/>
      <c r="E2240" s="4">
        <v>2.0</v>
      </c>
      <c r="F2240" s="4">
        <v>9.0</v>
      </c>
      <c r="G2240" s="3"/>
      <c r="H2240" s="4">
        <v>13.0</v>
      </c>
      <c r="I2240" s="3"/>
      <c r="J2240" s="4" t="s">
        <v>1757</v>
      </c>
      <c r="K2240" s="4" t="s">
        <v>1757</v>
      </c>
      <c r="L2240" s="4" t="s">
        <v>1757</v>
      </c>
    </row>
    <row r="2241">
      <c r="A2241" s="4" t="s">
        <v>6773</v>
      </c>
      <c r="B2241" s="13" t="s">
        <v>48</v>
      </c>
      <c r="C2241" s="4">
        <v>3.0</v>
      </c>
      <c r="D2241" s="3"/>
      <c r="E2241" s="4">
        <v>2.0</v>
      </c>
      <c r="F2241" s="4">
        <v>9.0</v>
      </c>
      <c r="G2241" s="3"/>
      <c r="H2241" s="4">
        <v>13.0</v>
      </c>
      <c r="I2241" s="3"/>
      <c r="J2241" s="4" t="s">
        <v>1757</v>
      </c>
      <c r="K2241" s="4" t="s">
        <v>1757</v>
      </c>
      <c r="L2241" s="4" t="s">
        <v>1757</v>
      </c>
    </row>
    <row r="2242">
      <c r="A2242" s="4" t="s">
        <v>6774</v>
      </c>
      <c r="B2242" s="13" t="s">
        <v>48</v>
      </c>
      <c r="C2242" s="4">
        <v>3.0</v>
      </c>
      <c r="D2242" s="3"/>
      <c r="E2242" s="4">
        <v>2.0</v>
      </c>
      <c r="F2242" s="4">
        <v>9.0</v>
      </c>
      <c r="G2242" s="3"/>
      <c r="H2242" s="4">
        <v>13.0</v>
      </c>
      <c r="I2242" s="3"/>
      <c r="J2242" s="4" t="s">
        <v>1757</v>
      </c>
      <c r="K2242" s="4" t="s">
        <v>1757</v>
      </c>
      <c r="L2242" s="4" t="s">
        <v>1757</v>
      </c>
    </row>
    <row r="2243">
      <c r="A2243" s="4" t="s">
        <v>6775</v>
      </c>
      <c r="B2243" s="13" t="s">
        <v>48</v>
      </c>
      <c r="C2243" s="4">
        <v>3.0</v>
      </c>
      <c r="D2243" s="3"/>
      <c r="E2243" s="4">
        <v>2.0</v>
      </c>
      <c r="F2243" s="4">
        <v>9.0</v>
      </c>
      <c r="G2243" s="3"/>
      <c r="H2243" s="4">
        <v>13.0</v>
      </c>
      <c r="I2243" s="3"/>
      <c r="J2243" s="4" t="s">
        <v>1757</v>
      </c>
    </row>
    <row r="2244">
      <c r="A2244" s="4" t="s">
        <v>6776</v>
      </c>
      <c r="B2244" s="13" t="s">
        <v>48</v>
      </c>
      <c r="C2244" s="4">
        <v>3.0</v>
      </c>
      <c r="D2244" s="3"/>
      <c r="E2244" s="4">
        <v>2.0</v>
      </c>
      <c r="F2244" s="4">
        <v>9.0</v>
      </c>
      <c r="G2244" s="3"/>
      <c r="H2244" s="4">
        <v>13.0</v>
      </c>
      <c r="I2244" s="3"/>
    </row>
    <row r="2245">
      <c r="A2245" s="4" t="s">
        <v>6777</v>
      </c>
      <c r="B2245" s="13" t="s">
        <v>48</v>
      </c>
      <c r="C2245" s="4">
        <v>3.0</v>
      </c>
      <c r="D2245" s="3"/>
      <c r="E2245" s="4">
        <v>2.0</v>
      </c>
      <c r="F2245" s="4">
        <v>9.0</v>
      </c>
      <c r="G2245" s="3"/>
      <c r="H2245" s="4">
        <v>13.0</v>
      </c>
      <c r="I2245" s="3"/>
    </row>
    <row r="2246">
      <c r="A2246" s="4" t="s">
        <v>6778</v>
      </c>
      <c r="B2246" s="13" t="s">
        <v>48</v>
      </c>
      <c r="C2246" s="4">
        <v>3.0</v>
      </c>
      <c r="D2246" s="3"/>
      <c r="E2246" s="4">
        <v>2.0</v>
      </c>
      <c r="F2246" s="4">
        <v>9.0</v>
      </c>
      <c r="G2246" s="3"/>
      <c r="H2246" s="4">
        <v>13.0</v>
      </c>
      <c r="I2246" s="3"/>
    </row>
    <row r="2247">
      <c r="A2247" s="4" t="s">
        <v>6779</v>
      </c>
      <c r="B2247" s="13" t="s">
        <v>48</v>
      </c>
      <c r="C2247" s="4">
        <v>3.0</v>
      </c>
      <c r="D2247" s="3"/>
      <c r="E2247" s="4">
        <v>2.0</v>
      </c>
      <c r="F2247" s="4">
        <v>9.0</v>
      </c>
      <c r="G2247" s="3"/>
      <c r="H2247" s="4">
        <v>13.0</v>
      </c>
      <c r="I2247" s="3"/>
    </row>
    <row r="2248">
      <c r="A2248" s="4" t="s">
        <v>6780</v>
      </c>
      <c r="B2248" s="13" t="s">
        <v>48</v>
      </c>
      <c r="C2248" s="4">
        <v>3.0</v>
      </c>
      <c r="D2248" s="3"/>
      <c r="E2248" s="4">
        <v>2.0</v>
      </c>
      <c r="F2248" s="4">
        <v>9.0</v>
      </c>
      <c r="G2248" s="3"/>
      <c r="H2248" s="4">
        <v>13.0</v>
      </c>
      <c r="I2248" s="3"/>
    </row>
    <row r="2249">
      <c r="A2249" s="4" t="s">
        <v>6781</v>
      </c>
      <c r="B2249" s="13" t="s">
        <v>48</v>
      </c>
      <c r="C2249" s="4">
        <v>2.0</v>
      </c>
      <c r="D2249" s="3"/>
      <c r="E2249" s="4">
        <v>2.0</v>
      </c>
      <c r="F2249" s="3"/>
      <c r="G2249" s="3"/>
      <c r="H2249" s="4">
        <v>13.0</v>
      </c>
      <c r="I2249" s="3"/>
    </row>
    <row r="2250">
      <c r="A2250" s="4" t="s">
        <v>6782</v>
      </c>
      <c r="B2250" s="13" t="s">
        <v>48</v>
      </c>
      <c r="C2250" s="4">
        <v>1.0</v>
      </c>
      <c r="D2250" s="3"/>
      <c r="E2250" s="4">
        <v>2.0</v>
      </c>
      <c r="F2250" s="3"/>
      <c r="G2250" s="3"/>
      <c r="H2250" s="3"/>
      <c r="I2250" s="3"/>
    </row>
    <row r="2251">
      <c r="A2251" s="4" t="s">
        <v>6783</v>
      </c>
      <c r="B2251" s="13" t="s">
        <v>48</v>
      </c>
      <c r="C2251" s="4">
        <v>1.0</v>
      </c>
      <c r="D2251" s="3"/>
      <c r="E2251" s="4">
        <v>2.0</v>
      </c>
      <c r="F2251" s="3"/>
      <c r="G2251" s="3"/>
      <c r="H2251" s="3"/>
      <c r="I2251" s="3"/>
    </row>
    <row r="2252">
      <c r="A2252" s="4" t="s">
        <v>6784</v>
      </c>
      <c r="B2252" s="13" t="s">
        <v>48</v>
      </c>
      <c r="C2252" s="4">
        <v>1.0</v>
      </c>
      <c r="D2252" s="3"/>
      <c r="E2252" s="4">
        <v>2.0</v>
      </c>
      <c r="F2252" s="3"/>
      <c r="G2252" s="3"/>
      <c r="H2252" s="3"/>
      <c r="I2252" s="3"/>
    </row>
    <row r="2253">
      <c r="A2253" s="4" t="s">
        <v>6785</v>
      </c>
      <c r="B2253" s="13" t="s">
        <v>48</v>
      </c>
      <c r="C2253" s="4">
        <v>1.0</v>
      </c>
      <c r="D2253" s="3"/>
      <c r="E2253" s="4">
        <v>2.0</v>
      </c>
      <c r="F2253" s="3"/>
      <c r="G2253" s="3"/>
      <c r="H2253" s="3"/>
      <c r="I2253" s="3"/>
    </row>
    <row r="2254">
      <c r="A2254" s="4" t="s">
        <v>6786</v>
      </c>
      <c r="B2254" s="13" t="s">
        <v>48</v>
      </c>
      <c r="C2254" s="4">
        <v>1.0</v>
      </c>
      <c r="D2254" s="3"/>
      <c r="E2254" s="4">
        <v>2.0</v>
      </c>
      <c r="F2254" s="3"/>
      <c r="G2254" s="3"/>
      <c r="H2254" s="3"/>
      <c r="I2254" s="3"/>
    </row>
    <row r="2255">
      <c r="A2255" s="4" t="s">
        <v>6787</v>
      </c>
      <c r="B2255" s="13" t="s">
        <v>48</v>
      </c>
      <c r="C2255" s="4">
        <v>1.0</v>
      </c>
      <c r="D2255" s="3"/>
      <c r="E2255" s="4">
        <v>2.0</v>
      </c>
      <c r="F2255" s="3"/>
      <c r="G2255" s="3"/>
      <c r="H2255" s="3"/>
      <c r="I2255" s="3"/>
    </row>
    <row r="2256">
      <c r="A2256" s="4" t="s">
        <v>6788</v>
      </c>
      <c r="B2256" s="13" t="s">
        <v>48</v>
      </c>
      <c r="C2256" s="4">
        <v>1.0</v>
      </c>
      <c r="D2256" s="3"/>
      <c r="E2256" s="4">
        <v>2.0</v>
      </c>
      <c r="F2256" s="3"/>
      <c r="G2256" s="3"/>
      <c r="H2256" s="3"/>
      <c r="I2256" s="3"/>
    </row>
    <row r="2257">
      <c r="A2257" s="4" t="s">
        <v>6789</v>
      </c>
      <c r="B2257" s="13" t="s">
        <v>48</v>
      </c>
      <c r="C2257" s="4">
        <v>1.0</v>
      </c>
      <c r="D2257" s="3"/>
      <c r="E2257" s="4">
        <v>2.0</v>
      </c>
      <c r="F2257" s="3"/>
      <c r="G2257" s="3"/>
      <c r="H2257" s="3"/>
      <c r="I2257" s="3"/>
    </row>
    <row r="2258">
      <c r="A2258" s="4" t="s">
        <v>6790</v>
      </c>
      <c r="B2258" s="13" t="s">
        <v>48</v>
      </c>
      <c r="C2258" s="4">
        <v>1.0</v>
      </c>
      <c r="D2258" s="3"/>
      <c r="E2258" s="4">
        <v>2.0</v>
      </c>
      <c r="F2258" s="3"/>
      <c r="G2258" s="3"/>
      <c r="H2258" s="3"/>
      <c r="I2258" s="3"/>
    </row>
    <row r="2259">
      <c r="A2259" s="4" t="s">
        <v>6791</v>
      </c>
      <c r="B2259" s="13" t="s">
        <v>48</v>
      </c>
      <c r="C2259" s="4">
        <v>1.0</v>
      </c>
      <c r="D2259" s="3"/>
      <c r="E2259" s="4">
        <v>2.0</v>
      </c>
      <c r="F2259" s="3"/>
      <c r="G2259" s="3"/>
      <c r="H2259" s="3"/>
      <c r="I2259" s="3"/>
    </row>
    <row r="2260">
      <c r="A2260" s="4" t="s">
        <v>6792</v>
      </c>
      <c r="B2260" s="13" t="s">
        <v>48</v>
      </c>
      <c r="C2260" s="4">
        <v>1.0</v>
      </c>
      <c r="D2260" s="3"/>
      <c r="E2260" s="4">
        <v>2.0</v>
      </c>
      <c r="F2260" s="3"/>
      <c r="G2260" s="3"/>
      <c r="H2260" s="3"/>
      <c r="I2260" s="3"/>
    </row>
    <row r="2261">
      <c r="A2261" s="4" t="s">
        <v>6793</v>
      </c>
      <c r="B2261" s="13" t="s">
        <v>48</v>
      </c>
      <c r="C2261" s="4">
        <v>1.0</v>
      </c>
      <c r="D2261" s="3"/>
      <c r="E2261" s="4">
        <v>2.0</v>
      </c>
      <c r="F2261" s="3"/>
      <c r="G2261" s="3"/>
      <c r="H2261" s="3"/>
      <c r="I2261" s="3"/>
    </row>
    <row r="2262">
      <c r="A2262" s="4" t="s">
        <v>6794</v>
      </c>
      <c r="B2262" s="13" t="s">
        <v>48</v>
      </c>
      <c r="C2262" s="4">
        <v>1.0</v>
      </c>
      <c r="D2262" s="3"/>
      <c r="E2262" s="4">
        <v>2.0</v>
      </c>
      <c r="F2262" s="3"/>
      <c r="G2262" s="3"/>
      <c r="H2262" s="3"/>
      <c r="I2262" s="3"/>
    </row>
    <row r="2263">
      <c r="A2263" s="4" t="s">
        <v>6795</v>
      </c>
      <c r="B2263" s="13" t="s">
        <v>48</v>
      </c>
      <c r="C2263" s="4">
        <v>1.0</v>
      </c>
      <c r="D2263" s="3"/>
      <c r="E2263" s="4">
        <v>2.0</v>
      </c>
      <c r="F2263" s="3"/>
      <c r="G2263" s="3"/>
      <c r="H2263" s="3"/>
      <c r="I2263" s="3"/>
    </row>
    <row r="2264">
      <c r="A2264" s="4" t="s">
        <v>6796</v>
      </c>
      <c r="B2264" s="13" t="s">
        <v>48</v>
      </c>
      <c r="C2264" s="4">
        <v>1.0</v>
      </c>
      <c r="D2264" s="3"/>
      <c r="E2264" s="4">
        <v>2.0</v>
      </c>
      <c r="F2264" s="3"/>
      <c r="G2264" s="3"/>
      <c r="H2264" s="3"/>
      <c r="I2264" s="3"/>
    </row>
    <row r="2265">
      <c r="A2265" s="4" t="s">
        <v>6797</v>
      </c>
      <c r="B2265" s="13" t="s">
        <v>48</v>
      </c>
      <c r="C2265" s="4">
        <v>1.0</v>
      </c>
      <c r="D2265" s="3"/>
      <c r="E2265" s="4">
        <v>2.0</v>
      </c>
      <c r="F2265" s="3"/>
      <c r="G2265" s="3"/>
      <c r="H2265" s="3"/>
      <c r="I2265" s="3"/>
    </row>
    <row r="2266">
      <c r="A2266" s="4" t="s">
        <v>6798</v>
      </c>
      <c r="B2266" s="13" t="s">
        <v>48</v>
      </c>
      <c r="C2266" s="4">
        <v>1.0</v>
      </c>
      <c r="D2266" s="3"/>
      <c r="E2266" s="4">
        <v>2.0</v>
      </c>
      <c r="F2266" s="3"/>
      <c r="G2266" s="3"/>
      <c r="H2266" s="3"/>
      <c r="I2266" s="3"/>
    </row>
    <row r="2267">
      <c r="A2267" s="4" t="s">
        <v>6799</v>
      </c>
      <c r="B2267" s="13" t="s">
        <v>48</v>
      </c>
      <c r="C2267" s="4">
        <v>1.0</v>
      </c>
      <c r="D2267" s="3"/>
      <c r="E2267" s="4">
        <v>2.0</v>
      </c>
      <c r="F2267" s="3"/>
      <c r="G2267" s="3"/>
      <c r="H2267" s="3"/>
      <c r="I2267" s="3"/>
    </row>
    <row r="2268">
      <c r="A2268" s="4" t="s">
        <v>6800</v>
      </c>
      <c r="B2268" s="13" t="s">
        <v>48</v>
      </c>
      <c r="C2268" s="4">
        <v>1.0</v>
      </c>
      <c r="D2268" s="3"/>
      <c r="E2268" s="4">
        <v>2.0</v>
      </c>
      <c r="F2268" s="3"/>
      <c r="G2268" s="3"/>
      <c r="H2268" s="3"/>
      <c r="I2268" s="3"/>
    </row>
    <row r="2269">
      <c r="A2269" s="4" t="s">
        <v>6801</v>
      </c>
      <c r="B2269" s="13" t="s">
        <v>48</v>
      </c>
      <c r="C2269" s="4">
        <v>2.0</v>
      </c>
      <c r="D2269" s="3"/>
      <c r="E2269" s="4">
        <v>2.0</v>
      </c>
      <c r="F2269" s="4">
        <v>9.0</v>
      </c>
      <c r="G2269" s="3"/>
      <c r="H2269" s="3"/>
      <c r="I2269" s="3"/>
    </row>
    <row r="2270">
      <c r="A2270" s="4" t="s">
        <v>6802</v>
      </c>
      <c r="B2270" s="13" t="s">
        <v>48</v>
      </c>
      <c r="C2270" s="4">
        <v>2.0</v>
      </c>
      <c r="D2270" s="3"/>
      <c r="E2270" s="4">
        <v>2.0</v>
      </c>
      <c r="F2270" s="4">
        <v>9.0</v>
      </c>
      <c r="G2270" s="3"/>
      <c r="H2270" s="3"/>
      <c r="I2270" s="3"/>
    </row>
    <row r="2271">
      <c r="A2271" s="4" t="s">
        <v>6803</v>
      </c>
      <c r="B2271" s="13" t="s">
        <v>48</v>
      </c>
      <c r="C2271" s="4">
        <v>2.0</v>
      </c>
      <c r="D2271" s="3"/>
      <c r="E2271" s="4">
        <v>2.0</v>
      </c>
      <c r="F2271" s="4">
        <v>9.0</v>
      </c>
      <c r="G2271" s="3"/>
      <c r="H2271" s="3"/>
      <c r="I2271" s="3"/>
    </row>
    <row r="2272">
      <c r="A2272" s="4" t="s">
        <v>6804</v>
      </c>
      <c r="B2272" s="13" t="s">
        <v>48</v>
      </c>
      <c r="C2272" s="4">
        <v>2.0</v>
      </c>
      <c r="D2272" s="3"/>
      <c r="E2272" s="4">
        <v>2.0</v>
      </c>
      <c r="F2272" s="4">
        <v>9.0</v>
      </c>
      <c r="G2272" s="3"/>
      <c r="H2272" s="3"/>
      <c r="I2272" s="3"/>
    </row>
    <row r="2273">
      <c r="A2273" s="4" t="s">
        <v>6805</v>
      </c>
      <c r="B2273" s="13" t="s">
        <v>48</v>
      </c>
      <c r="C2273" s="4">
        <v>2.0</v>
      </c>
      <c r="D2273" s="3"/>
      <c r="E2273" s="4">
        <v>2.0</v>
      </c>
      <c r="F2273" s="4">
        <v>9.0</v>
      </c>
      <c r="G2273" s="3"/>
      <c r="H2273" s="3"/>
      <c r="I2273" s="3"/>
    </row>
    <row r="2274">
      <c r="A2274" s="4" t="s">
        <v>6806</v>
      </c>
      <c r="B2274" s="13" t="s">
        <v>48</v>
      </c>
      <c r="C2274" s="4">
        <v>2.0</v>
      </c>
      <c r="D2274" s="3"/>
      <c r="E2274" s="4">
        <v>2.0</v>
      </c>
      <c r="F2274" s="4">
        <v>9.0</v>
      </c>
      <c r="G2274" s="3"/>
      <c r="H2274" s="3"/>
      <c r="I2274" s="3"/>
    </row>
    <row r="2275">
      <c r="A2275" s="4" t="s">
        <v>6807</v>
      </c>
      <c r="B2275" s="13" t="s">
        <v>48</v>
      </c>
      <c r="C2275" s="4">
        <v>3.0</v>
      </c>
      <c r="D2275" s="3"/>
      <c r="E2275" s="4">
        <v>2.0</v>
      </c>
      <c r="F2275" s="4">
        <v>9.0</v>
      </c>
      <c r="G2275" s="3"/>
      <c r="H2275" s="4">
        <v>13.0</v>
      </c>
      <c r="I2275" s="3"/>
    </row>
    <row r="2276">
      <c r="A2276" s="4" t="s">
        <v>6808</v>
      </c>
      <c r="B2276" s="13" t="s">
        <v>48</v>
      </c>
      <c r="C2276" s="4">
        <v>3.0</v>
      </c>
      <c r="D2276" s="3"/>
      <c r="E2276" s="4">
        <v>2.0</v>
      </c>
      <c r="F2276" s="4">
        <v>9.0</v>
      </c>
      <c r="G2276" s="3"/>
      <c r="H2276" s="4">
        <v>13.0</v>
      </c>
      <c r="I2276" s="3"/>
    </row>
    <row r="2277">
      <c r="A2277" s="4" t="s">
        <v>6809</v>
      </c>
      <c r="B2277" s="13" t="s">
        <v>48</v>
      </c>
      <c r="C2277" s="4">
        <v>3.0</v>
      </c>
      <c r="D2277" s="3"/>
      <c r="E2277" s="4">
        <v>2.0</v>
      </c>
      <c r="F2277" s="4">
        <v>9.0</v>
      </c>
      <c r="G2277" s="3"/>
      <c r="H2277" s="4">
        <v>13.0</v>
      </c>
      <c r="I2277" s="3"/>
    </row>
    <row r="2278">
      <c r="A2278" s="4" t="s">
        <v>6810</v>
      </c>
      <c r="B2278" s="13" t="s">
        <v>48</v>
      </c>
      <c r="C2278" s="4">
        <v>3.0</v>
      </c>
      <c r="D2278" s="3"/>
      <c r="E2278" s="4">
        <v>2.0</v>
      </c>
      <c r="F2278" s="4">
        <v>9.0</v>
      </c>
      <c r="G2278" s="3"/>
      <c r="H2278" s="4">
        <v>13.0</v>
      </c>
      <c r="I2278" s="3"/>
    </row>
    <row r="2279">
      <c r="A2279" s="4" t="s">
        <v>6811</v>
      </c>
      <c r="B2279" s="13" t="s">
        <v>48</v>
      </c>
      <c r="C2279" s="4">
        <v>3.0</v>
      </c>
      <c r="D2279" s="3"/>
      <c r="E2279" s="4">
        <v>2.0</v>
      </c>
      <c r="F2279" s="4">
        <v>9.0</v>
      </c>
      <c r="G2279" s="3"/>
      <c r="H2279" s="4">
        <v>13.0</v>
      </c>
      <c r="I2279" s="3"/>
    </row>
    <row r="2280">
      <c r="A2280" s="4" t="s">
        <v>6812</v>
      </c>
      <c r="B2280" s="13" t="s">
        <v>48</v>
      </c>
      <c r="C2280" s="4">
        <v>3.0</v>
      </c>
      <c r="D2280" s="3"/>
      <c r="E2280" s="4">
        <v>2.0</v>
      </c>
      <c r="F2280" s="4">
        <v>9.0</v>
      </c>
      <c r="G2280" s="3"/>
      <c r="H2280" s="4">
        <v>13.0</v>
      </c>
      <c r="I2280" s="3"/>
    </row>
    <row r="2281">
      <c r="A2281" s="4" t="s">
        <v>6813</v>
      </c>
      <c r="B2281" s="13" t="s">
        <v>48</v>
      </c>
      <c r="C2281" s="4">
        <v>2.0</v>
      </c>
      <c r="D2281" s="3"/>
      <c r="E2281" s="4">
        <v>2.0</v>
      </c>
      <c r="F2281" s="4">
        <v>9.0</v>
      </c>
      <c r="G2281" s="3"/>
      <c r="H2281" s="3"/>
      <c r="I2281" s="3"/>
    </row>
    <row r="2282">
      <c r="A2282" s="4" t="s">
        <v>6814</v>
      </c>
      <c r="B2282" s="13" t="s">
        <v>48</v>
      </c>
      <c r="C2282" s="4">
        <v>2.0</v>
      </c>
      <c r="D2282" s="3"/>
      <c r="E2282" s="4">
        <v>2.0</v>
      </c>
      <c r="F2282" s="4">
        <v>9.0</v>
      </c>
      <c r="G2282" s="3"/>
      <c r="H2282" s="3"/>
      <c r="I2282" s="3"/>
    </row>
    <row r="2283">
      <c r="A2283" s="4" t="s">
        <v>6815</v>
      </c>
      <c r="B2283" s="13" t="s">
        <v>48</v>
      </c>
      <c r="C2283" s="4">
        <v>2.0</v>
      </c>
      <c r="D2283" s="3"/>
      <c r="E2283" s="4">
        <v>2.0</v>
      </c>
      <c r="F2283" s="4">
        <v>9.0</v>
      </c>
      <c r="G2283" s="3"/>
      <c r="H2283" s="3"/>
      <c r="I2283" s="3"/>
    </row>
    <row r="2284">
      <c r="A2284" s="4" t="s">
        <v>6816</v>
      </c>
      <c r="B2284" s="13" t="s">
        <v>48</v>
      </c>
      <c r="C2284" s="4">
        <v>1.0</v>
      </c>
      <c r="D2284" s="3"/>
      <c r="E2284" s="4">
        <v>2.0</v>
      </c>
      <c r="F2284" s="3"/>
      <c r="G2284" s="3"/>
      <c r="H2284" s="3"/>
      <c r="I2284" s="3"/>
    </row>
    <row r="2285">
      <c r="A2285" s="4" t="s">
        <v>6817</v>
      </c>
      <c r="B2285" s="13" t="s">
        <v>43</v>
      </c>
      <c r="D2285" s="3"/>
      <c r="E2285" s="3"/>
      <c r="F2285" s="3"/>
      <c r="G2285" s="3"/>
      <c r="H2285" s="3"/>
      <c r="I2285" s="3"/>
    </row>
    <row r="2286">
      <c r="A2286" s="4" t="s">
        <v>6818</v>
      </c>
      <c r="B2286" s="13" t="s">
        <v>43</v>
      </c>
      <c r="D2286" s="3"/>
      <c r="E2286" s="3"/>
      <c r="F2286" s="3"/>
      <c r="G2286" s="3"/>
      <c r="H2286" s="3"/>
      <c r="I2286" s="3"/>
    </row>
    <row r="2287">
      <c r="A2287" s="4" t="s">
        <v>6819</v>
      </c>
      <c r="B2287" s="13" t="s">
        <v>43</v>
      </c>
      <c r="D2287" s="3"/>
      <c r="E2287" s="3"/>
      <c r="F2287" s="3"/>
      <c r="G2287" s="3"/>
      <c r="H2287" s="3"/>
      <c r="I2287" s="3"/>
    </row>
    <row r="2288">
      <c r="A2288" s="4" t="s">
        <v>6820</v>
      </c>
      <c r="B2288" s="13" t="s">
        <v>43</v>
      </c>
      <c r="D2288" s="3"/>
      <c r="E2288" s="3"/>
      <c r="F2288" s="3"/>
      <c r="G2288" s="3"/>
      <c r="H2288" s="3"/>
      <c r="I2288" s="3"/>
    </row>
    <row r="2289">
      <c r="A2289" s="4" t="s">
        <v>6821</v>
      </c>
      <c r="B2289" s="13" t="s">
        <v>43</v>
      </c>
      <c r="D2289" s="3"/>
      <c r="E2289" s="3"/>
      <c r="F2289" s="3"/>
      <c r="G2289" s="3"/>
      <c r="H2289" s="3"/>
      <c r="I2289" s="3"/>
    </row>
    <row r="2290">
      <c r="A2290" s="4" t="s">
        <v>6822</v>
      </c>
      <c r="B2290" s="13" t="s">
        <v>43</v>
      </c>
      <c r="D2290" s="3"/>
      <c r="E2290" s="3"/>
      <c r="F2290" s="3"/>
      <c r="G2290" s="3"/>
      <c r="H2290" s="3"/>
      <c r="I2290" s="3"/>
    </row>
    <row r="2291">
      <c r="A2291" s="4" t="s">
        <v>6823</v>
      </c>
      <c r="B2291" s="13" t="s">
        <v>43</v>
      </c>
      <c r="D2291" s="3"/>
      <c r="E2291" s="3"/>
      <c r="F2291" s="3"/>
      <c r="G2291" s="3"/>
      <c r="H2291" s="3"/>
      <c r="I2291" s="3"/>
    </row>
    <row r="2292">
      <c r="A2292" s="4" t="s">
        <v>6824</v>
      </c>
      <c r="B2292" s="13" t="s">
        <v>43</v>
      </c>
      <c r="D2292" s="3"/>
      <c r="E2292" s="3"/>
      <c r="F2292" s="3"/>
      <c r="G2292" s="3"/>
      <c r="H2292" s="3"/>
      <c r="I2292" s="3"/>
    </row>
    <row r="2293">
      <c r="A2293" s="4" t="s">
        <v>6825</v>
      </c>
      <c r="B2293" s="13" t="s">
        <v>43</v>
      </c>
      <c r="D2293" s="3"/>
      <c r="E2293" s="3"/>
      <c r="F2293" s="3"/>
      <c r="G2293" s="3"/>
      <c r="H2293" s="3"/>
      <c r="I2293" s="3"/>
    </row>
    <row r="2294">
      <c r="A2294" s="4" t="s">
        <v>6826</v>
      </c>
      <c r="B2294" s="13" t="s">
        <v>43</v>
      </c>
      <c r="D2294" s="3"/>
      <c r="E2294" s="3"/>
      <c r="F2294" s="3"/>
      <c r="G2294" s="3"/>
      <c r="H2294" s="3"/>
      <c r="I2294" s="3"/>
    </row>
    <row r="2295">
      <c r="A2295" s="4" t="s">
        <v>6827</v>
      </c>
      <c r="B2295" s="13" t="s">
        <v>43</v>
      </c>
      <c r="D2295" s="3"/>
      <c r="E2295" s="3"/>
      <c r="F2295" s="3"/>
      <c r="G2295" s="3"/>
      <c r="H2295" s="3"/>
      <c r="I2295" s="3"/>
    </row>
    <row r="2296">
      <c r="A2296" s="4" t="s">
        <v>6828</v>
      </c>
      <c r="B2296" s="13" t="s">
        <v>43</v>
      </c>
      <c r="D2296" s="3"/>
      <c r="E2296" s="3"/>
      <c r="F2296" s="3"/>
      <c r="G2296" s="3"/>
      <c r="H2296" s="3"/>
      <c r="I2296" s="3"/>
    </row>
    <row r="2297">
      <c r="A2297" s="4" t="s">
        <v>6829</v>
      </c>
      <c r="B2297" s="13" t="s">
        <v>43</v>
      </c>
      <c r="D2297" s="3"/>
      <c r="E2297" s="3"/>
      <c r="F2297" s="3"/>
      <c r="G2297" s="3"/>
      <c r="H2297" s="3"/>
      <c r="I2297" s="3"/>
    </row>
    <row r="2298">
      <c r="A2298" s="4" t="s">
        <v>6830</v>
      </c>
      <c r="B2298" s="13" t="s">
        <v>43</v>
      </c>
      <c r="D2298" s="3"/>
      <c r="E2298" s="3"/>
      <c r="F2298" s="3"/>
      <c r="G2298" s="3"/>
      <c r="H2298" s="3"/>
      <c r="I2298" s="3"/>
    </row>
    <row r="2299">
      <c r="A2299" s="4" t="s">
        <v>6831</v>
      </c>
      <c r="B2299" s="13" t="s">
        <v>43</v>
      </c>
      <c r="D2299" s="3"/>
      <c r="E2299" s="3"/>
      <c r="F2299" s="3"/>
      <c r="G2299" s="3"/>
      <c r="H2299" s="3"/>
      <c r="I2299" s="3"/>
    </row>
    <row r="2300">
      <c r="A2300" s="4" t="s">
        <v>6832</v>
      </c>
      <c r="B2300" s="13" t="s">
        <v>43</v>
      </c>
      <c r="D2300" s="3"/>
      <c r="E2300" s="3"/>
      <c r="F2300" s="3"/>
      <c r="G2300" s="3"/>
      <c r="H2300" s="3"/>
      <c r="I2300" s="3"/>
    </row>
    <row r="2301">
      <c r="A2301" s="4" t="s">
        <v>6833</v>
      </c>
      <c r="B2301" s="13" t="s">
        <v>43</v>
      </c>
      <c r="D2301" s="3"/>
      <c r="E2301" s="3"/>
      <c r="F2301" s="3"/>
      <c r="G2301" s="3"/>
      <c r="H2301" s="3"/>
      <c r="I2301" s="3"/>
    </row>
    <row r="2302">
      <c r="A2302" s="4" t="s">
        <v>6834</v>
      </c>
      <c r="B2302" s="13" t="s">
        <v>43</v>
      </c>
      <c r="D2302" s="3"/>
      <c r="E2302" s="3"/>
      <c r="F2302" s="3"/>
      <c r="G2302" s="3"/>
      <c r="H2302" s="3"/>
      <c r="I2302" s="3"/>
    </row>
    <row r="2303">
      <c r="A2303" s="4" t="s">
        <v>6835</v>
      </c>
      <c r="B2303" s="13" t="s">
        <v>43</v>
      </c>
      <c r="D2303" s="3"/>
      <c r="E2303" s="3"/>
      <c r="F2303" s="3"/>
      <c r="G2303" s="3"/>
      <c r="H2303" s="3"/>
      <c r="I2303" s="3"/>
    </row>
    <row r="2304">
      <c r="A2304" s="4" t="s">
        <v>6836</v>
      </c>
      <c r="B2304" s="13" t="s">
        <v>43</v>
      </c>
      <c r="D2304" s="3"/>
      <c r="E2304" s="3"/>
      <c r="F2304" s="3"/>
      <c r="G2304" s="3"/>
      <c r="H2304" s="3"/>
      <c r="I2304" s="3"/>
    </row>
    <row r="2305">
      <c r="A2305" s="4" t="s">
        <v>6837</v>
      </c>
      <c r="B2305" s="13" t="s">
        <v>43</v>
      </c>
      <c r="D2305" s="3"/>
      <c r="E2305" s="3"/>
      <c r="F2305" s="3"/>
      <c r="G2305" s="3"/>
      <c r="H2305" s="3"/>
      <c r="I2305" s="3"/>
    </row>
    <row r="2306">
      <c r="A2306" s="4" t="s">
        <v>6838</v>
      </c>
      <c r="B2306" s="13" t="s">
        <v>43</v>
      </c>
      <c r="D2306" s="3"/>
      <c r="E2306" s="3"/>
      <c r="F2306" s="3"/>
      <c r="G2306" s="3"/>
      <c r="H2306" s="3"/>
      <c r="I2306" s="3"/>
    </row>
    <row r="2307">
      <c r="A2307" s="4" t="s">
        <v>6839</v>
      </c>
      <c r="B2307" s="13" t="s">
        <v>43</v>
      </c>
      <c r="D2307" s="3"/>
      <c r="E2307" s="3"/>
      <c r="F2307" s="3"/>
      <c r="G2307" s="3"/>
      <c r="H2307" s="3"/>
      <c r="I2307" s="3"/>
    </row>
    <row r="2308">
      <c r="A2308" s="4" t="s">
        <v>6840</v>
      </c>
      <c r="B2308" s="13" t="s">
        <v>43</v>
      </c>
      <c r="D2308" s="3"/>
      <c r="E2308" s="3"/>
      <c r="F2308" s="3"/>
      <c r="G2308" s="3"/>
      <c r="H2308" s="3"/>
      <c r="I2308" s="3"/>
    </row>
    <row r="2309">
      <c r="A2309" s="4" t="s">
        <v>6841</v>
      </c>
      <c r="B2309" s="13" t="s">
        <v>43</v>
      </c>
      <c r="D2309" s="3"/>
      <c r="E2309" s="3"/>
      <c r="F2309" s="3"/>
      <c r="G2309" s="3"/>
      <c r="H2309" s="3"/>
      <c r="I2309" s="3"/>
    </row>
    <row r="2310">
      <c r="A2310" s="4" t="s">
        <v>6842</v>
      </c>
      <c r="B2310" s="13" t="s">
        <v>43</v>
      </c>
      <c r="D2310" s="3"/>
      <c r="E2310" s="3"/>
      <c r="F2310" s="3"/>
      <c r="G2310" s="3"/>
      <c r="H2310" s="3"/>
      <c r="I2310" s="3"/>
    </row>
    <row r="2311">
      <c r="A2311" s="4" t="s">
        <v>6843</v>
      </c>
      <c r="B2311" s="13" t="s">
        <v>43</v>
      </c>
      <c r="D2311" s="3"/>
      <c r="E2311" s="3"/>
      <c r="F2311" s="3"/>
      <c r="G2311" s="3"/>
      <c r="H2311" s="3"/>
      <c r="I2311" s="3"/>
    </row>
    <row r="2312">
      <c r="A2312" s="4" t="s">
        <v>6844</v>
      </c>
      <c r="B2312" s="13" t="s">
        <v>43</v>
      </c>
      <c r="D2312" s="3"/>
      <c r="E2312" s="3"/>
      <c r="F2312" s="3"/>
      <c r="G2312" s="3"/>
      <c r="H2312" s="3"/>
      <c r="I2312" s="3"/>
    </row>
    <row r="2313">
      <c r="A2313" s="4" t="s">
        <v>6845</v>
      </c>
      <c r="B2313" s="13" t="s">
        <v>43</v>
      </c>
      <c r="D2313" s="3"/>
      <c r="E2313" s="3"/>
      <c r="F2313" s="3"/>
      <c r="G2313" s="3"/>
      <c r="H2313" s="3"/>
      <c r="I2313" s="3"/>
    </row>
    <row r="2314">
      <c r="A2314" s="4" t="s">
        <v>6846</v>
      </c>
      <c r="B2314" s="13" t="s">
        <v>43</v>
      </c>
      <c r="D2314" s="3"/>
      <c r="E2314" s="3"/>
      <c r="F2314" s="3"/>
      <c r="G2314" s="3"/>
      <c r="H2314" s="3"/>
      <c r="I2314" s="3"/>
    </row>
    <row r="2315">
      <c r="A2315" s="4" t="s">
        <v>6847</v>
      </c>
      <c r="B2315" s="13" t="s">
        <v>48</v>
      </c>
      <c r="C2315" s="4">
        <v>1.0</v>
      </c>
      <c r="D2315" s="3"/>
      <c r="E2315" s="3"/>
      <c r="F2315" s="4">
        <v>9.0</v>
      </c>
      <c r="G2315" s="3"/>
      <c r="H2315" s="3"/>
      <c r="I2315" s="3"/>
    </row>
    <row r="2316">
      <c r="A2316" s="4" t="s">
        <v>6848</v>
      </c>
      <c r="B2316" s="13" t="s">
        <v>48</v>
      </c>
      <c r="C2316" s="4">
        <v>1.0</v>
      </c>
      <c r="D2316" s="3"/>
      <c r="E2316" s="3"/>
      <c r="F2316" s="4">
        <v>9.0</v>
      </c>
      <c r="G2316" s="3"/>
      <c r="H2316" s="3"/>
      <c r="I2316" s="3"/>
    </row>
    <row r="2317">
      <c r="A2317" s="4" t="s">
        <v>6849</v>
      </c>
      <c r="B2317" s="13" t="s">
        <v>48</v>
      </c>
      <c r="C2317" s="4">
        <v>1.0</v>
      </c>
      <c r="D2317" s="3"/>
      <c r="E2317" s="3"/>
      <c r="F2317" s="4">
        <v>9.0</v>
      </c>
      <c r="G2317" s="3"/>
      <c r="H2317" s="3"/>
      <c r="I2317" s="3"/>
      <c r="J2317" s="4" t="s">
        <v>1757</v>
      </c>
    </row>
    <row r="2318">
      <c r="A2318" s="4" t="s">
        <v>6850</v>
      </c>
      <c r="B2318" s="13" t="s">
        <v>48</v>
      </c>
      <c r="C2318" s="4">
        <v>1.0</v>
      </c>
      <c r="D2318" s="3"/>
      <c r="E2318" s="3"/>
      <c r="F2318" s="4">
        <v>9.0</v>
      </c>
      <c r="G2318" s="3"/>
      <c r="H2318" s="3"/>
      <c r="I2318" s="3"/>
      <c r="J2318" s="4" t="s">
        <v>1757</v>
      </c>
    </row>
    <row r="2319">
      <c r="A2319" s="4" t="s">
        <v>6851</v>
      </c>
      <c r="B2319" s="13" t="s">
        <v>48</v>
      </c>
      <c r="C2319" s="4">
        <v>1.0</v>
      </c>
      <c r="D2319" s="3"/>
      <c r="E2319" s="3"/>
      <c r="F2319" s="4">
        <v>9.0</v>
      </c>
      <c r="G2319" s="3"/>
      <c r="H2319" s="3"/>
      <c r="I2319" s="3"/>
      <c r="J2319" s="4" t="s">
        <v>1757</v>
      </c>
    </row>
    <row r="2320">
      <c r="A2320" s="4" t="s">
        <v>6852</v>
      </c>
      <c r="B2320" s="13" t="s">
        <v>48</v>
      </c>
      <c r="C2320" s="4">
        <v>1.0</v>
      </c>
      <c r="D2320" s="3"/>
      <c r="E2320" s="3"/>
      <c r="F2320" s="4">
        <v>9.0</v>
      </c>
      <c r="G2320" s="3"/>
      <c r="H2320" s="3"/>
      <c r="I2320" s="3"/>
      <c r="J2320" s="4" t="s">
        <v>1757</v>
      </c>
    </row>
    <row r="2321">
      <c r="A2321" s="4" t="s">
        <v>6853</v>
      </c>
      <c r="B2321" s="13" t="s">
        <v>48</v>
      </c>
      <c r="C2321" s="4">
        <v>1.0</v>
      </c>
      <c r="D2321" s="3"/>
      <c r="E2321" s="3"/>
      <c r="F2321" s="4">
        <v>9.0</v>
      </c>
      <c r="G2321" s="3"/>
      <c r="H2321" s="3"/>
      <c r="I2321" s="3"/>
      <c r="J2321" s="4" t="s">
        <v>1757</v>
      </c>
    </row>
    <row r="2322">
      <c r="A2322" s="4" t="s">
        <v>6854</v>
      </c>
      <c r="B2322" s="13" t="s">
        <v>48</v>
      </c>
      <c r="C2322" s="4">
        <v>1.0</v>
      </c>
      <c r="D2322" s="3"/>
      <c r="E2322" s="3"/>
      <c r="F2322" s="4">
        <v>9.0</v>
      </c>
      <c r="G2322" s="3"/>
      <c r="H2322" s="3"/>
      <c r="I2322" s="3"/>
      <c r="J2322" s="4" t="s">
        <v>1757</v>
      </c>
    </row>
    <row r="2323">
      <c r="A2323" s="4" t="s">
        <v>6855</v>
      </c>
      <c r="B2323" s="13" t="s">
        <v>48</v>
      </c>
      <c r="C2323" s="4">
        <v>1.0</v>
      </c>
      <c r="D2323" s="3"/>
      <c r="E2323" s="3"/>
      <c r="F2323" s="4">
        <v>9.0</v>
      </c>
      <c r="G2323" s="3"/>
      <c r="H2323" s="3"/>
      <c r="I2323" s="3"/>
      <c r="J2323" s="4" t="s">
        <v>1757</v>
      </c>
    </row>
    <row r="2324">
      <c r="A2324" s="4" t="s">
        <v>6856</v>
      </c>
      <c r="B2324" s="13" t="s">
        <v>48</v>
      </c>
      <c r="C2324" s="4">
        <v>1.0</v>
      </c>
      <c r="D2324" s="3"/>
      <c r="E2324" s="3"/>
      <c r="F2324" s="4">
        <v>9.0</v>
      </c>
      <c r="G2324" s="3"/>
      <c r="H2324" s="3"/>
      <c r="I2324" s="3"/>
      <c r="J2324" s="4" t="s">
        <v>1757</v>
      </c>
    </row>
    <row r="2325">
      <c r="A2325" s="4" t="s">
        <v>6857</v>
      </c>
      <c r="B2325" s="13" t="s">
        <v>48</v>
      </c>
      <c r="C2325" s="4">
        <v>1.0</v>
      </c>
      <c r="D2325" s="3"/>
      <c r="E2325" s="3"/>
      <c r="F2325" s="4">
        <v>9.0</v>
      </c>
      <c r="G2325" s="3"/>
      <c r="H2325" s="3"/>
      <c r="I2325" s="3"/>
      <c r="J2325" s="4" t="s">
        <v>1757</v>
      </c>
    </row>
    <row r="2326">
      <c r="A2326" s="4" t="s">
        <v>6858</v>
      </c>
      <c r="B2326" s="13" t="s">
        <v>43</v>
      </c>
      <c r="D2326" s="3"/>
      <c r="E2326" s="3"/>
      <c r="F2326" s="3"/>
      <c r="G2326" s="3"/>
      <c r="H2326" s="3"/>
      <c r="I2326" s="3"/>
    </row>
    <row r="2327">
      <c r="A2327" s="4" t="s">
        <v>6859</v>
      </c>
      <c r="B2327" s="13" t="s">
        <v>48</v>
      </c>
      <c r="C2327" s="4">
        <v>1.0</v>
      </c>
      <c r="D2327" s="3"/>
      <c r="E2327" s="3"/>
      <c r="F2327" s="3"/>
      <c r="G2327" s="4">
        <v>10.0</v>
      </c>
      <c r="H2327" s="3"/>
      <c r="I2327" s="3"/>
    </row>
    <row r="2328">
      <c r="A2328" s="4" t="s">
        <v>6860</v>
      </c>
      <c r="B2328" s="13" t="s">
        <v>48</v>
      </c>
      <c r="C2328" s="4">
        <v>1.0</v>
      </c>
      <c r="D2328" s="3"/>
      <c r="E2328" s="3"/>
      <c r="F2328" s="3"/>
      <c r="G2328" s="4">
        <v>10.0</v>
      </c>
      <c r="H2328" s="3"/>
      <c r="I2328" s="3"/>
    </row>
    <row r="2329">
      <c r="A2329" s="4" t="s">
        <v>6861</v>
      </c>
      <c r="B2329" s="13" t="s">
        <v>43</v>
      </c>
      <c r="D2329" s="3"/>
      <c r="E2329" s="3"/>
      <c r="F2329" s="3"/>
      <c r="G2329" s="3"/>
      <c r="H2329" s="3"/>
      <c r="I2329" s="3"/>
    </row>
    <row r="2330">
      <c r="A2330" s="4" t="s">
        <v>6862</v>
      </c>
      <c r="B2330" s="13" t="s">
        <v>43</v>
      </c>
      <c r="D2330" s="3"/>
      <c r="E2330" s="3"/>
      <c r="F2330" s="3"/>
      <c r="G2330" s="3"/>
      <c r="H2330" s="3"/>
      <c r="I2330" s="3"/>
    </row>
    <row r="2331">
      <c r="A2331" s="4" t="s">
        <v>6863</v>
      </c>
      <c r="B2331" s="13" t="s">
        <v>43</v>
      </c>
      <c r="D2331" s="3"/>
      <c r="E2331" s="3"/>
      <c r="F2331" s="3"/>
      <c r="G2331" s="3"/>
      <c r="H2331" s="3"/>
      <c r="I2331" s="3"/>
    </row>
    <row r="2332">
      <c r="A2332" s="4" t="s">
        <v>6864</v>
      </c>
      <c r="B2332" s="13" t="s">
        <v>43</v>
      </c>
      <c r="D2332" s="3"/>
      <c r="E2332" s="3"/>
      <c r="F2332" s="3"/>
      <c r="G2332" s="3"/>
      <c r="H2332" s="3"/>
      <c r="I2332" s="3"/>
    </row>
    <row r="2333">
      <c r="A2333" s="4" t="s">
        <v>6865</v>
      </c>
      <c r="B2333" s="13" t="s">
        <v>43</v>
      </c>
      <c r="D2333" s="3"/>
      <c r="E2333" s="3"/>
      <c r="F2333" s="3"/>
      <c r="G2333" s="3"/>
      <c r="H2333" s="3"/>
      <c r="I2333" s="3"/>
    </row>
    <row r="2334">
      <c r="A2334" s="4" t="s">
        <v>6866</v>
      </c>
      <c r="B2334" s="13" t="s">
        <v>43</v>
      </c>
      <c r="D2334" s="3"/>
      <c r="E2334" s="3"/>
      <c r="F2334" s="3"/>
      <c r="G2334" s="3"/>
      <c r="H2334" s="3"/>
      <c r="I2334" s="3"/>
    </row>
    <row r="2335">
      <c r="A2335" s="4" t="s">
        <v>6867</v>
      </c>
      <c r="B2335" s="13" t="s">
        <v>48</v>
      </c>
      <c r="C2335" s="4">
        <v>1.0</v>
      </c>
      <c r="D2335" s="3"/>
      <c r="E2335" s="3"/>
      <c r="F2335" s="3"/>
      <c r="G2335" s="4">
        <v>10.0</v>
      </c>
      <c r="H2335" s="3"/>
      <c r="I2335" s="3"/>
    </row>
    <row r="2336">
      <c r="A2336" s="4" t="s">
        <v>6868</v>
      </c>
      <c r="B2336" s="13" t="s">
        <v>48</v>
      </c>
      <c r="C2336" s="4">
        <v>1.0</v>
      </c>
      <c r="D2336" s="3"/>
      <c r="E2336" s="3"/>
      <c r="F2336" s="3"/>
      <c r="G2336" s="4">
        <v>10.0</v>
      </c>
      <c r="H2336" s="3"/>
      <c r="I2336" s="3"/>
    </row>
    <row r="2337">
      <c r="A2337" s="4" t="s">
        <v>6869</v>
      </c>
      <c r="B2337" s="13" t="s">
        <v>48</v>
      </c>
      <c r="C2337" s="4">
        <v>1.0</v>
      </c>
      <c r="D2337" s="3"/>
      <c r="E2337" s="3"/>
      <c r="F2337" s="3"/>
      <c r="G2337" s="4">
        <v>10.0</v>
      </c>
      <c r="H2337" s="3"/>
      <c r="I2337" s="3"/>
    </row>
    <row r="2338">
      <c r="A2338" s="4" t="s">
        <v>6870</v>
      </c>
      <c r="B2338" s="13" t="s">
        <v>48</v>
      </c>
      <c r="C2338" s="4">
        <v>1.0</v>
      </c>
      <c r="D2338" s="3"/>
      <c r="E2338" s="3"/>
      <c r="F2338" s="3"/>
      <c r="G2338" s="4">
        <v>10.0</v>
      </c>
      <c r="H2338" s="3"/>
      <c r="I2338" s="3"/>
    </row>
    <row r="2339">
      <c r="A2339" s="4" t="s">
        <v>6871</v>
      </c>
      <c r="B2339" s="13" t="s">
        <v>48</v>
      </c>
      <c r="C2339" s="4">
        <v>1.0</v>
      </c>
      <c r="D2339" s="3"/>
      <c r="E2339" s="3"/>
      <c r="F2339" s="3"/>
      <c r="G2339" s="4">
        <v>10.0</v>
      </c>
      <c r="H2339" s="3"/>
      <c r="I2339" s="3"/>
    </row>
    <row r="2340">
      <c r="A2340" s="4" t="s">
        <v>6872</v>
      </c>
      <c r="B2340" s="13" t="s">
        <v>48</v>
      </c>
      <c r="C2340" s="4">
        <v>1.0</v>
      </c>
      <c r="D2340" s="3"/>
      <c r="E2340" s="3"/>
      <c r="F2340" s="3"/>
      <c r="G2340" s="4">
        <v>10.0</v>
      </c>
      <c r="H2340" s="3"/>
      <c r="I2340" s="3"/>
    </row>
    <row r="2341">
      <c r="A2341" s="4" t="s">
        <v>6873</v>
      </c>
      <c r="B2341" s="13" t="s">
        <v>48</v>
      </c>
      <c r="C2341" s="4">
        <v>1.0</v>
      </c>
      <c r="D2341" s="3"/>
      <c r="E2341" s="3"/>
      <c r="F2341" s="3"/>
      <c r="G2341" s="4">
        <v>10.0</v>
      </c>
      <c r="H2341" s="3"/>
      <c r="I2341" s="3"/>
    </row>
    <row r="2342">
      <c r="A2342" s="4" t="s">
        <v>6874</v>
      </c>
      <c r="B2342" s="13" t="s">
        <v>48</v>
      </c>
      <c r="C2342" s="4">
        <v>1.0</v>
      </c>
      <c r="D2342" s="3"/>
      <c r="E2342" s="3"/>
      <c r="F2342" s="3"/>
      <c r="G2342" s="4">
        <v>10.0</v>
      </c>
      <c r="H2342" s="3"/>
      <c r="I2342" s="3"/>
    </row>
    <row r="2343">
      <c r="A2343" s="4" t="s">
        <v>6875</v>
      </c>
      <c r="B2343" s="13" t="s">
        <v>48</v>
      </c>
      <c r="C2343" s="4">
        <v>1.0</v>
      </c>
      <c r="D2343" s="3"/>
      <c r="E2343" s="3"/>
      <c r="F2343" s="3"/>
      <c r="G2343" s="4">
        <v>10.0</v>
      </c>
      <c r="H2343" s="3"/>
      <c r="I2343" s="3"/>
    </row>
    <row r="2344">
      <c r="A2344" s="4" t="s">
        <v>6876</v>
      </c>
      <c r="B2344" s="13" t="s">
        <v>48</v>
      </c>
      <c r="C2344" s="4">
        <v>1.0</v>
      </c>
      <c r="D2344" s="3"/>
      <c r="E2344" s="3"/>
      <c r="F2344" s="3"/>
      <c r="G2344" s="4">
        <v>10.0</v>
      </c>
      <c r="H2344" s="3"/>
      <c r="I2344" s="3"/>
    </row>
    <row r="2345">
      <c r="A2345" s="4" t="s">
        <v>6877</v>
      </c>
      <c r="B2345" s="13" t="s">
        <v>48</v>
      </c>
      <c r="C2345" s="4">
        <v>1.0</v>
      </c>
      <c r="D2345" s="3"/>
      <c r="E2345" s="3"/>
      <c r="F2345" s="3"/>
      <c r="G2345" s="4">
        <v>10.0</v>
      </c>
      <c r="H2345" s="3"/>
      <c r="I2345" s="3"/>
    </row>
    <row r="2346">
      <c r="A2346" s="4" t="s">
        <v>6878</v>
      </c>
      <c r="B2346" s="13" t="s">
        <v>48</v>
      </c>
      <c r="C2346" s="4">
        <v>1.0</v>
      </c>
      <c r="D2346" s="3"/>
      <c r="E2346" s="3"/>
      <c r="F2346" s="3"/>
      <c r="G2346" s="4">
        <v>10.0</v>
      </c>
      <c r="H2346" s="3"/>
      <c r="I2346" s="3"/>
    </row>
    <row r="2347">
      <c r="A2347" s="4" t="s">
        <v>6879</v>
      </c>
      <c r="B2347" s="13" t="s">
        <v>48</v>
      </c>
      <c r="C2347" s="4">
        <v>1.0</v>
      </c>
      <c r="D2347" s="3"/>
      <c r="E2347" s="3"/>
      <c r="F2347" s="3"/>
      <c r="G2347" s="4">
        <v>10.0</v>
      </c>
      <c r="H2347" s="3"/>
      <c r="I2347" s="3"/>
    </row>
    <row r="2348">
      <c r="A2348" s="4" t="s">
        <v>6880</v>
      </c>
      <c r="B2348" s="13" t="s">
        <v>48</v>
      </c>
      <c r="C2348" s="4">
        <v>1.0</v>
      </c>
      <c r="D2348" s="3"/>
      <c r="E2348" s="3"/>
      <c r="F2348" s="3"/>
      <c r="G2348" s="4">
        <v>10.0</v>
      </c>
      <c r="H2348" s="3"/>
      <c r="I2348" s="3"/>
    </row>
    <row r="2349">
      <c r="A2349" s="4" t="s">
        <v>6881</v>
      </c>
      <c r="B2349" s="13" t="s">
        <v>48</v>
      </c>
      <c r="C2349" s="4">
        <v>1.0</v>
      </c>
      <c r="D2349" s="3"/>
      <c r="E2349" s="3"/>
      <c r="F2349" s="3"/>
      <c r="G2349" s="4">
        <v>10.0</v>
      </c>
      <c r="H2349" s="3"/>
      <c r="I2349" s="3"/>
    </row>
    <row r="2350">
      <c r="A2350" s="4" t="s">
        <v>6882</v>
      </c>
      <c r="B2350" s="13" t="s">
        <v>48</v>
      </c>
      <c r="C2350" s="4">
        <v>1.0</v>
      </c>
      <c r="D2350" s="3"/>
      <c r="E2350" s="3"/>
      <c r="F2350" s="3"/>
      <c r="G2350" s="4">
        <v>10.0</v>
      </c>
      <c r="H2350" s="3"/>
      <c r="I2350" s="3"/>
    </row>
    <row r="2351">
      <c r="A2351" s="4" t="s">
        <v>6883</v>
      </c>
      <c r="B2351" s="13" t="s">
        <v>48</v>
      </c>
      <c r="C2351" s="4">
        <v>1.0</v>
      </c>
      <c r="D2351" s="3"/>
      <c r="E2351" s="3"/>
      <c r="F2351" s="3"/>
      <c r="G2351" s="4">
        <v>10.0</v>
      </c>
      <c r="H2351" s="3"/>
      <c r="I2351" s="3"/>
    </row>
    <row r="2352">
      <c r="A2352" s="4" t="s">
        <v>6884</v>
      </c>
      <c r="B2352" s="13" t="s">
        <v>48</v>
      </c>
      <c r="C2352" s="4">
        <v>1.0</v>
      </c>
      <c r="D2352" s="3"/>
      <c r="E2352" s="3"/>
      <c r="F2352" s="3"/>
      <c r="G2352" s="4">
        <v>10.0</v>
      </c>
      <c r="H2352" s="3"/>
      <c r="I2352" s="3"/>
    </row>
    <row r="2353">
      <c r="A2353" s="4" t="s">
        <v>6885</v>
      </c>
      <c r="B2353" s="13" t="s">
        <v>48</v>
      </c>
      <c r="C2353" s="4">
        <v>1.0</v>
      </c>
      <c r="D2353" s="3"/>
      <c r="E2353" s="3"/>
      <c r="F2353" s="3"/>
      <c r="G2353" s="4">
        <v>10.0</v>
      </c>
      <c r="H2353" s="3"/>
      <c r="I2353" s="3"/>
    </row>
    <row r="2354">
      <c r="A2354" s="4" t="s">
        <v>6886</v>
      </c>
      <c r="B2354" s="13" t="s">
        <v>48</v>
      </c>
      <c r="C2354" s="4">
        <v>1.0</v>
      </c>
      <c r="D2354" s="3"/>
      <c r="E2354" s="3"/>
      <c r="F2354" s="3"/>
      <c r="G2354" s="4">
        <v>10.0</v>
      </c>
      <c r="H2354" s="3"/>
      <c r="I2354" s="3"/>
    </row>
    <row r="2355">
      <c r="A2355" s="4" t="s">
        <v>6887</v>
      </c>
      <c r="B2355" s="13" t="s">
        <v>48</v>
      </c>
      <c r="C2355" s="4">
        <v>1.0</v>
      </c>
      <c r="D2355" s="3"/>
      <c r="E2355" s="3"/>
      <c r="F2355" s="3"/>
      <c r="G2355" s="4">
        <v>10.0</v>
      </c>
      <c r="H2355" s="3"/>
      <c r="I2355" s="3"/>
    </row>
    <row r="2356">
      <c r="A2356" s="4" t="s">
        <v>6888</v>
      </c>
      <c r="B2356" s="13" t="s">
        <v>48</v>
      </c>
      <c r="C2356" s="4">
        <v>1.0</v>
      </c>
      <c r="D2356" s="3"/>
      <c r="E2356" s="3"/>
      <c r="F2356" s="3"/>
      <c r="G2356" s="4">
        <v>10.0</v>
      </c>
      <c r="H2356" s="3"/>
      <c r="I2356" s="3"/>
    </row>
    <row r="2357">
      <c r="A2357" s="4" t="s">
        <v>6889</v>
      </c>
      <c r="B2357" s="13" t="s">
        <v>48</v>
      </c>
      <c r="C2357" s="4">
        <v>1.0</v>
      </c>
      <c r="D2357" s="3"/>
      <c r="E2357" s="3"/>
      <c r="F2357" s="3"/>
      <c r="G2357" s="4">
        <v>10.0</v>
      </c>
      <c r="H2357" s="3"/>
      <c r="I2357" s="3"/>
    </row>
    <row r="2358">
      <c r="A2358" s="4" t="s">
        <v>6890</v>
      </c>
      <c r="B2358" s="13" t="s">
        <v>48</v>
      </c>
      <c r="C2358" s="4">
        <v>1.0</v>
      </c>
      <c r="D2358" s="3"/>
      <c r="E2358" s="3"/>
      <c r="F2358" s="3"/>
      <c r="G2358" s="4">
        <v>10.0</v>
      </c>
      <c r="H2358" s="3"/>
      <c r="I2358" s="3"/>
    </row>
    <row r="2359">
      <c r="A2359" s="4" t="s">
        <v>6891</v>
      </c>
      <c r="B2359" s="13" t="s">
        <v>48</v>
      </c>
      <c r="C2359" s="4">
        <v>1.0</v>
      </c>
      <c r="D2359" s="3"/>
      <c r="E2359" s="3"/>
      <c r="F2359" s="3"/>
      <c r="G2359" s="4">
        <v>10.0</v>
      </c>
      <c r="H2359" s="3"/>
      <c r="I2359" s="3"/>
    </row>
    <row r="2360">
      <c r="A2360" s="4" t="s">
        <v>6892</v>
      </c>
      <c r="B2360" s="13" t="s">
        <v>48</v>
      </c>
      <c r="C2360" s="4">
        <v>1.0</v>
      </c>
      <c r="D2360" s="3"/>
      <c r="E2360" s="3"/>
      <c r="F2360" s="3"/>
      <c r="G2360" s="4">
        <v>10.0</v>
      </c>
      <c r="H2360" s="3"/>
      <c r="I2360" s="3"/>
    </row>
    <row r="2361">
      <c r="A2361" s="4" t="s">
        <v>6893</v>
      </c>
      <c r="B2361" s="13" t="s">
        <v>48</v>
      </c>
      <c r="C2361" s="4">
        <v>1.0</v>
      </c>
      <c r="D2361" s="3"/>
      <c r="E2361" s="3"/>
      <c r="F2361" s="3"/>
      <c r="G2361" s="4">
        <v>10.0</v>
      </c>
      <c r="H2361" s="3"/>
      <c r="I2361" s="3"/>
    </row>
    <row r="2362">
      <c r="A2362" s="4" t="s">
        <v>6894</v>
      </c>
      <c r="B2362" s="13" t="s">
        <v>48</v>
      </c>
      <c r="C2362" s="4">
        <v>1.0</v>
      </c>
      <c r="D2362" s="3"/>
      <c r="E2362" s="3"/>
      <c r="F2362" s="3"/>
      <c r="G2362" s="4">
        <v>10.0</v>
      </c>
      <c r="H2362" s="3"/>
      <c r="I2362" s="3"/>
    </row>
    <row r="2363">
      <c r="A2363" s="4" t="s">
        <v>6895</v>
      </c>
      <c r="B2363" s="13" t="s">
        <v>48</v>
      </c>
      <c r="C2363" s="4">
        <v>1.0</v>
      </c>
      <c r="D2363" s="3"/>
      <c r="E2363" s="3"/>
      <c r="F2363" s="3"/>
      <c r="G2363" s="4">
        <v>10.0</v>
      </c>
      <c r="H2363" s="3"/>
      <c r="I2363" s="3"/>
    </row>
    <row r="2364">
      <c r="A2364" s="4" t="s">
        <v>6896</v>
      </c>
      <c r="B2364" s="13" t="s">
        <v>48</v>
      </c>
      <c r="C2364" s="4">
        <v>1.0</v>
      </c>
      <c r="D2364" s="3"/>
      <c r="E2364" s="3"/>
      <c r="F2364" s="3"/>
      <c r="G2364" s="4">
        <v>10.0</v>
      </c>
      <c r="H2364" s="3"/>
      <c r="I2364" s="3"/>
    </row>
    <row r="2365">
      <c r="A2365" s="4" t="s">
        <v>6897</v>
      </c>
      <c r="B2365" s="13" t="s">
        <v>48</v>
      </c>
      <c r="C2365" s="4">
        <v>1.0</v>
      </c>
      <c r="D2365" s="3"/>
      <c r="E2365" s="3"/>
      <c r="F2365" s="3"/>
      <c r="G2365" s="4">
        <v>10.0</v>
      </c>
      <c r="H2365" s="3"/>
      <c r="I2365" s="3"/>
    </row>
    <row r="2366">
      <c r="A2366" s="4" t="s">
        <v>6898</v>
      </c>
      <c r="B2366" s="13" t="s">
        <v>43</v>
      </c>
      <c r="D2366" s="3"/>
      <c r="E2366" s="3"/>
      <c r="F2366" s="3"/>
      <c r="G2366" s="3"/>
      <c r="H2366" s="3"/>
      <c r="I2366" s="3"/>
    </row>
    <row r="2367">
      <c r="A2367" s="4" t="s">
        <v>6899</v>
      </c>
      <c r="B2367" s="13" t="s">
        <v>43</v>
      </c>
      <c r="D2367" s="3"/>
      <c r="E2367" s="3"/>
      <c r="F2367" s="3"/>
      <c r="G2367" s="3"/>
      <c r="H2367" s="3"/>
      <c r="I2367" s="3"/>
    </row>
    <row r="2368">
      <c r="A2368" s="4" t="s">
        <v>6900</v>
      </c>
      <c r="B2368" s="13" t="s">
        <v>43</v>
      </c>
      <c r="D2368" s="3"/>
      <c r="E2368" s="3"/>
      <c r="F2368" s="3"/>
      <c r="G2368" s="3"/>
      <c r="H2368" s="3"/>
      <c r="I2368" s="3"/>
    </row>
    <row r="2369">
      <c r="A2369" s="4" t="s">
        <v>6901</v>
      </c>
      <c r="B2369" s="13" t="s">
        <v>43</v>
      </c>
      <c r="D2369" s="3"/>
      <c r="E2369" s="3"/>
      <c r="F2369" s="3"/>
      <c r="G2369" s="3"/>
      <c r="H2369" s="3"/>
      <c r="I2369" s="3"/>
    </row>
    <row r="2370">
      <c r="A2370" s="4" t="s">
        <v>6902</v>
      </c>
      <c r="B2370" s="13" t="s">
        <v>43</v>
      </c>
      <c r="D2370" s="3"/>
      <c r="E2370" s="3"/>
      <c r="F2370" s="3"/>
      <c r="G2370" s="3"/>
      <c r="H2370" s="3"/>
      <c r="I2370" s="3"/>
    </row>
    <row r="2371">
      <c r="A2371" s="4" t="s">
        <v>6903</v>
      </c>
      <c r="B2371" s="13" t="s">
        <v>43</v>
      </c>
      <c r="D2371" s="3"/>
      <c r="E2371" s="3"/>
      <c r="F2371" s="3"/>
      <c r="G2371" s="3"/>
      <c r="H2371" s="3"/>
      <c r="I2371" s="3"/>
    </row>
    <row r="2372">
      <c r="A2372" s="4" t="s">
        <v>6904</v>
      </c>
      <c r="B2372" s="13" t="s">
        <v>43</v>
      </c>
      <c r="D2372" s="3"/>
      <c r="E2372" s="3"/>
      <c r="F2372" s="3"/>
      <c r="G2372" s="3"/>
      <c r="H2372" s="3"/>
      <c r="I2372" s="3"/>
    </row>
    <row r="2373">
      <c r="A2373" s="4" t="s">
        <v>6905</v>
      </c>
      <c r="B2373" s="13" t="s">
        <v>43</v>
      </c>
      <c r="D2373" s="3"/>
      <c r="E2373" s="3"/>
      <c r="F2373" s="3"/>
      <c r="G2373" s="3"/>
      <c r="H2373" s="3"/>
      <c r="I2373" s="3"/>
    </row>
    <row r="2374">
      <c r="A2374" s="4" t="s">
        <v>6906</v>
      </c>
      <c r="B2374" s="13" t="s">
        <v>43</v>
      </c>
      <c r="D2374" s="3"/>
      <c r="E2374" s="3"/>
      <c r="F2374" s="3"/>
      <c r="G2374" s="3"/>
      <c r="H2374" s="3"/>
      <c r="I2374" s="3"/>
    </row>
    <row r="2375">
      <c r="A2375" s="4" t="s">
        <v>6907</v>
      </c>
      <c r="B2375" s="13" t="s">
        <v>43</v>
      </c>
      <c r="D2375" s="3"/>
      <c r="E2375" s="3"/>
      <c r="F2375" s="3"/>
      <c r="G2375" s="3"/>
      <c r="H2375" s="3"/>
      <c r="I2375" s="3"/>
    </row>
    <row r="2376">
      <c r="A2376" s="4" t="s">
        <v>6908</v>
      </c>
      <c r="B2376" s="13" t="s">
        <v>43</v>
      </c>
      <c r="D2376" s="3"/>
      <c r="E2376" s="3"/>
      <c r="F2376" s="3"/>
      <c r="G2376" s="3"/>
      <c r="H2376" s="3"/>
      <c r="I2376" s="3"/>
    </row>
    <row r="2377">
      <c r="A2377" s="4" t="s">
        <v>6909</v>
      </c>
      <c r="B2377" s="13" t="s">
        <v>43</v>
      </c>
      <c r="D2377" s="3"/>
      <c r="E2377" s="3"/>
      <c r="F2377" s="3"/>
      <c r="G2377" s="3"/>
      <c r="H2377" s="3"/>
      <c r="I2377" s="3"/>
    </row>
    <row r="2378">
      <c r="A2378" s="4" t="s">
        <v>6910</v>
      </c>
      <c r="B2378" s="13" t="s">
        <v>43</v>
      </c>
      <c r="D2378" s="3"/>
      <c r="E2378" s="3"/>
      <c r="F2378" s="3"/>
      <c r="G2378" s="3"/>
      <c r="H2378" s="3"/>
      <c r="I2378" s="3"/>
    </row>
    <row r="2379">
      <c r="A2379" s="4" t="s">
        <v>6911</v>
      </c>
      <c r="B2379" s="13" t="s">
        <v>43</v>
      </c>
      <c r="D2379" s="3"/>
      <c r="E2379" s="3"/>
      <c r="F2379" s="3"/>
      <c r="G2379" s="3"/>
      <c r="H2379" s="3"/>
      <c r="I2379" s="3"/>
    </row>
    <row r="2380">
      <c r="A2380" s="4" t="s">
        <v>6912</v>
      </c>
      <c r="B2380" s="13" t="s">
        <v>43</v>
      </c>
      <c r="D2380" s="3"/>
      <c r="E2380" s="3"/>
      <c r="F2380" s="3"/>
      <c r="G2380" s="3"/>
      <c r="H2380" s="3"/>
      <c r="I2380" s="3"/>
    </row>
    <row r="2381">
      <c r="A2381" s="4" t="s">
        <v>6913</v>
      </c>
      <c r="B2381" s="13" t="s">
        <v>43</v>
      </c>
      <c r="D2381" s="3"/>
      <c r="E2381" s="3"/>
      <c r="F2381" s="3"/>
      <c r="G2381" s="3"/>
      <c r="H2381" s="3"/>
      <c r="I2381" s="3"/>
    </row>
    <row r="2382">
      <c r="A2382" s="4" t="s">
        <v>6914</v>
      </c>
      <c r="B2382" s="13" t="s">
        <v>43</v>
      </c>
      <c r="D2382" s="3"/>
      <c r="E2382" s="3"/>
      <c r="F2382" s="3"/>
      <c r="G2382" s="3"/>
      <c r="H2382" s="3"/>
      <c r="I2382" s="3"/>
    </row>
    <row r="2383">
      <c r="A2383" s="4" t="s">
        <v>6915</v>
      </c>
      <c r="B2383" s="13" t="s">
        <v>43</v>
      </c>
      <c r="D2383" s="3"/>
      <c r="E2383" s="3"/>
      <c r="F2383" s="3"/>
      <c r="G2383" s="3"/>
      <c r="H2383" s="3"/>
      <c r="I2383" s="3"/>
    </row>
    <row r="2384">
      <c r="A2384" s="4" t="s">
        <v>6916</v>
      </c>
      <c r="B2384" s="13" t="s">
        <v>43</v>
      </c>
      <c r="D2384" s="3"/>
      <c r="E2384" s="3"/>
      <c r="F2384" s="3"/>
      <c r="G2384" s="3"/>
      <c r="H2384" s="3"/>
      <c r="I2384" s="3"/>
    </row>
    <row r="2385">
      <c r="A2385" s="4" t="s">
        <v>6917</v>
      </c>
      <c r="B2385" s="13" t="s">
        <v>43</v>
      </c>
      <c r="D2385" s="3"/>
      <c r="E2385" s="3"/>
      <c r="F2385" s="3"/>
      <c r="G2385" s="3"/>
      <c r="H2385" s="3"/>
      <c r="I2385" s="3"/>
    </row>
    <row r="2386">
      <c r="A2386" s="4" t="s">
        <v>6918</v>
      </c>
      <c r="B2386" s="13" t="s">
        <v>43</v>
      </c>
      <c r="D2386" s="3"/>
      <c r="E2386" s="3"/>
      <c r="F2386" s="3"/>
      <c r="G2386" s="3"/>
      <c r="H2386" s="3"/>
      <c r="I2386" s="3"/>
    </row>
    <row r="2387">
      <c r="A2387" s="4" t="s">
        <v>6919</v>
      </c>
      <c r="B2387" s="13" t="s">
        <v>43</v>
      </c>
      <c r="D2387" s="3"/>
      <c r="E2387" s="3"/>
      <c r="F2387" s="3"/>
      <c r="G2387" s="3"/>
      <c r="H2387" s="3"/>
      <c r="I2387" s="3"/>
    </row>
    <row r="2388">
      <c r="A2388" s="4" t="s">
        <v>6920</v>
      </c>
      <c r="B2388" s="13" t="s">
        <v>43</v>
      </c>
      <c r="D2388" s="3"/>
      <c r="E2388" s="3"/>
      <c r="F2388" s="3"/>
      <c r="G2388" s="3"/>
      <c r="H2388" s="3"/>
      <c r="I2388" s="3"/>
    </row>
    <row r="2389">
      <c r="A2389" s="4" t="s">
        <v>6921</v>
      </c>
      <c r="B2389" s="13" t="s">
        <v>43</v>
      </c>
      <c r="D2389" s="3"/>
      <c r="E2389" s="3"/>
      <c r="F2389" s="3"/>
      <c r="G2389" s="3"/>
      <c r="H2389" s="3"/>
      <c r="I2389" s="3"/>
    </row>
    <row r="2390">
      <c r="A2390" s="4" t="s">
        <v>6922</v>
      </c>
      <c r="B2390" s="13" t="s">
        <v>43</v>
      </c>
      <c r="D2390" s="3"/>
      <c r="E2390" s="3"/>
      <c r="F2390" s="3"/>
      <c r="G2390" s="3"/>
      <c r="H2390" s="3"/>
      <c r="I2390" s="3"/>
    </row>
    <row r="2391">
      <c r="A2391" s="4" t="s">
        <v>6923</v>
      </c>
      <c r="B2391" s="13" t="s">
        <v>43</v>
      </c>
      <c r="D2391" s="3"/>
      <c r="E2391" s="3"/>
      <c r="F2391" s="3"/>
      <c r="G2391" s="3"/>
      <c r="H2391" s="3"/>
      <c r="I2391" s="3"/>
    </row>
    <row r="2392">
      <c r="A2392" s="4" t="s">
        <v>6924</v>
      </c>
      <c r="B2392" s="13" t="s">
        <v>43</v>
      </c>
      <c r="D2392" s="3"/>
      <c r="E2392" s="3"/>
      <c r="F2392" s="3"/>
      <c r="G2392" s="3"/>
      <c r="H2392" s="3"/>
      <c r="I2392" s="3"/>
    </row>
    <row r="2393">
      <c r="A2393" s="4" t="s">
        <v>6925</v>
      </c>
      <c r="B2393" s="13" t="s">
        <v>43</v>
      </c>
      <c r="D2393" s="3"/>
      <c r="E2393" s="3"/>
      <c r="F2393" s="3"/>
      <c r="G2393" s="3"/>
      <c r="H2393" s="3"/>
      <c r="I2393" s="3"/>
    </row>
    <row r="2394">
      <c r="A2394" s="4" t="s">
        <v>6926</v>
      </c>
      <c r="B2394" s="13" t="s">
        <v>43</v>
      </c>
      <c r="D2394" s="3"/>
      <c r="E2394" s="3"/>
      <c r="F2394" s="3"/>
      <c r="G2394" s="3"/>
      <c r="H2394" s="3"/>
      <c r="I2394" s="3"/>
    </row>
    <row r="2395">
      <c r="A2395" s="4" t="s">
        <v>6927</v>
      </c>
      <c r="B2395" s="13" t="s">
        <v>43</v>
      </c>
      <c r="D2395" s="3"/>
      <c r="E2395" s="3"/>
      <c r="F2395" s="3"/>
      <c r="G2395" s="3"/>
      <c r="H2395" s="3"/>
      <c r="I2395" s="3"/>
    </row>
    <row r="2396">
      <c r="A2396" s="4" t="s">
        <v>6928</v>
      </c>
      <c r="B2396" s="13" t="s">
        <v>43</v>
      </c>
      <c r="D2396" s="3"/>
      <c r="E2396" s="3"/>
      <c r="F2396" s="3"/>
      <c r="G2396" s="3"/>
      <c r="H2396" s="3"/>
      <c r="I2396" s="3"/>
    </row>
    <row r="2397">
      <c r="A2397" s="4" t="s">
        <v>6929</v>
      </c>
      <c r="B2397" s="13" t="s">
        <v>43</v>
      </c>
      <c r="D2397" s="3"/>
      <c r="E2397" s="3"/>
      <c r="F2397" s="3"/>
      <c r="G2397" s="3"/>
      <c r="H2397" s="3"/>
      <c r="I2397" s="3"/>
    </row>
    <row r="2398">
      <c r="A2398" s="4" t="s">
        <v>6930</v>
      </c>
      <c r="B2398" s="13" t="s">
        <v>43</v>
      </c>
      <c r="D2398" s="3"/>
      <c r="E2398" s="3"/>
      <c r="F2398" s="3"/>
      <c r="G2398" s="3"/>
      <c r="H2398" s="3"/>
      <c r="I2398" s="3"/>
    </row>
    <row r="2399">
      <c r="A2399" s="4" t="s">
        <v>6931</v>
      </c>
      <c r="B2399" s="13" t="s">
        <v>43</v>
      </c>
      <c r="D2399" s="3"/>
      <c r="E2399" s="3"/>
      <c r="F2399" s="3"/>
      <c r="G2399" s="3"/>
      <c r="H2399" s="3"/>
      <c r="I2399" s="3"/>
    </row>
    <row r="2400">
      <c r="A2400" s="4" t="s">
        <v>6932</v>
      </c>
      <c r="B2400" s="13" t="s">
        <v>43</v>
      </c>
      <c r="D2400" s="3"/>
      <c r="E2400" s="3"/>
      <c r="F2400" s="3"/>
      <c r="G2400" s="3"/>
      <c r="H2400" s="3"/>
      <c r="I2400" s="3"/>
    </row>
    <row r="2401">
      <c r="A2401" s="4" t="s">
        <v>6933</v>
      </c>
      <c r="B2401" s="13" t="s">
        <v>43</v>
      </c>
      <c r="D2401" s="3"/>
      <c r="E2401" s="3"/>
      <c r="F2401" s="3"/>
      <c r="G2401" s="3"/>
      <c r="H2401" s="3"/>
      <c r="I2401" s="3"/>
    </row>
    <row r="2402">
      <c r="A2402" s="4" t="s">
        <v>6934</v>
      </c>
      <c r="B2402" s="13" t="s">
        <v>43</v>
      </c>
      <c r="D2402" s="3"/>
      <c r="E2402" s="3"/>
      <c r="F2402" s="3"/>
      <c r="G2402" s="3"/>
      <c r="H2402" s="3"/>
      <c r="I2402" s="3"/>
    </row>
    <row r="2403">
      <c r="A2403" s="4" t="s">
        <v>6935</v>
      </c>
      <c r="B2403" s="13" t="s">
        <v>43</v>
      </c>
      <c r="D2403" s="3"/>
      <c r="E2403" s="3"/>
      <c r="F2403" s="3"/>
      <c r="G2403" s="3"/>
      <c r="H2403" s="3"/>
      <c r="I2403" s="3"/>
    </row>
    <row r="2404">
      <c r="A2404" s="4" t="s">
        <v>6936</v>
      </c>
      <c r="B2404" s="13" t="s">
        <v>43</v>
      </c>
      <c r="D2404" s="3"/>
      <c r="E2404" s="3"/>
      <c r="F2404" s="3"/>
      <c r="G2404" s="3"/>
      <c r="H2404" s="3"/>
      <c r="I2404" s="3"/>
    </row>
    <row r="2405">
      <c r="A2405" s="4" t="s">
        <v>6937</v>
      </c>
      <c r="B2405" s="13" t="s">
        <v>43</v>
      </c>
      <c r="D2405" s="3"/>
      <c r="E2405" s="3"/>
      <c r="F2405" s="3"/>
      <c r="G2405" s="3"/>
      <c r="H2405" s="3"/>
      <c r="I2405" s="3"/>
    </row>
    <row r="2406">
      <c r="A2406" s="4" t="s">
        <v>6938</v>
      </c>
      <c r="B2406" s="13" t="s">
        <v>43</v>
      </c>
      <c r="D2406" s="3"/>
      <c r="E2406" s="3"/>
      <c r="F2406" s="3"/>
      <c r="G2406" s="3"/>
      <c r="H2406" s="3"/>
      <c r="I2406" s="3"/>
    </row>
    <row r="2407">
      <c r="A2407" s="4" t="s">
        <v>6939</v>
      </c>
      <c r="B2407" s="13" t="s">
        <v>43</v>
      </c>
      <c r="D2407" s="3"/>
      <c r="E2407" s="3"/>
      <c r="F2407" s="3"/>
      <c r="G2407" s="3"/>
      <c r="H2407" s="3"/>
      <c r="I2407" s="3"/>
    </row>
    <row r="2408">
      <c r="A2408" s="4" t="s">
        <v>6940</v>
      </c>
      <c r="B2408" s="13" t="s">
        <v>43</v>
      </c>
      <c r="D2408" s="3"/>
      <c r="E2408" s="3"/>
      <c r="F2408" s="3"/>
      <c r="G2408" s="3"/>
      <c r="H2408" s="3"/>
      <c r="I2408" s="3"/>
    </row>
    <row r="2409">
      <c r="A2409" s="4" t="s">
        <v>6941</v>
      </c>
      <c r="B2409" s="13" t="s">
        <v>43</v>
      </c>
      <c r="D2409" s="3"/>
      <c r="E2409" s="3"/>
      <c r="F2409" s="3"/>
      <c r="G2409" s="3"/>
      <c r="H2409" s="3"/>
      <c r="I2409" s="3"/>
    </row>
    <row r="2410">
      <c r="A2410" s="4" t="s">
        <v>6942</v>
      </c>
      <c r="B2410" s="13" t="s">
        <v>43</v>
      </c>
      <c r="D2410" s="3"/>
      <c r="E2410" s="3"/>
      <c r="F2410" s="3"/>
      <c r="G2410" s="3"/>
      <c r="H2410" s="3"/>
      <c r="I2410" s="3"/>
    </row>
    <row r="2411">
      <c r="A2411" s="4" t="s">
        <v>6943</v>
      </c>
      <c r="B2411" s="13" t="s">
        <v>43</v>
      </c>
      <c r="D2411" s="3"/>
      <c r="E2411" s="3"/>
      <c r="F2411" s="3"/>
      <c r="G2411" s="3"/>
      <c r="H2411" s="3"/>
      <c r="I2411" s="3"/>
    </row>
    <row r="2412">
      <c r="A2412" s="4" t="s">
        <v>6944</v>
      </c>
      <c r="B2412" s="13" t="s">
        <v>43</v>
      </c>
      <c r="D2412" s="3"/>
      <c r="E2412" s="3"/>
      <c r="F2412" s="3"/>
      <c r="G2412" s="3"/>
      <c r="H2412" s="3"/>
      <c r="I2412" s="3"/>
    </row>
    <row r="2413">
      <c r="A2413" s="4" t="s">
        <v>6945</v>
      </c>
      <c r="B2413" s="13" t="s">
        <v>43</v>
      </c>
      <c r="D2413" s="3"/>
      <c r="E2413" s="3"/>
      <c r="F2413" s="3"/>
      <c r="G2413" s="3"/>
      <c r="H2413" s="3"/>
      <c r="I2413" s="3"/>
    </row>
    <row r="2414">
      <c r="A2414" s="4" t="s">
        <v>6946</v>
      </c>
      <c r="B2414" s="13" t="s">
        <v>43</v>
      </c>
      <c r="D2414" s="3"/>
      <c r="E2414" s="3"/>
      <c r="F2414" s="3"/>
      <c r="G2414" s="3"/>
      <c r="H2414" s="3"/>
      <c r="I2414" s="3"/>
    </row>
    <row r="2415">
      <c r="A2415" s="4" t="s">
        <v>6947</v>
      </c>
      <c r="B2415" s="13" t="s">
        <v>43</v>
      </c>
      <c r="D2415" s="3"/>
      <c r="E2415" s="3"/>
      <c r="F2415" s="3"/>
      <c r="G2415" s="3"/>
      <c r="H2415" s="3"/>
      <c r="I2415" s="3"/>
    </row>
    <row r="2416">
      <c r="A2416" s="4" t="s">
        <v>6948</v>
      </c>
      <c r="B2416" s="13" t="s">
        <v>43</v>
      </c>
      <c r="D2416" s="3"/>
      <c r="E2416" s="3"/>
      <c r="F2416" s="3"/>
      <c r="G2416" s="3"/>
      <c r="H2416" s="3"/>
      <c r="I2416" s="3"/>
    </row>
    <row r="2417">
      <c r="A2417" s="4" t="s">
        <v>6949</v>
      </c>
      <c r="B2417" s="13" t="s">
        <v>48</v>
      </c>
      <c r="C2417" s="4">
        <v>1.0</v>
      </c>
      <c r="D2417" s="4">
        <v>1.0</v>
      </c>
      <c r="E2417" s="3"/>
      <c r="F2417" s="3"/>
      <c r="G2417" s="3"/>
      <c r="H2417" s="3"/>
      <c r="I2417" s="3"/>
    </row>
    <row r="2418">
      <c r="A2418" s="4" t="s">
        <v>6950</v>
      </c>
      <c r="B2418" s="13" t="s">
        <v>48</v>
      </c>
      <c r="C2418" s="4">
        <v>1.0</v>
      </c>
      <c r="D2418" s="4">
        <v>1.0</v>
      </c>
      <c r="E2418" s="3"/>
      <c r="F2418" s="3"/>
      <c r="G2418" s="3"/>
      <c r="H2418" s="3"/>
      <c r="I2418" s="3"/>
    </row>
    <row r="2419">
      <c r="A2419" s="4" t="s">
        <v>6951</v>
      </c>
      <c r="B2419" s="13" t="s">
        <v>48</v>
      </c>
      <c r="C2419" s="4">
        <v>2.0</v>
      </c>
      <c r="D2419" s="4">
        <v>1.0</v>
      </c>
      <c r="E2419" s="3"/>
      <c r="F2419" s="3"/>
      <c r="G2419" s="3"/>
      <c r="H2419" s="3"/>
      <c r="I2419" s="4">
        <v>15.0</v>
      </c>
      <c r="J2419" s="4" t="s">
        <v>1757</v>
      </c>
    </row>
    <row r="2420">
      <c r="A2420" s="4" t="s">
        <v>6952</v>
      </c>
      <c r="B2420" s="13" t="s">
        <v>48</v>
      </c>
      <c r="C2420" s="4">
        <v>2.0</v>
      </c>
      <c r="D2420" s="4">
        <v>1.0</v>
      </c>
      <c r="E2420" s="3"/>
      <c r="F2420" s="3"/>
      <c r="G2420" s="3"/>
      <c r="H2420" s="3"/>
      <c r="I2420" s="4">
        <v>15.0</v>
      </c>
      <c r="J2420" s="4" t="s">
        <v>1757</v>
      </c>
    </row>
    <row r="2421">
      <c r="A2421" s="4" t="s">
        <v>6953</v>
      </c>
      <c r="B2421" s="13" t="s">
        <v>48</v>
      </c>
      <c r="C2421" s="4">
        <v>2.0</v>
      </c>
      <c r="D2421" s="4">
        <v>1.0</v>
      </c>
      <c r="E2421" s="3"/>
      <c r="F2421" s="3"/>
      <c r="G2421" s="3"/>
      <c r="H2421" s="3"/>
      <c r="I2421" s="4">
        <v>15.0</v>
      </c>
      <c r="J2421" s="4" t="s">
        <v>1757</v>
      </c>
      <c r="K2421" s="4" t="s">
        <v>1757</v>
      </c>
    </row>
    <row r="2422">
      <c r="A2422" s="4" t="s">
        <v>6954</v>
      </c>
      <c r="B2422" s="13" t="s">
        <v>48</v>
      </c>
      <c r="C2422" s="4">
        <v>3.0</v>
      </c>
      <c r="D2422" s="4">
        <v>1.0</v>
      </c>
      <c r="E2422" s="3"/>
      <c r="F2422" s="3"/>
      <c r="G2422" s="3"/>
      <c r="H2422" s="4">
        <v>13.0</v>
      </c>
      <c r="I2422" s="4">
        <v>15.0</v>
      </c>
      <c r="J2422" s="4" t="s">
        <v>1757</v>
      </c>
      <c r="K2422" s="4" t="s">
        <v>1757</v>
      </c>
    </row>
    <row r="2423">
      <c r="A2423" s="4" t="s">
        <v>6955</v>
      </c>
      <c r="B2423" s="13" t="s">
        <v>48</v>
      </c>
      <c r="C2423" s="4">
        <v>3.0</v>
      </c>
      <c r="D2423" s="4">
        <v>1.0</v>
      </c>
      <c r="E2423" s="3"/>
      <c r="F2423" s="3"/>
      <c r="G2423" s="3"/>
      <c r="H2423" s="4">
        <v>13.0</v>
      </c>
      <c r="I2423" s="4">
        <v>15.0</v>
      </c>
      <c r="J2423" s="4" t="s">
        <v>1757</v>
      </c>
      <c r="K2423" s="4" t="s">
        <v>1757</v>
      </c>
    </row>
    <row r="2424">
      <c r="A2424" s="4" t="s">
        <v>6956</v>
      </c>
      <c r="B2424" s="13" t="s">
        <v>48</v>
      </c>
      <c r="C2424" s="4">
        <v>3.0</v>
      </c>
      <c r="D2424" s="4">
        <v>1.0</v>
      </c>
      <c r="E2424" s="3"/>
      <c r="F2424" s="3"/>
      <c r="G2424" s="3"/>
      <c r="H2424" s="4">
        <v>13.0</v>
      </c>
      <c r="I2424" s="4">
        <v>15.0</v>
      </c>
      <c r="J2424" s="4" t="s">
        <v>1757</v>
      </c>
      <c r="K2424" s="4" t="s">
        <v>1757</v>
      </c>
    </row>
    <row r="2425">
      <c r="A2425" s="4" t="s">
        <v>6957</v>
      </c>
      <c r="B2425" s="13" t="s">
        <v>48</v>
      </c>
      <c r="C2425" s="4">
        <v>3.0</v>
      </c>
      <c r="D2425" s="4">
        <v>1.0</v>
      </c>
      <c r="E2425" s="3"/>
      <c r="F2425" s="3"/>
      <c r="G2425" s="3"/>
      <c r="H2425" s="4">
        <v>13.0</v>
      </c>
      <c r="I2425" s="4">
        <v>15.0</v>
      </c>
      <c r="J2425" s="4" t="s">
        <v>1757</v>
      </c>
      <c r="K2425" s="4" t="s">
        <v>1757</v>
      </c>
    </row>
    <row r="2426">
      <c r="A2426" s="4" t="s">
        <v>6958</v>
      </c>
      <c r="B2426" s="13" t="s">
        <v>48</v>
      </c>
      <c r="C2426" s="4">
        <v>3.0</v>
      </c>
      <c r="D2426" s="4">
        <v>1.0</v>
      </c>
      <c r="E2426" s="3"/>
      <c r="F2426" s="3"/>
      <c r="G2426" s="3"/>
      <c r="H2426" s="4">
        <v>13.0</v>
      </c>
      <c r="I2426" s="4">
        <v>15.0</v>
      </c>
      <c r="J2426" s="4" t="s">
        <v>1757</v>
      </c>
      <c r="K2426" s="4" t="s">
        <v>1757</v>
      </c>
    </row>
    <row r="2427">
      <c r="A2427" s="4" t="s">
        <v>6959</v>
      </c>
      <c r="B2427" s="13" t="s">
        <v>48</v>
      </c>
      <c r="C2427" s="4">
        <v>3.0</v>
      </c>
      <c r="D2427" s="4">
        <v>1.0</v>
      </c>
      <c r="E2427" s="3"/>
      <c r="F2427" s="3"/>
      <c r="G2427" s="3"/>
      <c r="H2427" s="4">
        <v>13.0</v>
      </c>
      <c r="I2427" s="4">
        <v>15.0</v>
      </c>
      <c r="J2427" s="4" t="s">
        <v>1757</v>
      </c>
      <c r="K2427" s="4" t="s">
        <v>1757</v>
      </c>
    </row>
    <row r="2428">
      <c r="A2428" s="4" t="s">
        <v>6960</v>
      </c>
      <c r="B2428" s="13" t="s">
        <v>48</v>
      </c>
      <c r="C2428" s="4">
        <v>4.0</v>
      </c>
      <c r="D2428" s="4">
        <v>1.0</v>
      </c>
      <c r="E2428" s="3"/>
      <c r="F2428" s="4">
        <v>9.0</v>
      </c>
      <c r="G2428" s="3"/>
      <c r="H2428" s="4">
        <v>13.0</v>
      </c>
      <c r="I2428" s="4">
        <v>15.0</v>
      </c>
      <c r="J2428" s="4" t="s">
        <v>1757</v>
      </c>
      <c r="K2428" s="4" t="s">
        <v>1757</v>
      </c>
    </row>
    <row r="2429">
      <c r="A2429" s="4" t="s">
        <v>6961</v>
      </c>
      <c r="B2429" s="13" t="s">
        <v>48</v>
      </c>
      <c r="C2429" s="4">
        <v>5.0</v>
      </c>
      <c r="D2429" s="4">
        <v>1.0</v>
      </c>
      <c r="E2429" s="4">
        <v>2.0</v>
      </c>
      <c r="F2429" s="4">
        <v>9.0</v>
      </c>
      <c r="G2429" s="3"/>
      <c r="H2429" s="4">
        <v>13.0</v>
      </c>
      <c r="I2429" s="4">
        <v>15.0</v>
      </c>
      <c r="J2429" s="4" t="s">
        <v>1757</v>
      </c>
      <c r="K2429" s="4" t="s">
        <v>1757</v>
      </c>
    </row>
    <row r="2430">
      <c r="A2430" s="4" t="s">
        <v>6962</v>
      </c>
      <c r="B2430" s="13" t="s">
        <v>48</v>
      </c>
      <c r="C2430" s="4">
        <v>5.0</v>
      </c>
      <c r="D2430" s="4">
        <v>1.0</v>
      </c>
      <c r="E2430" s="4">
        <v>2.0</v>
      </c>
      <c r="F2430" s="4">
        <v>9.0</v>
      </c>
      <c r="G2430" s="3"/>
      <c r="H2430" s="4">
        <v>13.0</v>
      </c>
      <c r="I2430" s="4">
        <v>15.0</v>
      </c>
      <c r="J2430" s="4" t="s">
        <v>1757</v>
      </c>
      <c r="K2430" s="4" t="s">
        <v>1757</v>
      </c>
    </row>
    <row r="2431">
      <c r="A2431" s="4" t="s">
        <v>6963</v>
      </c>
      <c r="B2431" s="13" t="s">
        <v>48</v>
      </c>
      <c r="C2431" s="4">
        <v>5.0</v>
      </c>
      <c r="D2431" s="4">
        <v>1.0</v>
      </c>
      <c r="E2431" s="4">
        <v>2.0</v>
      </c>
      <c r="F2431" s="4">
        <v>9.0</v>
      </c>
      <c r="G2431" s="3"/>
      <c r="H2431" s="4">
        <v>13.0</v>
      </c>
      <c r="I2431" s="4">
        <v>15.0</v>
      </c>
      <c r="J2431" s="4" t="s">
        <v>1757</v>
      </c>
      <c r="K2431" s="4" t="s">
        <v>1757</v>
      </c>
    </row>
    <row r="2432">
      <c r="A2432" s="4" t="s">
        <v>6964</v>
      </c>
      <c r="B2432" s="13" t="s">
        <v>48</v>
      </c>
      <c r="C2432" s="4">
        <v>5.0</v>
      </c>
      <c r="D2432" s="4">
        <v>1.0</v>
      </c>
      <c r="E2432" s="4">
        <v>2.0</v>
      </c>
      <c r="F2432" s="4">
        <v>9.0</v>
      </c>
      <c r="G2432" s="3"/>
      <c r="H2432" s="4">
        <v>13.0</v>
      </c>
      <c r="I2432" s="4">
        <v>15.0</v>
      </c>
      <c r="J2432" s="4" t="s">
        <v>1757</v>
      </c>
      <c r="K2432" s="4" t="s">
        <v>1757</v>
      </c>
    </row>
    <row r="2433">
      <c r="A2433" s="4" t="s">
        <v>6965</v>
      </c>
      <c r="B2433" s="13" t="s">
        <v>48</v>
      </c>
      <c r="C2433" s="4">
        <v>5.0</v>
      </c>
      <c r="D2433" s="4">
        <v>1.0</v>
      </c>
      <c r="E2433" s="4">
        <v>2.0</v>
      </c>
      <c r="F2433" s="4">
        <v>9.0</v>
      </c>
      <c r="G2433" s="3"/>
      <c r="H2433" s="4">
        <v>13.0</v>
      </c>
      <c r="I2433" s="4">
        <v>15.0</v>
      </c>
      <c r="J2433" s="4" t="s">
        <v>1757</v>
      </c>
      <c r="K2433" s="4" t="s">
        <v>1757</v>
      </c>
    </row>
    <row r="2434">
      <c r="A2434" s="4" t="s">
        <v>6966</v>
      </c>
      <c r="B2434" s="13" t="s">
        <v>48</v>
      </c>
      <c r="C2434" s="4">
        <v>5.0</v>
      </c>
      <c r="D2434" s="4">
        <v>1.0</v>
      </c>
      <c r="E2434" s="4">
        <v>2.0</v>
      </c>
      <c r="F2434" s="4">
        <v>9.0</v>
      </c>
      <c r="G2434" s="3"/>
      <c r="H2434" s="4">
        <v>13.0</v>
      </c>
      <c r="I2434" s="4">
        <v>15.0</v>
      </c>
      <c r="J2434" s="4" t="s">
        <v>1757</v>
      </c>
      <c r="K2434" s="4" t="s">
        <v>1757</v>
      </c>
    </row>
    <row r="2435">
      <c r="A2435" s="4" t="s">
        <v>6967</v>
      </c>
      <c r="B2435" s="13" t="s">
        <v>48</v>
      </c>
      <c r="C2435" s="4">
        <v>5.0</v>
      </c>
      <c r="D2435" s="4">
        <v>1.0</v>
      </c>
      <c r="E2435" s="4">
        <v>2.0</v>
      </c>
      <c r="F2435" s="4">
        <v>9.0</v>
      </c>
      <c r="G2435" s="3"/>
      <c r="H2435" s="4">
        <v>13.0</v>
      </c>
      <c r="I2435" s="4">
        <v>15.0</v>
      </c>
      <c r="J2435" s="4" t="s">
        <v>1757</v>
      </c>
      <c r="K2435" s="4" t="s">
        <v>1757</v>
      </c>
    </row>
    <row r="2436">
      <c r="A2436" s="4" t="s">
        <v>6968</v>
      </c>
      <c r="B2436" s="13" t="s">
        <v>48</v>
      </c>
      <c r="C2436" s="4">
        <v>5.0</v>
      </c>
      <c r="D2436" s="4">
        <v>1.0</v>
      </c>
      <c r="E2436" s="4">
        <v>2.0</v>
      </c>
      <c r="F2436" s="4">
        <v>9.0</v>
      </c>
      <c r="G2436" s="3"/>
      <c r="H2436" s="4">
        <v>13.0</v>
      </c>
      <c r="I2436" s="4">
        <v>15.0</v>
      </c>
      <c r="J2436" s="4" t="s">
        <v>1757</v>
      </c>
      <c r="K2436" s="4" t="s">
        <v>1757</v>
      </c>
    </row>
    <row r="2437">
      <c r="A2437" s="4" t="s">
        <v>6969</v>
      </c>
      <c r="B2437" s="13" t="s">
        <v>48</v>
      </c>
      <c r="C2437" s="4">
        <v>5.0</v>
      </c>
      <c r="D2437" s="4">
        <v>1.0</v>
      </c>
      <c r="E2437" s="4">
        <v>2.0</v>
      </c>
      <c r="F2437" s="4">
        <v>9.0</v>
      </c>
      <c r="G2437" s="3"/>
      <c r="H2437" s="4">
        <v>13.0</v>
      </c>
      <c r="I2437" s="4">
        <v>15.0</v>
      </c>
      <c r="J2437" s="4" t="s">
        <v>1757</v>
      </c>
      <c r="K2437" s="4" t="s">
        <v>1757</v>
      </c>
    </row>
    <row r="2438">
      <c r="A2438" s="4" t="s">
        <v>6970</v>
      </c>
      <c r="B2438" s="13" t="s">
        <v>48</v>
      </c>
      <c r="C2438" s="4">
        <v>5.0</v>
      </c>
      <c r="D2438" s="4">
        <v>1.0</v>
      </c>
      <c r="E2438" s="4">
        <v>2.0</v>
      </c>
      <c r="F2438" s="4">
        <v>9.0</v>
      </c>
      <c r="G2438" s="3"/>
      <c r="H2438" s="4">
        <v>13.0</v>
      </c>
      <c r="I2438" s="4">
        <v>15.0</v>
      </c>
      <c r="J2438" s="4" t="s">
        <v>1757</v>
      </c>
      <c r="K2438" s="4" t="s">
        <v>1757</v>
      </c>
    </row>
    <row r="2439">
      <c r="A2439" s="4" t="s">
        <v>6971</v>
      </c>
      <c r="B2439" s="13" t="s">
        <v>48</v>
      </c>
      <c r="C2439" s="4">
        <v>5.0</v>
      </c>
      <c r="D2439" s="4">
        <v>1.0</v>
      </c>
      <c r="E2439" s="4">
        <v>2.0</v>
      </c>
      <c r="F2439" s="4">
        <v>9.0</v>
      </c>
      <c r="G2439" s="3"/>
      <c r="H2439" s="4">
        <v>13.0</v>
      </c>
      <c r="I2439" s="4">
        <v>15.0</v>
      </c>
      <c r="J2439" s="4" t="s">
        <v>1757</v>
      </c>
      <c r="K2439" s="4" t="s">
        <v>1757</v>
      </c>
    </row>
    <row r="2440">
      <c r="A2440" s="4" t="s">
        <v>6972</v>
      </c>
      <c r="B2440" s="13" t="s">
        <v>48</v>
      </c>
      <c r="C2440" s="4">
        <v>5.0</v>
      </c>
      <c r="D2440" s="4">
        <v>1.0</v>
      </c>
      <c r="E2440" s="4">
        <v>2.0</v>
      </c>
      <c r="F2440" s="4">
        <v>9.0</v>
      </c>
      <c r="G2440" s="3"/>
      <c r="H2440" s="4">
        <v>13.0</v>
      </c>
      <c r="I2440" s="4">
        <v>15.0</v>
      </c>
      <c r="J2440" s="4" t="s">
        <v>1757</v>
      </c>
      <c r="K2440" s="4" t="s">
        <v>1757</v>
      </c>
    </row>
    <row r="2441">
      <c r="A2441" s="4" t="s">
        <v>6973</v>
      </c>
      <c r="B2441" s="13" t="s">
        <v>48</v>
      </c>
      <c r="C2441" s="4">
        <v>5.0</v>
      </c>
      <c r="D2441" s="4">
        <v>1.0</v>
      </c>
      <c r="E2441" s="4">
        <v>2.0</v>
      </c>
      <c r="F2441" s="4">
        <v>9.0</v>
      </c>
      <c r="G2441" s="3"/>
      <c r="H2441" s="4">
        <v>13.0</v>
      </c>
      <c r="I2441" s="4">
        <v>15.0</v>
      </c>
      <c r="J2441" s="4" t="s">
        <v>1757</v>
      </c>
      <c r="K2441" s="4" t="s">
        <v>1757</v>
      </c>
    </row>
    <row r="2442">
      <c r="A2442" s="4" t="s">
        <v>6974</v>
      </c>
      <c r="B2442" s="13" t="s">
        <v>48</v>
      </c>
      <c r="C2442" s="4">
        <v>5.0</v>
      </c>
      <c r="D2442" s="4">
        <v>1.0</v>
      </c>
      <c r="E2442" s="4">
        <v>2.0</v>
      </c>
      <c r="F2442" s="4">
        <v>9.0</v>
      </c>
      <c r="G2442" s="3"/>
      <c r="H2442" s="4">
        <v>13.0</v>
      </c>
      <c r="I2442" s="4">
        <v>15.0</v>
      </c>
      <c r="J2442" s="4" t="s">
        <v>1757</v>
      </c>
      <c r="K2442" s="4" t="s">
        <v>1757</v>
      </c>
    </row>
    <row r="2443">
      <c r="A2443" s="4" t="s">
        <v>6975</v>
      </c>
      <c r="B2443" s="13" t="s">
        <v>48</v>
      </c>
      <c r="C2443" s="4">
        <v>5.0</v>
      </c>
      <c r="D2443" s="4">
        <v>1.0</v>
      </c>
      <c r="E2443" s="4">
        <v>2.0</v>
      </c>
      <c r="F2443" s="4">
        <v>9.0</v>
      </c>
      <c r="G2443" s="3"/>
      <c r="H2443" s="4">
        <v>13.0</v>
      </c>
      <c r="I2443" s="4">
        <v>15.0</v>
      </c>
      <c r="J2443" s="4" t="s">
        <v>1757</v>
      </c>
      <c r="K2443" s="4" t="s">
        <v>1757</v>
      </c>
    </row>
    <row r="2444">
      <c r="A2444" s="4" t="s">
        <v>6976</v>
      </c>
      <c r="B2444" s="13" t="s">
        <v>48</v>
      </c>
      <c r="C2444" s="4">
        <v>5.0</v>
      </c>
      <c r="D2444" s="4">
        <v>1.0</v>
      </c>
      <c r="E2444" s="4">
        <v>2.0</v>
      </c>
      <c r="F2444" s="4">
        <v>9.0</v>
      </c>
      <c r="G2444" s="3"/>
      <c r="H2444" s="4">
        <v>13.0</v>
      </c>
      <c r="I2444" s="4">
        <v>15.0</v>
      </c>
      <c r="J2444" s="4" t="s">
        <v>1757</v>
      </c>
      <c r="K2444" s="4" t="s">
        <v>1757</v>
      </c>
    </row>
    <row r="2445">
      <c r="A2445" s="4" t="s">
        <v>6977</v>
      </c>
      <c r="B2445" s="13" t="s">
        <v>48</v>
      </c>
      <c r="C2445" s="4">
        <v>5.0</v>
      </c>
      <c r="D2445" s="4">
        <v>1.0</v>
      </c>
      <c r="E2445" s="4">
        <v>2.0</v>
      </c>
      <c r="F2445" s="4">
        <v>9.0</v>
      </c>
      <c r="G2445" s="3"/>
      <c r="H2445" s="4">
        <v>13.0</v>
      </c>
      <c r="I2445" s="4">
        <v>15.0</v>
      </c>
      <c r="J2445" s="4" t="s">
        <v>1757</v>
      </c>
      <c r="K2445" s="4" t="s">
        <v>1757</v>
      </c>
    </row>
    <row r="2446">
      <c r="A2446" s="4" t="s">
        <v>6978</v>
      </c>
      <c r="B2446" s="13" t="s">
        <v>48</v>
      </c>
      <c r="C2446" s="4">
        <v>5.0</v>
      </c>
      <c r="D2446" s="4">
        <v>1.0</v>
      </c>
      <c r="E2446" s="4">
        <v>2.0</v>
      </c>
      <c r="F2446" s="4">
        <v>9.0</v>
      </c>
      <c r="G2446" s="3"/>
      <c r="H2446" s="4">
        <v>13.0</v>
      </c>
      <c r="I2446" s="4">
        <v>15.0</v>
      </c>
      <c r="J2446" s="4" t="s">
        <v>1757</v>
      </c>
      <c r="K2446" s="4" t="s">
        <v>1757</v>
      </c>
    </row>
    <row r="2447">
      <c r="A2447" s="4" t="s">
        <v>6979</v>
      </c>
      <c r="B2447" s="13" t="s">
        <v>48</v>
      </c>
      <c r="C2447" s="4">
        <v>5.0</v>
      </c>
      <c r="D2447" s="4">
        <v>1.0</v>
      </c>
      <c r="E2447" s="4">
        <v>2.0</v>
      </c>
      <c r="F2447" s="4">
        <v>9.0</v>
      </c>
      <c r="G2447" s="3"/>
      <c r="H2447" s="4">
        <v>13.0</v>
      </c>
      <c r="I2447" s="4">
        <v>15.0</v>
      </c>
      <c r="J2447" s="4" t="s">
        <v>1757</v>
      </c>
      <c r="K2447" s="4" t="s">
        <v>1757</v>
      </c>
    </row>
    <row r="2448">
      <c r="A2448" s="4" t="s">
        <v>6980</v>
      </c>
      <c r="B2448" s="13" t="s">
        <v>48</v>
      </c>
      <c r="C2448" s="4">
        <v>5.0</v>
      </c>
      <c r="D2448" s="4">
        <v>1.0</v>
      </c>
      <c r="E2448" s="4">
        <v>2.0</v>
      </c>
      <c r="F2448" s="4">
        <v>9.0</v>
      </c>
      <c r="G2448" s="3"/>
      <c r="H2448" s="4">
        <v>13.0</v>
      </c>
      <c r="I2448" s="4">
        <v>15.0</v>
      </c>
      <c r="J2448" s="4" t="s">
        <v>1757</v>
      </c>
      <c r="K2448" s="4" t="s">
        <v>1757</v>
      </c>
    </row>
    <row r="2449">
      <c r="A2449" s="4" t="s">
        <v>6981</v>
      </c>
      <c r="B2449" s="13" t="s">
        <v>48</v>
      </c>
      <c r="C2449" s="4">
        <v>5.0</v>
      </c>
      <c r="D2449" s="4">
        <v>1.0</v>
      </c>
      <c r="E2449" s="4">
        <v>2.0</v>
      </c>
      <c r="F2449" s="4">
        <v>9.0</v>
      </c>
      <c r="G2449" s="3"/>
      <c r="H2449" s="4">
        <v>13.0</v>
      </c>
      <c r="I2449" s="4">
        <v>15.0</v>
      </c>
      <c r="J2449" s="4" t="s">
        <v>1757</v>
      </c>
      <c r="K2449" s="4" t="s">
        <v>1757</v>
      </c>
    </row>
    <row r="2450">
      <c r="A2450" s="4" t="s">
        <v>6982</v>
      </c>
      <c r="B2450" s="13" t="s">
        <v>48</v>
      </c>
      <c r="C2450" s="4">
        <v>5.0</v>
      </c>
      <c r="D2450" s="4">
        <v>1.0</v>
      </c>
      <c r="E2450" s="4">
        <v>2.0</v>
      </c>
      <c r="F2450" s="4">
        <v>9.0</v>
      </c>
      <c r="G2450" s="3"/>
      <c r="H2450" s="4">
        <v>13.0</v>
      </c>
      <c r="I2450" s="4">
        <v>15.0</v>
      </c>
      <c r="J2450" s="4" t="s">
        <v>1757</v>
      </c>
      <c r="K2450" s="4" t="s">
        <v>1757</v>
      </c>
    </row>
    <row r="2451">
      <c r="A2451" s="4" t="s">
        <v>6983</v>
      </c>
      <c r="B2451" s="13" t="s">
        <v>48</v>
      </c>
      <c r="C2451" s="4">
        <v>5.0</v>
      </c>
      <c r="D2451" s="4">
        <v>1.0</v>
      </c>
      <c r="E2451" s="4">
        <v>2.0</v>
      </c>
      <c r="F2451" s="4">
        <v>9.0</v>
      </c>
      <c r="G2451" s="3"/>
      <c r="H2451" s="4">
        <v>13.0</v>
      </c>
      <c r="I2451" s="4">
        <v>15.0</v>
      </c>
      <c r="J2451" s="4" t="s">
        <v>1757</v>
      </c>
      <c r="K2451" s="4" t="s">
        <v>1757</v>
      </c>
    </row>
    <row r="2452">
      <c r="A2452" s="4" t="s">
        <v>6984</v>
      </c>
      <c r="B2452" s="13" t="s">
        <v>48</v>
      </c>
      <c r="C2452" s="4">
        <v>5.0</v>
      </c>
      <c r="D2452" s="4">
        <v>1.0</v>
      </c>
      <c r="E2452" s="4">
        <v>2.0</v>
      </c>
      <c r="F2452" s="4">
        <v>9.0</v>
      </c>
      <c r="G2452" s="3"/>
      <c r="H2452" s="4">
        <v>13.0</v>
      </c>
      <c r="I2452" s="4">
        <v>15.0</v>
      </c>
      <c r="J2452" s="4" t="s">
        <v>1757</v>
      </c>
      <c r="K2452" s="4" t="s">
        <v>1757</v>
      </c>
    </row>
    <row r="2453">
      <c r="A2453" s="4" t="s">
        <v>6985</v>
      </c>
      <c r="B2453" s="13" t="s">
        <v>48</v>
      </c>
      <c r="C2453" s="4">
        <v>5.0</v>
      </c>
      <c r="D2453" s="4">
        <v>1.0</v>
      </c>
      <c r="E2453" s="4">
        <v>2.0</v>
      </c>
      <c r="F2453" s="4">
        <v>9.0</v>
      </c>
      <c r="G2453" s="3"/>
      <c r="H2453" s="4">
        <v>13.0</v>
      </c>
      <c r="I2453" s="4">
        <v>15.0</v>
      </c>
      <c r="J2453" s="4" t="s">
        <v>1757</v>
      </c>
      <c r="K2453" s="4" t="s">
        <v>1757</v>
      </c>
    </row>
    <row r="2454">
      <c r="A2454" s="4" t="s">
        <v>6986</v>
      </c>
      <c r="B2454" s="13" t="s">
        <v>48</v>
      </c>
      <c r="C2454" s="4">
        <v>5.0</v>
      </c>
      <c r="D2454" s="4">
        <v>1.0</v>
      </c>
      <c r="E2454" s="4">
        <v>2.0</v>
      </c>
      <c r="F2454" s="4">
        <v>9.0</v>
      </c>
      <c r="G2454" s="3"/>
      <c r="H2454" s="4">
        <v>13.0</v>
      </c>
      <c r="I2454" s="4">
        <v>15.0</v>
      </c>
      <c r="J2454" s="4" t="s">
        <v>1757</v>
      </c>
      <c r="K2454" s="4" t="s">
        <v>1757</v>
      </c>
    </row>
    <row r="2455">
      <c r="A2455" s="4" t="s">
        <v>6987</v>
      </c>
      <c r="B2455" s="13" t="s">
        <v>48</v>
      </c>
      <c r="C2455" s="4">
        <v>5.0</v>
      </c>
      <c r="D2455" s="4">
        <v>1.0</v>
      </c>
      <c r="E2455" s="4">
        <v>2.0</v>
      </c>
      <c r="F2455" s="4">
        <v>9.0</v>
      </c>
      <c r="G2455" s="3"/>
      <c r="H2455" s="4">
        <v>13.0</v>
      </c>
      <c r="I2455" s="4">
        <v>15.0</v>
      </c>
      <c r="J2455" s="4" t="s">
        <v>1757</v>
      </c>
      <c r="K2455" s="4" t="s">
        <v>1757</v>
      </c>
    </row>
    <row r="2456">
      <c r="A2456" s="4" t="s">
        <v>6988</v>
      </c>
      <c r="B2456" s="13" t="s">
        <v>48</v>
      </c>
      <c r="C2456" s="4">
        <v>5.0</v>
      </c>
      <c r="D2456" s="4">
        <v>1.0</v>
      </c>
      <c r="E2456" s="4">
        <v>2.0</v>
      </c>
      <c r="F2456" s="4">
        <v>9.0</v>
      </c>
      <c r="G2456" s="3"/>
      <c r="H2456" s="4">
        <v>13.0</v>
      </c>
      <c r="I2456" s="4">
        <v>15.0</v>
      </c>
      <c r="J2456" s="4" t="s">
        <v>1757</v>
      </c>
      <c r="K2456" s="4" t="s">
        <v>1757</v>
      </c>
    </row>
    <row r="2457">
      <c r="A2457" s="4" t="s">
        <v>6989</v>
      </c>
      <c r="B2457" s="13" t="s">
        <v>48</v>
      </c>
      <c r="C2457" s="4">
        <v>5.0</v>
      </c>
      <c r="D2457" s="4">
        <v>1.0</v>
      </c>
      <c r="E2457" s="4">
        <v>2.0</v>
      </c>
      <c r="F2457" s="4">
        <v>9.0</v>
      </c>
      <c r="G2457" s="3"/>
      <c r="H2457" s="4">
        <v>13.0</v>
      </c>
      <c r="I2457" s="4">
        <v>15.0</v>
      </c>
      <c r="J2457" s="4" t="s">
        <v>1757</v>
      </c>
      <c r="K2457" s="4" t="s">
        <v>1757</v>
      </c>
    </row>
    <row r="2458">
      <c r="A2458" s="4" t="s">
        <v>6990</v>
      </c>
      <c r="B2458" s="13" t="s">
        <v>48</v>
      </c>
      <c r="C2458" s="4">
        <v>5.0</v>
      </c>
      <c r="D2458" s="4">
        <v>1.0</v>
      </c>
      <c r="E2458" s="4">
        <v>2.0</v>
      </c>
      <c r="F2458" s="4">
        <v>9.0</v>
      </c>
      <c r="G2458" s="3"/>
      <c r="H2458" s="4">
        <v>13.0</v>
      </c>
      <c r="I2458" s="4">
        <v>15.0</v>
      </c>
      <c r="J2458" s="4" t="s">
        <v>1757</v>
      </c>
      <c r="K2458" s="4" t="s">
        <v>1757</v>
      </c>
    </row>
    <row r="2459">
      <c r="A2459" s="4" t="s">
        <v>6991</v>
      </c>
      <c r="B2459" s="13" t="s">
        <v>48</v>
      </c>
      <c r="C2459" s="4">
        <v>5.0</v>
      </c>
      <c r="D2459" s="4">
        <v>1.0</v>
      </c>
      <c r="E2459" s="4">
        <v>2.0</v>
      </c>
      <c r="F2459" s="4">
        <v>9.0</v>
      </c>
      <c r="G2459" s="3"/>
      <c r="H2459" s="4">
        <v>13.0</v>
      </c>
      <c r="I2459" s="4">
        <v>15.0</v>
      </c>
      <c r="J2459" s="4" t="s">
        <v>1757</v>
      </c>
      <c r="K2459" s="4" t="s">
        <v>1757</v>
      </c>
    </row>
    <row r="2460">
      <c r="A2460" s="4" t="s">
        <v>6992</v>
      </c>
      <c r="B2460" s="13" t="s">
        <v>48</v>
      </c>
      <c r="C2460" s="4">
        <v>5.0</v>
      </c>
      <c r="D2460" s="4">
        <v>1.0</v>
      </c>
      <c r="E2460" s="4">
        <v>2.0</v>
      </c>
      <c r="F2460" s="4">
        <v>9.0</v>
      </c>
      <c r="G2460" s="3"/>
      <c r="H2460" s="4">
        <v>13.0</v>
      </c>
      <c r="I2460" s="4">
        <v>15.0</v>
      </c>
      <c r="J2460" s="4" t="s">
        <v>1757</v>
      </c>
      <c r="K2460" s="4" t="s">
        <v>1757</v>
      </c>
    </row>
    <row r="2461">
      <c r="A2461" s="4" t="s">
        <v>6993</v>
      </c>
      <c r="B2461" s="13" t="s">
        <v>48</v>
      </c>
      <c r="C2461" s="4">
        <v>5.0</v>
      </c>
      <c r="D2461" s="4">
        <v>1.0</v>
      </c>
      <c r="E2461" s="4">
        <v>2.0</v>
      </c>
      <c r="F2461" s="4">
        <v>9.0</v>
      </c>
      <c r="G2461" s="3"/>
      <c r="H2461" s="4">
        <v>13.0</v>
      </c>
      <c r="I2461" s="4">
        <v>15.0</v>
      </c>
      <c r="J2461" s="4" t="s">
        <v>1757</v>
      </c>
      <c r="K2461" s="4" t="s">
        <v>1757</v>
      </c>
    </row>
    <row r="2462">
      <c r="A2462" s="4" t="s">
        <v>6994</v>
      </c>
      <c r="B2462" s="13" t="s">
        <v>48</v>
      </c>
      <c r="C2462" s="4">
        <v>5.0</v>
      </c>
      <c r="D2462" s="4">
        <v>1.0</v>
      </c>
      <c r="E2462" s="4">
        <v>2.0</v>
      </c>
      <c r="F2462" s="4">
        <v>9.0</v>
      </c>
      <c r="G2462" s="3"/>
      <c r="H2462" s="4">
        <v>13.0</v>
      </c>
      <c r="I2462" s="4">
        <v>15.0</v>
      </c>
      <c r="J2462" s="4" t="s">
        <v>1757</v>
      </c>
      <c r="K2462" s="4" t="s">
        <v>1757</v>
      </c>
    </row>
    <row r="2463">
      <c r="A2463" s="4" t="s">
        <v>6995</v>
      </c>
      <c r="B2463" s="13" t="s">
        <v>48</v>
      </c>
      <c r="C2463" s="4">
        <v>4.0</v>
      </c>
      <c r="D2463" s="3"/>
      <c r="E2463" s="4">
        <v>2.0</v>
      </c>
      <c r="F2463" s="4">
        <v>9.0</v>
      </c>
      <c r="G2463" s="3"/>
      <c r="H2463" s="4">
        <v>13.0</v>
      </c>
      <c r="I2463" s="4">
        <v>15.0</v>
      </c>
      <c r="J2463" s="4" t="s">
        <v>1757</v>
      </c>
      <c r="K2463" s="4" t="s">
        <v>1757</v>
      </c>
    </row>
    <row r="2464">
      <c r="A2464" s="4" t="s">
        <v>6996</v>
      </c>
      <c r="B2464" s="13" t="s">
        <v>48</v>
      </c>
      <c r="C2464" s="4">
        <v>4.0</v>
      </c>
      <c r="D2464" s="3"/>
      <c r="E2464" s="4">
        <v>2.0</v>
      </c>
      <c r="F2464" s="4">
        <v>9.0</v>
      </c>
      <c r="G2464" s="3"/>
      <c r="H2464" s="4">
        <v>13.0</v>
      </c>
      <c r="I2464" s="4">
        <v>15.0</v>
      </c>
      <c r="J2464" s="4" t="s">
        <v>1757</v>
      </c>
      <c r="K2464" s="4" t="s">
        <v>1757</v>
      </c>
    </row>
    <row r="2465">
      <c r="A2465" s="4" t="s">
        <v>6997</v>
      </c>
      <c r="B2465" s="13" t="s">
        <v>48</v>
      </c>
      <c r="C2465" s="4">
        <v>4.0</v>
      </c>
      <c r="D2465" s="3"/>
      <c r="E2465" s="4">
        <v>2.0</v>
      </c>
      <c r="F2465" s="4">
        <v>9.0</v>
      </c>
      <c r="G2465" s="3"/>
      <c r="H2465" s="4">
        <v>13.0</v>
      </c>
      <c r="I2465" s="4">
        <v>15.0</v>
      </c>
      <c r="J2465" s="4" t="s">
        <v>1757</v>
      </c>
      <c r="K2465" s="4" t="s">
        <v>1757</v>
      </c>
    </row>
    <row r="2466">
      <c r="A2466" s="4" t="s">
        <v>6998</v>
      </c>
      <c r="B2466" s="13" t="s">
        <v>48</v>
      </c>
      <c r="C2466" s="4">
        <v>4.0</v>
      </c>
      <c r="D2466" s="3"/>
      <c r="E2466" s="4">
        <v>2.0</v>
      </c>
      <c r="F2466" s="4">
        <v>9.0</v>
      </c>
      <c r="G2466" s="3"/>
      <c r="H2466" s="4">
        <v>13.0</v>
      </c>
      <c r="I2466" s="4">
        <v>15.0</v>
      </c>
      <c r="J2466" s="4" t="s">
        <v>1757</v>
      </c>
      <c r="K2466" s="4" t="s">
        <v>1757</v>
      </c>
    </row>
    <row r="2467">
      <c r="A2467" s="4" t="s">
        <v>6999</v>
      </c>
      <c r="B2467" s="13" t="s">
        <v>48</v>
      </c>
      <c r="C2467" s="4">
        <v>4.0</v>
      </c>
      <c r="D2467" s="3"/>
      <c r="E2467" s="4">
        <v>2.0</v>
      </c>
      <c r="F2467" s="4">
        <v>9.0</v>
      </c>
      <c r="G2467" s="3"/>
      <c r="H2467" s="4">
        <v>13.0</v>
      </c>
      <c r="I2467" s="4">
        <v>15.0</v>
      </c>
      <c r="J2467" s="4" t="s">
        <v>1757</v>
      </c>
      <c r="K2467" s="4" t="s">
        <v>1757</v>
      </c>
    </row>
    <row r="2468">
      <c r="A2468" s="4" t="s">
        <v>7000</v>
      </c>
      <c r="B2468" s="13" t="s">
        <v>48</v>
      </c>
      <c r="C2468" s="4">
        <v>4.0</v>
      </c>
      <c r="D2468" s="3"/>
      <c r="E2468" s="4">
        <v>2.0</v>
      </c>
      <c r="F2468" s="4">
        <v>9.0</v>
      </c>
      <c r="G2468" s="3"/>
      <c r="H2468" s="4">
        <v>13.0</v>
      </c>
      <c r="I2468" s="4">
        <v>15.0</v>
      </c>
      <c r="J2468" s="4" t="s">
        <v>1757</v>
      </c>
      <c r="K2468" s="4" t="s">
        <v>1757</v>
      </c>
    </row>
    <row r="2469">
      <c r="A2469" s="4" t="s">
        <v>7001</v>
      </c>
      <c r="B2469" s="13" t="s">
        <v>48</v>
      </c>
      <c r="C2469" s="4">
        <v>3.0</v>
      </c>
      <c r="D2469" s="3"/>
      <c r="E2469" s="3"/>
      <c r="F2469" s="4">
        <v>9.0</v>
      </c>
      <c r="G2469" s="3"/>
      <c r="H2469" s="4">
        <v>13.0</v>
      </c>
      <c r="I2469" s="4">
        <v>15.0</v>
      </c>
      <c r="J2469" s="4" t="s">
        <v>1757</v>
      </c>
      <c r="K2469" s="4" t="s">
        <v>1757</v>
      </c>
    </row>
    <row r="2470">
      <c r="A2470" s="4" t="s">
        <v>7002</v>
      </c>
      <c r="B2470" s="13" t="s">
        <v>48</v>
      </c>
      <c r="C2470" s="4">
        <v>4.0</v>
      </c>
      <c r="D2470" s="3"/>
      <c r="E2470" s="4">
        <v>2.0</v>
      </c>
      <c r="F2470" s="4">
        <v>9.0</v>
      </c>
      <c r="G2470" s="3"/>
      <c r="H2470" s="4">
        <v>13.0</v>
      </c>
      <c r="I2470" s="4">
        <v>15.0</v>
      </c>
      <c r="J2470" s="4" t="s">
        <v>1757</v>
      </c>
      <c r="K2470" s="4" t="s">
        <v>1757</v>
      </c>
    </row>
    <row r="2471">
      <c r="A2471" s="4" t="s">
        <v>7003</v>
      </c>
      <c r="B2471" s="13" t="s">
        <v>48</v>
      </c>
      <c r="C2471" s="4">
        <v>4.0</v>
      </c>
      <c r="D2471" s="3"/>
      <c r="E2471" s="4">
        <v>2.0</v>
      </c>
      <c r="F2471" s="4">
        <v>9.0</v>
      </c>
      <c r="G2471" s="3"/>
      <c r="H2471" s="4">
        <v>13.0</v>
      </c>
      <c r="I2471" s="4">
        <v>15.0</v>
      </c>
      <c r="J2471" s="4" t="s">
        <v>1757</v>
      </c>
      <c r="K2471" s="4" t="s">
        <v>1757</v>
      </c>
    </row>
    <row r="2472">
      <c r="A2472" s="4" t="s">
        <v>7004</v>
      </c>
      <c r="B2472" s="13" t="s">
        <v>48</v>
      </c>
      <c r="C2472" s="4">
        <v>4.0</v>
      </c>
      <c r="D2472" s="3"/>
      <c r="E2472" s="4">
        <v>2.0</v>
      </c>
      <c r="F2472" s="4">
        <v>9.0</v>
      </c>
      <c r="G2472" s="3"/>
      <c r="H2472" s="4">
        <v>13.0</v>
      </c>
      <c r="I2472" s="4">
        <v>15.0</v>
      </c>
      <c r="J2472" s="4" t="s">
        <v>1757</v>
      </c>
      <c r="K2472" s="4" t="s">
        <v>1757</v>
      </c>
    </row>
    <row r="2473">
      <c r="A2473" s="4" t="s">
        <v>7005</v>
      </c>
      <c r="B2473" s="13" t="s">
        <v>48</v>
      </c>
      <c r="C2473" s="4">
        <v>4.0</v>
      </c>
      <c r="D2473" s="3"/>
      <c r="E2473" s="4">
        <v>2.0</v>
      </c>
      <c r="F2473" s="4">
        <v>9.0</v>
      </c>
      <c r="G2473" s="3"/>
      <c r="H2473" s="4">
        <v>13.0</v>
      </c>
      <c r="I2473" s="4">
        <v>15.0</v>
      </c>
      <c r="J2473" s="4" t="s">
        <v>1757</v>
      </c>
      <c r="K2473" s="4" t="s">
        <v>1757</v>
      </c>
    </row>
    <row r="2474">
      <c r="A2474" s="4" t="s">
        <v>7006</v>
      </c>
      <c r="B2474" s="13" t="s">
        <v>48</v>
      </c>
      <c r="C2474" s="4">
        <v>4.0</v>
      </c>
      <c r="D2474" s="3"/>
      <c r="E2474" s="4">
        <v>2.0</v>
      </c>
      <c r="F2474" s="4">
        <v>9.0</v>
      </c>
      <c r="G2474" s="3"/>
      <c r="H2474" s="4">
        <v>13.0</v>
      </c>
      <c r="I2474" s="4">
        <v>15.0</v>
      </c>
      <c r="J2474" s="4" t="s">
        <v>1757</v>
      </c>
      <c r="K2474" s="4" t="s">
        <v>1757</v>
      </c>
    </row>
    <row r="2475">
      <c r="A2475" s="4" t="s">
        <v>7007</v>
      </c>
      <c r="B2475" s="13" t="s">
        <v>48</v>
      </c>
      <c r="C2475" s="4">
        <v>4.0</v>
      </c>
      <c r="D2475" s="3"/>
      <c r="E2475" s="4">
        <v>2.0</v>
      </c>
      <c r="F2475" s="4">
        <v>9.0</v>
      </c>
      <c r="G2475" s="3"/>
      <c r="H2475" s="4">
        <v>13.0</v>
      </c>
      <c r="I2475" s="4">
        <v>15.0</v>
      </c>
      <c r="J2475" s="4" t="s">
        <v>1757</v>
      </c>
      <c r="K2475" s="4" t="s">
        <v>1757</v>
      </c>
    </row>
    <row r="2476">
      <c r="A2476" s="4" t="s">
        <v>7008</v>
      </c>
      <c r="B2476" s="13" t="s">
        <v>48</v>
      </c>
      <c r="C2476" s="4">
        <v>3.0</v>
      </c>
      <c r="D2476" s="3"/>
      <c r="E2476" s="4">
        <v>2.0</v>
      </c>
      <c r="F2476" s="4">
        <v>9.0</v>
      </c>
      <c r="G2476" s="3"/>
      <c r="H2476" s="4">
        <v>13.0</v>
      </c>
      <c r="I2476" s="3"/>
      <c r="J2476" s="4" t="s">
        <v>1757</v>
      </c>
      <c r="K2476" s="4" t="s">
        <v>1757</v>
      </c>
    </row>
    <row r="2477">
      <c r="A2477" s="4" t="s">
        <v>7009</v>
      </c>
      <c r="B2477" s="13" t="s">
        <v>48</v>
      </c>
      <c r="C2477" s="4">
        <v>3.0</v>
      </c>
      <c r="D2477" s="3"/>
      <c r="E2477" s="4">
        <v>2.0</v>
      </c>
      <c r="F2477" s="4">
        <v>9.0</v>
      </c>
      <c r="G2477" s="3"/>
      <c r="H2477" s="4">
        <v>13.0</v>
      </c>
      <c r="I2477" s="3"/>
      <c r="J2477" s="4" t="s">
        <v>1757</v>
      </c>
    </row>
    <row r="2478">
      <c r="A2478" s="4" t="s">
        <v>7010</v>
      </c>
      <c r="B2478" s="13" t="s">
        <v>48</v>
      </c>
      <c r="C2478" s="4">
        <v>3.0</v>
      </c>
      <c r="D2478" s="3"/>
      <c r="E2478" s="4">
        <v>2.0</v>
      </c>
      <c r="F2478" s="4">
        <v>9.0</v>
      </c>
      <c r="G2478" s="3"/>
      <c r="H2478" s="4">
        <v>13.0</v>
      </c>
      <c r="I2478" s="3"/>
      <c r="J2478" s="4" t="s">
        <v>1757</v>
      </c>
    </row>
    <row r="2479">
      <c r="A2479" s="4" t="s">
        <v>7011</v>
      </c>
      <c r="B2479" s="13" t="s">
        <v>48</v>
      </c>
      <c r="C2479" s="4">
        <v>3.0</v>
      </c>
      <c r="D2479" s="3"/>
      <c r="E2479" s="4">
        <v>2.0</v>
      </c>
      <c r="F2479" s="4">
        <v>9.0</v>
      </c>
      <c r="G2479" s="3"/>
      <c r="H2479" s="4">
        <v>13.0</v>
      </c>
      <c r="I2479" s="3"/>
      <c r="J2479" s="4" t="s">
        <v>1757</v>
      </c>
    </row>
    <row r="2480">
      <c r="A2480" s="4" t="s">
        <v>7012</v>
      </c>
      <c r="B2480" s="13" t="s">
        <v>48</v>
      </c>
      <c r="C2480" s="4">
        <v>3.0</v>
      </c>
      <c r="D2480" s="3"/>
      <c r="E2480" s="4">
        <v>2.0</v>
      </c>
      <c r="F2480" s="4">
        <v>9.0</v>
      </c>
      <c r="G2480" s="3"/>
      <c r="H2480" s="4">
        <v>13.0</v>
      </c>
      <c r="I2480" s="3"/>
      <c r="J2480" s="4" t="s">
        <v>1757</v>
      </c>
    </row>
    <row r="2481">
      <c r="A2481" s="4" t="s">
        <v>7013</v>
      </c>
      <c r="B2481" s="13" t="s">
        <v>48</v>
      </c>
      <c r="C2481" s="4">
        <v>3.0</v>
      </c>
      <c r="D2481" s="3"/>
      <c r="E2481" s="4">
        <v>2.0</v>
      </c>
      <c r="F2481" s="4">
        <v>9.0</v>
      </c>
      <c r="G2481" s="3"/>
      <c r="H2481" s="4">
        <v>13.0</v>
      </c>
      <c r="I2481" s="3"/>
      <c r="J2481" s="4" t="s">
        <v>1757</v>
      </c>
    </row>
    <row r="2482">
      <c r="A2482" s="4" t="s">
        <v>7014</v>
      </c>
      <c r="B2482" s="13" t="s">
        <v>48</v>
      </c>
      <c r="C2482" s="4">
        <v>3.0</v>
      </c>
      <c r="D2482" s="3"/>
      <c r="E2482" s="4">
        <v>2.0</v>
      </c>
      <c r="F2482" s="4">
        <v>9.0</v>
      </c>
      <c r="G2482" s="3"/>
      <c r="H2482" s="4">
        <v>13.0</v>
      </c>
      <c r="I2482" s="3"/>
      <c r="J2482" s="4" t="s">
        <v>1757</v>
      </c>
    </row>
    <row r="2483">
      <c r="A2483" s="4" t="s">
        <v>7015</v>
      </c>
      <c r="B2483" s="13" t="s">
        <v>48</v>
      </c>
      <c r="C2483" s="4">
        <v>3.0</v>
      </c>
      <c r="D2483" s="3"/>
      <c r="E2483" s="4">
        <v>2.0</v>
      </c>
      <c r="F2483" s="4">
        <v>9.0</v>
      </c>
      <c r="G2483" s="3"/>
      <c r="H2483" s="4">
        <v>13.0</v>
      </c>
      <c r="I2483" s="3"/>
      <c r="J2483" s="4" t="s">
        <v>1757</v>
      </c>
    </row>
    <row r="2484">
      <c r="A2484" s="4" t="s">
        <v>7016</v>
      </c>
      <c r="B2484" s="13" t="s">
        <v>48</v>
      </c>
      <c r="C2484" s="4">
        <v>3.0</v>
      </c>
      <c r="D2484" s="3"/>
      <c r="E2484" s="4">
        <v>2.0</v>
      </c>
      <c r="F2484" s="4">
        <v>9.0</v>
      </c>
      <c r="G2484" s="3"/>
      <c r="H2484" s="4">
        <v>13.0</v>
      </c>
      <c r="I2484" s="3"/>
      <c r="J2484" s="4" t="s">
        <v>1757</v>
      </c>
    </row>
    <row r="2485">
      <c r="A2485" s="4" t="s">
        <v>7017</v>
      </c>
      <c r="B2485" s="13" t="s">
        <v>48</v>
      </c>
      <c r="C2485" s="4">
        <v>3.0</v>
      </c>
      <c r="D2485" s="3"/>
      <c r="E2485" s="4">
        <v>2.0</v>
      </c>
      <c r="F2485" s="4">
        <v>9.0</v>
      </c>
      <c r="G2485" s="3"/>
      <c r="H2485" s="4">
        <v>13.0</v>
      </c>
      <c r="I2485" s="3"/>
      <c r="J2485" s="4" t="s">
        <v>1757</v>
      </c>
    </row>
    <row r="2486">
      <c r="A2486" s="4" t="s">
        <v>7018</v>
      </c>
      <c r="B2486" s="13" t="s">
        <v>48</v>
      </c>
      <c r="C2486" s="4">
        <v>2.0</v>
      </c>
      <c r="D2486" s="3"/>
      <c r="E2486" s="4">
        <v>2.0</v>
      </c>
      <c r="F2486" s="3"/>
      <c r="G2486" s="3"/>
      <c r="H2486" s="4">
        <v>13.0</v>
      </c>
      <c r="I2486" s="3"/>
      <c r="J2486" s="4" t="s">
        <v>1757</v>
      </c>
      <c r="K2486" s="4" t="s">
        <v>1757</v>
      </c>
    </row>
    <row r="2487">
      <c r="A2487" s="4" t="s">
        <v>7019</v>
      </c>
      <c r="B2487" s="13" t="s">
        <v>48</v>
      </c>
      <c r="C2487" s="4">
        <v>2.0</v>
      </c>
      <c r="D2487" s="3"/>
      <c r="E2487" s="4">
        <v>2.0</v>
      </c>
      <c r="F2487" s="3"/>
      <c r="G2487" s="3"/>
      <c r="H2487" s="4">
        <v>13.0</v>
      </c>
      <c r="I2487" s="3"/>
      <c r="J2487" s="4" t="s">
        <v>1757</v>
      </c>
      <c r="K2487" s="4" t="s">
        <v>1757</v>
      </c>
    </row>
    <row r="2488">
      <c r="A2488" s="4" t="s">
        <v>7020</v>
      </c>
      <c r="B2488" s="13" t="s">
        <v>48</v>
      </c>
      <c r="C2488" s="4">
        <v>2.0</v>
      </c>
      <c r="D2488" s="3"/>
      <c r="E2488" s="4">
        <v>2.0</v>
      </c>
      <c r="F2488" s="3"/>
      <c r="G2488" s="3"/>
      <c r="H2488" s="4">
        <v>13.0</v>
      </c>
      <c r="I2488" s="3"/>
      <c r="J2488" s="4" t="s">
        <v>1757</v>
      </c>
      <c r="K2488" s="4" t="s">
        <v>1757</v>
      </c>
    </row>
    <row r="2489">
      <c r="A2489" s="4" t="s">
        <v>7021</v>
      </c>
      <c r="B2489" s="13" t="s">
        <v>48</v>
      </c>
      <c r="C2489" s="4">
        <v>2.0</v>
      </c>
      <c r="D2489" s="3"/>
      <c r="E2489" s="4">
        <v>2.0</v>
      </c>
      <c r="F2489" s="3"/>
      <c r="G2489" s="3"/>
      <c r="H2489" s="4">
        <v>13.0</v>
      </c>
      <c r="I2489" s="3"/>
      <c r="J2489" s="4" t="s">
        <v>1757</v>
      </c>
      <c r="K2489" s="4" t="s">
        <v>1757</v>
      </c>
    </row>
    <row r="2490">
      <c r="A2490" s="4" t="s">
        <v>7022</v>
      </c>
      <c r="B2490" s="13" t="s">
        <v>48</v>
      </c>
      <c r="C2490" s="4">
        <v>2.0</v>
      </c>
      <c r="D2490" s="3"/>
      <c r="E2490" s="4">
        <v>2.0</v>
      </c>
      <c r="F2490" s="3"/>
      <c r="G2490" s="3"/>
      <c r="H2490" s="4">
        <v>13.0</v>
      </c>
      <c r="I2490" s="3"/>
      <c r="J2490" s="4" t="s">
        <v>1757</v>
      </c>
      <c r="K2490" s="4" t="s">
        <v>1757</v>
      </c>
    </row>
    <row r="2491">
      <c r="A2491" s="4" t="s">
        <v>7023</v>
      </c>
      <c r="B2491" s="13" t="s">
        <v>48</v>
      </c>
      <c r="C2491" s="4">
        <v>2.0</v>
      </c>
      <c r="D2491" s="3"/>
      <c r="E2491" s="4">
        <v>2.0</v>
      </c>
      <c r="F2491" s="3"/>
      <c r="G2491" s="3"/>
      <c r="H2491" s="4">
        <v>13.0</v>
      </c>
      <c r="I2491" s="3"/>
      <c r="J2491" s="4" t="s">
        <v>1757</v>
      </c>
      <c r="K2491" s="4" t="s">
        <v>1757</v>
      </c>
    </row>
    <row r="2492">
      <c r="A2492" s="4" t="s">
        <v>7024</v>
      </c>
      <c r="B2492" s="13" t="s">
        <v>48</v>
      </c>
      <c r="C2492" s="4">
        <v>2.0</v>
      </c>
      <c r="D2492" s="3"/>
      <c r="E2492" s="4">
        <v>2.0</v>
      </c>
      <c r="F2492" s="3"/>
      <c r="G2492" s="3"/>
      <c r="H2492" s="4">
        <v>13.0</v>
      </c>
      <c r="I2492" s="3"/>
      <c r="J2492" s="4" t="s">
        <v>1757</v>
      </c>
      <c r="K2492" s="4" t="s">
        <v>1757</v>
      </c>
    </row>
    <row r="2493">
      <c r="A2493" s="4" t="s">
        <v>7025</v>
      </c>
      <c r="B2493" s="13" t="s">
        <v>48</v>
      </c>
      <c r="C2493" s="4">
        <v>2.0</v>
      </c>
      <c r="D2493" s="3"/>
      <c r="E2493" s="4">
        <v>2.0</v>
      </c>
      <c r="F2493" s="3"/>
      <c r="G2493" s="3"/>
      <c r="H2493" s="4">
        <v>13.0</v>
      </c>
      <c r="I2493" s="3"/>
      <c r="J2493" s="4" t="s">
        <v>1757</v>
      </c>
      <c r="K2493" s="4" t="s">
        <v>1757</v>
      </c>
    </row>
    <row r="2494">
      <c r="A2494" s="4" t="s">
        <v>7026</v>
      </c>
      <c r="B2494" s="13" t="s">
        <v>48</v>
      </c>
      <c r="C2494" s="4">
        <v>2.0</v>
      </c>
      <c r="D2494" s="3"/>
      <c r="E2494" s="4">
        <v>2.0</v>
      </c>
      <c r="F2494" s="3"/>
      <c r="G2494" s="3"/>
      <c r="H2494" s="4">
        <v>13.0</v>
      </c>
      <c r="I2494" s="3"/>
      <c r="J2494" s="4" t="s">
        <v>1757</v>
      </c>
      <c r="K2494" s="4" t="s">
        <v>1757</v>
      </c>
    </row>
    <row r="2495">
      <c r="A2495" s="4" t="s">
        <v>7027</v>
      </c>
      <c r="B2495" s="13" t="s">
        <v>48</v>
      </c>
      <c r="C2495" s="4">
        <v>2.0</v>
      </c>
      <c r="D2495" s="3"/>
      <c r="E2495" s="4">
        <v>2.0</v>
      </c>
      <c r="F2495" s="3"/>
      <c r="G2495" s="3"/>
      <c r="H2495" s="4">
        <v>13.0</v>
      </c>
      <c r="I2495" s="3"/>
      <c r="J2495" s="4" t="s">
        <v>1757</v>
      </c>
      <c r="K2495" s="4" t="s">
        <v>1757</v>
      </c>
    </row>
    <row r="2496">
      <c r="A2496" s="4" t="s">
        <v>7028</v>
      </c>
      <c r="B2496" s="13" t="s">
        <v>48</v>
      </c>
      <c r="C2496" s="4">
        <v>2.0</v>
      </c>
      <c r="D2496" s="3"/>
      <c r="E2496" s="4">
        <v>2.0</v>
      </c>
      <c r="F2496" s="3"/>
      <c r="G2496" s="3"/>
      <c r="H2496" s="4">
        <v>13.0</v>
      </c>
      <c r="I2496" s="3"/>
      <c r="J2496" s="4" t="s">
        <v>1757</v>
      </c>
      <c r="K2496" s="4" t="s">
        <v>1757</v>
      </c>
    </row>
    <row r="2497">
      <c r="A2497" s="4" t="s">
        <v>7029</v>
      </c>
      <c r="B2497" s="13" t="s">
        <v>48</v>
      </c>
      <c r="C2497" s="4">
        <v>2.0</v>
      </c>
      <c r="D2497" s="3"/>
      <c r="E2497" s="4">
        <v>2.0</v>
      </c>
      <c r="F2497" s="3"/>
      <c r="G2497" s="3"/>
      <c r="H2497" s="4">
        <v>13.0</v>
      </c>
      <c r="I2497" s="3"/>
      <c r="J2497" s="4" t="s">
        <v>1757</v>
      </c>
      <c r="K2497" s="4" t="s">
        <v>1757</v>
      </c>
    </row>
    <row r="2498">
      <c r="A2498" s="4" t="s">
        <v>7030</v>
      </c>
      <c r="B2498" s="13" t="s">
        <v>48</v>
      </c>
      <c r="C2498" s="4">
        <v>2.0</v>
      </c>
      <c r="D2498" s="3"/>
      <c r="E2498" s="4">
        <v>2.0</v>
      </c>
      <c r="F2498" s="3"/>
      <c r="G2498" s="3"/>
      <c r="H2498" s="4">
        <v>13.0</v>
      </c>
      <c r="I2498" s="3"/>
      <c r="J2498" s="4" t="s">
        <v>1757</v>
      </c>
      <c r="K2498" s="4" t="s">
        <v>1757</v>
      </c>
    </row>
    <row r="2499">
      <c r="A2499" s="4" t="s">
        <v>7031</v>
      </c>
      <c r="B2499" s="13" t="s">
        <v>48</v>
      </c>
      <c r="C2499" s="4">
        <v>2.0</v>
      </c>
      <c r="D2499" s="3"/>
      <c r="E2499" s="4">
        <v>2.0</v>
      </c>
      <c r="F2499" s="3"/>
      <c r="G2499" s="3"/>
      <c r="H2499" s="4">
        <v>13.0</v>
      </c>
      <c r="I2499" s="3"/>
      <c r="J2499" s="4" t="s">
        <v>1757</v>
      </c>
      <c r="K2499" s="4" t="s">
        <v>1757</v>
      </c>
    </row>
    <row r="2500">
      <c r="A2500" s="4" t="s">
        <v>7032</v>
      </c>
      <c r="B2500" s="13" t="s">
        <v>48</v>
      </c>
      <c r="C2500" s="4">
        <v>2.0</v>
      </c>
      <c r="D2500" s="3"/>
      <c r="E2500" s="4">
        <v>2.0</v>
      </c>
      <c r="F2500" s="3"/>
      <c r="G2500" s="3"/>
      <c r="H2500" s="4">
        <v>13.0</v>
      </c>
      <c r="I2500" s="3"/>
      <c r="J2500" s="4" t="s">
        <v>1757</v>
      </c>
      <c r="K2500" s="4" t="s">
        <v>1757</v>
      </c>
    </row>
    <row r="2501">
      <c r="A2501" s="4" t="s">
        <v>7033</v>
      </c>
      <c r="B2501" s="13" t="s">
        <v>48</v>
      </c>
      <c r="C2501" s="4">
        <v>2.0</v>
      </c>
      <c r="D2501" s="3"/>
      <c r="E2501" s="4">
        <v>2.0</v>
      </c>
      <c r="F2501" s="3"/>
      <c r="G2501" s="3"/>
      <c r="H2501" s="4">
        <v>13.0</v>
      </c>
      <c r="I2501" s="3"/>
      <c r="J2501" s="4" t="s">
        <v>1757</v>
      </c>
      <c r="K2501" s="4" t="s">
        <v>1757</v>
      </c>
    </row>
    <row r="2502">
      <c r="A2502" s="4" t="s">
        <v>7034</v>
      </c>
      <c r="B2502" s="13" t="s">
        <v>48</v>
      </c>
      <c r="C2502" s="4">
        <v>2.0</v>
      </c>
      <c r="D2502" s="3"/>
      <c r="E2502" s="4">
        <v>2.0</v>
      </c>
      <c r="F2502" s="3"/>
      <c r="G2502" s="3"/>
      <c r="H2502" s="4">
        <v>13.0</v>
      </c>
      <c r="I2502" s="3"/>
      <c r="J2502" s="4" t="s">
        <v>1757</v>
      </c>
    </row>
    <row r="2503">
      <c r="A2503" s="4" t="s">
        <v>7035</v>
      </c>
      <c r="B2503" s="13" t="s">
        <v>48</v>
      </c>
      <c r="C2503" s="4">
        <v>2.0</v>
      </c>
      <c r="D2503" s="3"/>
      <c r="E2503" s="4">
        <v>2.0</v>
      </c>
      <c r="F2503" s="3"/>
      <c r="G2503" s="3"/>
      <c r="H2503" s="4">
        <v>13.0</v>
      </c>
      <c r="I2503" s="3"/>
      <c r="J2503" s="4" t="s">
        <v>1757</v>
      </c>
    </row>
    <row r="2504">
      <c r="A2504" s="4" t="s">
        <v>7036</v>
      </c>
      <c r="B2504" s="13" t="s">
        <v>48</v>
      </c>
      <c r="C2504" s="4">
        <v>2.0</v>
      </c>
      <c r="D2504" s="3"/>
      <c r="E2504" s="4">
        <v>2.0</v>
      </c>
      <c r="F2504" s="3"/>
      <c r="G2504" s="3"/>
      <c r="H2504" s="4">
        <v>13.0</v>
      </c>
      <c r="I2504" s="3"/>
      <c r="J2504" s="4" t="s">
        <v>1757</v>
      </c>
    </row>
    <row r="2505">
      <c r="A2505" s="4" t="s">
        <v>7037</v>
      </c>
      <c r="B2505" s="13" t="s">
        <v>48</v>
      </c>
      <c r="C2505" s="4">
        <v>2.0</v>
      </c>
      <c r="D2505" s="3"/>
      <c r="E2505" s="4">
        <v>2.0</v>
      </c>
      <c r="F2505" s="3"/>
      <c r="G2505" s="3"/>
      <c r="H2505" s="4">
        <v>13.0</v>
      </c>
      <c r="I2505" s="3"/>
      <c r="J2505" s="4" t="s">
        <v>1757</v>
      </c>
    </row>
    <row r="2506">
      <c r="A2506" s="4" t="s">
        <v>7038</v>
      </c>
      <c r="B2506" s="13" t="s">
        <v>48</v>
      </c>
      <c r="C2506" s="4">
        <v>2.0</v>
      </c>
      <c r="D2506" s="3"/>
      <c r="E2506" s="4">
        <v>2.0</v>
      </c>
      <c r="F2506" s="3"/>
      <c r="G2506" s="3"/>
      <c r="H2506" s="4">
        <v>13.0</v>
      </c>
      <c r="I2506" s="3"/>
      <c r="J2506" s="4" t="s">
        <v>1757</v>
      </c>
    </row>
    <row r="2507">
      <c r="A2507" s="4" t="s">
        <v>7039</v>
      </c>
      <c r="B2507" s="13" t="s">
        <v>48</v>
      </c>
      <c r="C2507" s="4">
        <v>2.0</v>
      </c>
      <c r="D2507" s="3"/>
      <c r="E2507" s="4">
        <v>2.0</v>
      </c>
      <c r="F2507" s="3"/>
      <c r="G2507" s="3"/>
      <c r="H2507" s="4">
        <v>13.0</v>
      </c>
      <c r="I2507" s="3"/>
      <c r="J2507" s="4" t="s">
        <v>1757</v>
      </c>
    </row>
    <row r="2508">
      <c r="A2508" s="4" t="s">
        <v>7040</v>
      </c>
      <c r="B2508" s="13" t="s">
        <v>48</v>
      </c>
      <c r="C2508" s="4">
        <v>2.0</v>
      </c>
      <c r="D2508" s="3"/>
      <c r="E2508" s="4">
        <v>2.0</v>
      </c>
      <c r="F2508" s="3"/>
      <c r="G2508" s="3"/>
      <c r="H2508" s="4">
        <v>13.0</v>
      </c>
      <c r="I2508" s="3"/>
      <c r="J2508" s="4" t="s">
        <v>1757</v>
      </c>
      <c r="K2508" s="4" t="s">
        <v>1757</v>
      </c>
    </row>
    <row r="2509">
      <c r="A2509" s="4" t="s">
        <v>7041</v>
      </c>
      <c r="B2509" s="13" t="s">
        <v>48</v>
      </c>
      <c r="C2509" s="4">
        <v>2.0</v>
      </c>
      <c r="D2509" s="3"/>
      <c r="E2509" s="4">
        <v>2.0</v>
      </c>
      <c r="F2509" s="3"/>
      <c r="G2509" s="3"/>
      <c r="H2509" s="4">
        <v>13.0</v>
      </c>
      <c r="I2509" s="3"/>
      <c r="J2509" s="4" t="s">
        <v>1757</v>
      </c>
      <c r="K2509" s="4" t="s">
        <v>1757</v>
      </c>
    </row>
    <row r="2510">
      <c r="A2510" s="4" t="s">
        <v>7042</v>
      </c>
      <c r="B2510" s="13" t="s">
        <v>48</v>
      </c>
      <c r="C2510" s="4">
        <v>2.0</v>
      </c>
      <c r="D2510" s="3"/>
      <c r="E2510" s="4">
        <v>2.0</v>
      </c>
      <c r="F2510" s="3"/>
      <c r="G2510" s="3"/>
      <c r="H2510" s="4">
        <v>13.0</v>
      </c>
      <c r="I2510" s="3"/>
      <c r="J2510" s="4" t="s">
        <v>1757</v>
      </c>
      <c r="K2510" s="4" t="s">
        <v>1757</v>
      </c>
    </row>
    <row r="2511">
      <c r="A2511" s="4" t="s">
        <v>7043</v>
      </c>
      <c r="B2511" s="13" t="s">
        <v>48</v>
      </c>
      <c r="C2511" s="4">
        <v>3.0</v>
      </c>
      <c r="D2511" s="4">
        <v>1.0</v>
      </c>
      <c r="E2511" s="4">
        <v>2.0</v>
      </c>
      <c r="F2511" s="3"/>
      <c r="G2511" s="3"/>
      <c r="H2511" s="4">
        <v>13.0</v>
      </c>
      <c r="I2511" s="3"/>
      <c r="J2511" s="4" t="s">
        <v>1757</v>
      </c>
      <c r="K2511" s="4" t="s">
        <v>1757</v>
      </c>
    </row>
    <row r="2512">
      <c r="A2512" s="4" t="s">
        <v>7044</v>
      </c>
      <c r="B2512" s="13" t="s">
        <v>48</v>
      </c>
      <c r="C2512" s="4">
        <v>2.0</v>
      </c>
      <c r="D2512" s="4">
        <v>1.0</v>
      </c>
      <c r="E2512" s="3"/>
      <c r="F2512" s="3"/>
      <c r="G2512" s="3"/>
      <c r="H2512" s="4">
        <v>13.0</v>
      </c>
      <c r="I2512" s="3"/>
      <c r="J2512" s="4" t="s">
        <v>1757</v>
      </c>
      <c r="K2512" s="4" t="s">
        <v>1757</v>
      </c>
    </row>
    <row r="2513">
      <c r="A2513" s="4" t="s">
        <v>7045</v>
      </c>
      <c r="B2513" s="13" t="s">
        <v>48</v>
      </c>
      <c r="C2513" s="4">
        <v>2.0</v>
      </c>
      <c r="D2513" s="4">
        <v>1.0</v>
      </c>
      <c r="E2513" s="3"/>
      <c r="F2513" s="3"/>
      <c r="G2513" s="3"/>
      <c r="H2513" s="4">
        <v>13.0</v>
      </c>
      <c r="I2513" s="3"/>
      <c r="J2513" s="4" t="s">
        <v>1757</v>
      </c>
      <c r="K2513" s="4" t="s">
        <v>1757</v>
      </c>
    </row>
    <row r="2514">
      <c r="A2514" s="4" t="s">
        <v>7046</v>
      </c>
      <c r="B2514" s="13" t="s">
        <v>48</v>
      </c>
      <c r="C2514" s="4">
        <v>3.0</v>
      </c>
      <c r="D2514" s="4">
        <v>1.0</v>
      </c>
      <c r="E2514" s="3"/>
      <c r="F2514" s="3"/>
      <c r="G2514" s="3"/>
      <c r="H2514" s="4">
        <v>13.0</v>
      </c>
      <c r="I2514" s="4">
        <v>15.0</v>
      </c>
      <c r="J2514" s="4" t="s">
        <v>1757</v>
      </c>
      <c r="K2514" s="4" t="s">
        <v>1757</v>
      </c>
    </row>
    <row r="2515">
      <c r="A2515" s="4" t="s">
        <v>7047</v>
      </c>
      <c r="B2515" s="13" t="s">
        <v>48</v>
      </c>
      <c r="C2515" s="4">
        <v>4.0</v>
      </c>
      <c r="D2515" s="4">
        <v>1.0</v>
      </c>
      <c r="E2515" s="3"/>
      <c r="F2515" s="4">
        <v>9.0</v>
      </c>
      <c r="G2515" s="3"/>
      <c r="H2515" s="4">
        <v>13.0</v>
      </c>
      <c r="I2515" s="4">
        <v>15.0</v>
      </c>
      <c r="J2515" s="4" t="s">
        <v>1757</v>
      </c>
      <c r="K2515" s="4" t="s">
        <v>1757</v>
      </c>
    </row>
    <row r="2516">
      <c r="A2516" s="4" t="s">
        <v>7048</v>
      </c>
      <c r="B2516" s="13" t="s">
        <v>48</v>
      </c>
      <c r="C2516" s="4">
        <v>4.0</v>
      </c>
      <c r="D2516" s="4">
        <v>1.0</v>
      </c>
      <c r="E2516" s="3"/>
      <c r="F2516" s="4">
        <v>9.0</v>
      </c>
      <c r="G2516" s="3"/>
      <c r="H2516" s="4">
        <v>13.0</v>
      </c>
      <c r="I2516" s="4">
        <v>15.0</v>
      </c>
      <c r="J2516" s="4" t="s">
        <v>1757</v>
      </c>
      <c r="K2516" s="4" t="s">
        <v>1757</v>
      </c>
    </row>
    <row r="2517">
      <c r="A2517" s="4" t="s">
        <v>7049</v>
      </c>
      <c r="B2517" s="13" t="s">
        <v>48</v>
      </c>
      <c r="C2517" s="4">
        <v>4.0</v>
      </c>
      <c r="D2517" s="4">
        <v>1.0</v>
      </c>
      <c r="E2517" s="3"/>
      <c r="F2517" s="4">
        <v>9.0</v>
      </c>
      <c r="G2517" s="3"/>
      <c r="H2517" s="4">
        <v>13.0</v>
      </c>
      <c r="I2517" s="4">
        <v>15.0</v>
      </c>
      <c r="J2517" s="4" t="s">
        <v>1757</v>
      </c>
      <c r="K2517" s="4" t="s">
        <v>1757</v>
      </c>
    </row>
    <row r="2518">
      <c r="A2518" s="4" t="s">
        <v>7050</v>
      </c>
      <c r="B2518" s="13" t="s">
        <v>48</v>
      </c>
      <c r="C2518" s="4">
        <v>4.0</v>
      </c>
      <c r="D2518" s="4">
        <v>1.0</v>
      </c>
      <c r="E2518" s="3"/>
      <c r="F2518" s="4">
        <v>9.0</v>
      </c>
      <c r="G2518" s="3"/>
      <c r="H2518" s="4">
        <v>13.0</v>
      </c>
      <c r="I2518" s="4">
        <v>15.0</v>
      </c>
      <c r="J2518" s="4" t="s">
        <v>1757</v>
      </c>
      <c r="K2518" s="4" t="s">
        <v>1757</v>
      </c>
    </row>
    <row r="2519">
      <c r="A2519" s="4" t="s">
        <v>7051</v>
      </c>
      <c r="B2519" s="13" t="s">
        <v>48</v>
      </c>
      <c r="C2519" s="4">
        <v>4.0</v>
      </c>
      <c r="D2519" s="4">
        <v>1.0</v>
      </c>
      <c r="E2519" s="3"/>
      <c r="F2519" s="4">
        <v>9.0</v>
      </c>
      <c r="G2519" s="3"/>
      <c r="H2519" s="4">
        <v>13.0</v>
      </c>
      <c r="I2519" s="4">
        <v>15.0</v>
      </c>
      <c r="J2519" s="4" t="s">
        <v>1757</v>
      </c>
      <c r="K2519" s="4" t="s">
        <v>1757</v>
      </c>
    </row>
    <row r="2520">
      <c r="A2520" s="4" t="s">
        <v>7052</v>
      </c>
      <c r="B2520" s="13" t="s">
        <v>48</v>
      </c>
      <c r="C2520" s="4">
        <v>3.0</v>
      </c>
      <c r="D2520" s="4">
        <v>1.0</v>
      </c>
      <c r="E2520" s="3"/>
      <c r="F2520" s="4">
        <v>9.0</v>
      </c>
      <c r="G2520" s="3"/>
      <c r="H2520" s="3"/>
      <c r="I2520" s="4">
        <v>15.0</v>
      </c>
      <c r="J2520" s="4" t="s">
        <v>1757</v>
      </c>
      <c r="K2520" s="4" t="s">
        <v>1757</v>
      </c>
    </row>
    <row r="2521">
      <c r="A2521" s="4" t="s">
        <v>7053</v>
      </c>
      <c r="B2521" s="13" t="s">
        <v>48</v>
      </c>
      <c r="C2521" s="4">
        <v>2.0</v>
      </c>
      <c r="D2521" s="4">
        <v>1.0</v>
      </c>
      <c r="E2521" s="3"/>
      <c r="F2521" s="3"/>
      <c r="G2521" s="3"/>
      <c r="H2521" s="3"/>
      <c r="I2521" s="4">
        <v>15.0</v>
      </c>
      <c r="J2521" s="4" t="s">
        <v>1757</v>
      </c>
      <c r="K2521" s="4" t="s">
        <v>1757</v>
      </c>
    </row>
    <row r="2522">
      <c r="A2522" s="4" t="s">
        <v>7054</v>
      </c>
      <c r="B2522" s="13" t="s">
        <v>48</v>
      </c>
      <c r="C2522" s="4">
        <v>2.0</v>
      </c>
      <c r="D2522" s="4">
        <v>1.0</v>
      </c>
      <c r="E2522" s="3"/>
      <c r="F2522" s="3"/>
      <c r="G2522" s="3"/>
      <c r="H2522" s="3"/>
      <c r="I2522" s="4">
        <v>15.0</v>
      </c>
      <c r="J2522" s="4" t="s">
        <v>1757</v>
      </c>
      <c r="K2522" s="4" t="s">
        <v>1757</v>
      </c>
    </row>
    <row r="2523">
      <c r="A2523" s="4" t="s">
        <v>7055</v>
      </c>
      <c r="B2523" s="13" t="s">
        <v>48</v>
      </c>
      <c r="C2523" s="4">
        <v>3.0</v>
      </c>
      <c r="D2523" s="4">
        <v>1.0</v>
      </c>
      <c r="E2523" s="3"/>
      <c r="F2523" s="4">
        <v>9.0</v>
      </c>
      <c r="G2523" s="3"/>
      <c r="H2523" s="3"/>
      <c r="I2523" s="4">
        <v>15.0</v>
      </c>
      <c r="J2523" s="4" t="s">
        <v>1757</v>
      </c>
      <c r="K2523" s="4" t="s">
        <v>1757</v>
      </c>
    </row>
    <row r="2524">
      <c r="A2524" s="4" t="s">
        <v>7056</v>
      </c>
      <c r="B2524" s="13" t="s">
        <v>48</v>
      </c>
      <c r="C2524" s="4">
        <v>3.0</v>
      </c>
      <c r="D2524" s="4">
        <v>1.0</v>
      </c>
      <c r="E2524" s="3"/>
      <c r="F2524" s="4">
        <v>9.0</v>
      </c>
      <c r="G2524" s="3"/>
      <c r="H2524" s="3"/>
      <c r="I2524" s="4">
        <v>15.0</v>
      </c>
      <c r="J2524" s="4" t="s">
        <v>1757</v>
      </c>
      <c r="K2524" s="4" t="s">
        <v>1757</v>
      </c>
    </row>
    <row r="2525">
      <c r="A2525" s="4" t="s">
        <v>7057</v>
      </c>
      <c r="B2525" s="13" t="s">
        <v>48</v>
      </c>
      <c r="C2525" s="4">
        <v>3.0</v>
      </c>
      <c r="D2525" s="4">
        <v>1.0</v>
      </c>
      <c r="E2525" s="3"/>
      <c r="F2525" s="4">
        <v>9.0</v>
      </c>
      <c r="G2525" s="3"/>
      <c r="H2525" s="3"/>
      <c r="I2525" s="4">
        <v>15.0</v>
      </c>
      <c r="J2525" s="4" t="s">
        <v>1757</v>
      </c>
      <c r="K2525" s="4" t="s">
        <v>1757</v>
      </c>
    </row>
    <row r="2526">
      <c r="A2526" s="4" t="s">
        <v>7058</v>
      </c>
      <c r="B2526" s="13" t="s">
        <v>48</v>
      </c>
      <c r="C2526" s="4">
        <v>2.0</v>
      </c>
      <c r="D2526" s="4">
        <v>1.0</v>
      </c>
      <c r="E2526" s="3"/>
      <c r="F2526" s="3"/>
      <c r="G2526" s="3"/>
      <c r="H2526" s="3"/>
      <c r="I2526" s="4">
        <v>15.0</v>
      </c>
      <c r="J2526" s="4" t="s">
        <v>1757</v>
      </c>
      <c r="K2526" s="4" t="s">
        <v>1757</v>
      </c>
    </row>
    <row r="2527">
      <c r="A2527" s="4" t="s">
        <v>7059</v>
      </c>
      <c r="B2527" s="13" t="s">
        <v>48</v>
      </c>
      <c r="C2527" s="4">
        <v>2.0</v>
      </c>
      <c r="D2527" s="4">
        <v>1.0</v>
      </c>
      <c r="E2527" s="3"/>
      <c r="F2527" s="3"/>
      <c r="G2527" s="3"/>
      <c r="H2527" s="3"/>
      <c r="I2527" s="4">
        <v>15.0</v>
      </c>
      <c r="J2527" s="4" t="s">
        <v>1757</v>
      </c>
      <c r="K2527" s="4" t="s">
        <v>1757</v>
      </c>
    </row>
    <row r="2528">
      <c r="A2528" s="4" t="s">
        <v>7060</v>
      </c>
      <c r="B2528" s="13" t="s">
        <v>48</v>
      </c>
      <c r="C2528" s="4">
        <v>2.0</v>
      </c>
      <c r="D2528" s="4">
        <v>1.0</v>
      </c>
      <c r="E2528" s="3"/>
      <c r="F2528" s="3"/>
      <c r="G2528" s="3"/>
      <c r="H2528" s="3"/>
      <c r="I2528" s="4">
        <v>15.0</v>
      </c>
      <c r="J2528" s="4" t="s">
        <v>1757</v>
      </c>
      <c r="K2528" s="4" t="s">
        <v>1757</v>
      </c>
    </row>
    <row r="2529">
      <c r="A2529" s="4" t="s">
        <v>7061</v>
      </c>
      <c r="B2529" s="13" t="s">
        <v>48</v>
      </c>
      <c r="C2529" s="4">
        <v>2.0</v>
      </c>
      <c r="D2529" s="4">
        <v>1.0</v>
      </c>
      <c r="E2529" s="3"/>
      <c r="F2529" s="3"/>
      <c r="G2529" s="3"/>
      <c r="H2529" s="3"/>
      <c r="I2529" s="4">
        <v>15.0</v>
      </c>
      <c r="J2529" s="4" t="s">
        <v>1757</v>
      </c>
      <c r="K2529" s="4" t="s">
        <v>1757</v>
      </c>
    </row>
    <row r="2530">
      <c r="A2530" s="4" t="s">
        <v>7062</v>
      </c>
      <c r="B2530" s="13" t="s">
        <v>48</v>
      </c>
      <c r="C2530" s="4">
        <v>2.0</v>
      </c>
      <c r="D2530" s="4">
        <v>1.0</v>
      </c>
      <c r="E2530" s="3"/>
      <c r="F2530" s="3"/>
      <c r="G2530" s="3"/>
      <c r="H2530" s="3"/>
      <c r="I2530" s="4">
        <v>15.0</v>
      </c>
      <c r="J2530" s="4" t="s">
        <v>1757</v>
      </c>
      <c r="K2530" s="4" t="s">
        <v>1757</v>
      </c>
    </row>
    <row r="2531">
      <c r="A2531" s="4" t="s">
        <v>7063</v>
      </c>
      <c r="B2531" s="13" t="s">
        <v>48</v>
      </c>
      <c r="C2531" s="4">
        <v>2.0</v>
      </c>
      <c r="D2531" s="4">
        <v>1.0</v>
      </c>
      <c r="E2531" s="3"/>
      <c r="F2531" s="3"/>
      <c r="G2531" s="3"/>
      <c r="H2531" s="3"/>
      <c r="I2531" s="4">
        <v>15.0</v>
      </c>
      <c r="J2531" s="4" t="s">
        <v>1757</v>
      </c>
    </row>
    <row r="2532">
      <c r="A2532" s="4" t="s">
        <v>7064</v>
      </c>
      <c r="B2532" s="13" t="s">
        <v>48</v>
      </c>
      <c r="C2532" s="4">
        <v>2.0</v>
      </c>
      <c r="D2532" s="4">
        <v>1.0</v>
      </c>
      <c r="E2532" s="3"/>
      <c r="F2532" s="3"/>
      <c r="G2532" s="3"/>
      <c r="H2532" s="3"/>
      <c r="I2532" s="4">
        <v>15.0</v>
      </c>
      <c r="J2532" s="4" t="s">
        <v>1757</v>
      </c>
    </row>
    <row r="2533">
      <c r="A2533" s="4" t="s">
        <v>7065</v>
      </c>
      <c r="B2533" s="13" t="s">
        <v>48</v>
      </c>
      <c r="C2533" s="4">
        <v>2.0</v>
      </c>
      <c r="D2533" s="4">
        <v>1.0</v>
      </c>
      <c r="E2533" s="3"/>
      <c r="F2533" s="3"/>
      <c r="G2533" s="3"/>
      <c r="H2533" s="3"/>
      <c r="I2533" s="4">
        <v>15.0</v>
      </c>
      <c r="J2533" s="4" t="s">
        <v>1757</v>
      </c>
    </row>
    <row r="2534">
      <c r="A2534" s="4" t="s">
        <v>7066</v>
      </c>
      <c r="B2534" s="13" t="s">
        <v>48</v>
      </c>
      <c r="C2534" s="4">
        <v>2.0</v>
      </c>
      <c r="D2534" s="4">
        <v>1.0</v>
      </c>
      <c r="E2534" s="3"/>
      <c r="F2534" s="3"/>
      <c r="G2534" s="3"/>
      <c r="H2534" s="3"/>
      <c r="I2534" s="4">
        <v>15.0</v>
      </c>
      <c r="J2534" s="4" t="s">
        <v>1757</v>
      </c>
    </row>
    <row r="2535">
      <c r="A2535" s="4" t="s">
        <v>7067</v>
      </c>
      <c r="B2535" s="13" t="s">
        <v>48</v>
      </c>
      <c r="C2535" s="4">
        <v>2.0</v>
      </c>
      <c r="D2535" s="4">
        <v>1.0</v>
      </c>
      <c r="E2535" s="3"/>
      <c r="F2535" s="3"/>
      <c r="G2535" s="3"/>
      <c r="H2535" s="3"/>
      <c r="I2535" s="4">
        <v>15.0</v>
      </c>
      <c r="J2535" s="4" t="s">
        <v>1757</v>
      </c>
    </row>
    <row r="2536">
      <c r="A2536" s="4" t="s">
        <v>7068</v>
      </c>
      <c r="B2536" s="13" t="s">
        <v>48</v>
      </c>
      <c r="C2536" s="4">
        <v>2.0</v>
      </c>
      <c r="D2536" s="4">
        <v>1.0</v>
      </c>
      <c r="E2536" s="3"/>
      <c r="F2536" s="3"/>
      <c r="G2536" s="3"/>
      <c r="H2536" s="3"/>
      <c r="I2536" s="4">
        <v>15.0</v>
      </c>
      <c r="J2536" s="4" t="s">
        <v>1757</v>
      </c>
    </row>
    <row r="2537">
      <c r="A2537" s="4" t="s">
        <v>7069</v>
      </c>
      <c r="B2537" s="13" t="s">
        <v>48</v>
      </c>
      <c r="C2537" s="4">
        <v>2.0</v>
      </c>
      <c r="D2537" s="4">
        <v>1.0</v>
      </c>
      <c r="E2537" s="3"/>
      <c r="F2537" s="3"/>
      <c r="G2537" s="3"/>
      <c r="H2537" s="3"/>
      <c r="I2537" s="4">
        <v>15.0</v>
      </c>
      <c r="J2537" s="4" t="s">
        <v>1757</v>
      </c>
    </row>
    <row r="2538">
      <c r="A2538" s="4" t="s">
        <v>7070</v>
      </c>
      <c r="B2538" s="13" t="s">
        <v>48</v>
      </c>
      <c r="C2538" s="4">
        <v>2.0</v>
      </c>
      <c r="D2538" s="4">
        <v>1.0</v>
      </c>
      <c r="E2538" s="3"/>
      <c r="F2538" s="3"/>
      <c r="G2538" s="3"/>
      <c r="H2538" s="3"/>
      <c r="I2538" s="4">
        <v>15.0</v>
      </c>
      <c r="J2538" s="4" t="s">
        <v>1757</v>
      </c>
    </row>
    <row r="2539">
      <c r="A2539" s="4" t="s">
        <v>7071</v>
      </c>
      <c r="B2539" s="13" t="s">
        <v>48</v>
      </c>
      <c r="C2539" s="4">
        <v>2.0</v>
      </c>
      <c r="D2539" s="4">
        <v>1.0</v>
      </c>
      <c r="E2539" s="3"/>
      <c r="F2539" s="3"/>
      <c r="G2539" s="3"/>
      <c r="H2539" s="3"/>
      <c r="I2539" s="4">
        <v>15.0</v>
      </c>
    </row>
    <row r="2540">
      <c r="A2540" s="4" t="s">
        <v>7072</v>
      </c>
      <c r="B2540" s="13" t="s">
        <v>48</v>
      </c>
      <c r="C2540" s="4">
        <v>2.0</v>
      </c>
      <c r="D2540" s="4">
        <v>1.0</v>
      </c>
      <c r="E2540" s="3"/>
      <c r="F2540" s="3"/>
      <c r="G2540" s="3"/>
      <c r="H2540" s="3"/>
      <c r="I2540" s="4">
        <v>15.0</v>
      </c>
    </row>
    <row r="2541">
      <c r="A2541" s="4" t="s">
        <v>7073</v>
      </c>
      <c r="B2541" s="13" t="s">
        <v>48</v>
      </c>
      <c r="C2541" s="4">
        <v>2.0</v>
      </c>
      <c r="D2541" s="4">
        <v>1.0</v>
      </c>
      <c r="E2541" s="3"/>
      <c r="F2541" s="3"/>
      <c r="G2541" s="3"/>
      <c r="H2541" s="3"/>
      <c r="I2541" s="4">
        <v>15.0</v>
      </c>
    </row>
    <row r="2542">
      <c r="A2542" s="4" t="s">
        <v>7074</v>
      </c>
      <c r="B2542" s="13" t="s">
        <v>48</v>
      </c>
      <c r="C2542" s="4">
        <v>2.0</v>
      </c>
      <c r="D2542" s="4">
        <v>1.0</v>
      </c>
      <c r="E2542" s="3"/>
      <c r="F2542" s="3"/>
      <c r="G2542" s="3"/>
      <c r="H2542" s="3"/>
      <c r="I2542" s="4">
        <v>15.0</v>
      </c>
    </row>
    <row r="2543">
      <c r="A2543" s="4" t="s">
        <v>7075</v>
      </c>
      <c r="B2543" s="13" t="s">
        <v>48</v>
      </c>
      <c r="C2543" s="4">
        <v>2.0</v>
      </c>
      <c r="D2543" s="4">
        <v>1.0</v>
      </c>
      <c r="E2543" s="3"/>
      <c r="F2543" s="3"/>
      <c r="G2543" s="3"/>
      <c r="H2543" s="3"/>
      <c r="I2543" s="4">
        <v>15.0</v>
      </c>
    </row>
    <row r="2544">
      <c r="A2544" s="4" t="s">
        <v>7076</v>
      </c>
      <c r="B2544" s="13" t="s">
        <v>48</v>
      </c>
      <c r="C2544" s="4">
        <v>2.0</v>
      </c>
      <c r="D2544" s="4">
        <v>1.0</v>
      </c>
      <c r="E2544" s="3"/>
      <c r="F2544" s="3"/>
      <c r="G2544" s="3"/>
      <c r="H2544" s="3"/>
      <c r="I2544" s="4">
        <v>15.0</v>
      </c>
    </row>
    <row r="2545">
      <c r="A2545" s="4" t="s">
        <v>7077</v>
      </c>
      <c r="B2545" s="13" t="s">
        <v>48</v>
      </c>
      <c r="C2545" s="4">
        <v>2.0</v>
      </c>
      <c r="D2545" s="4">
        <v>1.0</v>
      </c>
      <c r="E2545" s="3"/>
      <c r="F2545" s="3"/>
      <c r="G2545" s="3"/>
      <c r="H2545" s="3"/>
      <c r="I2545" s="4">
        <v>15.0</v>
      </c>
    </row>
    <row r="2546">
      <c r="A2546" s="4" t="s">
        <v>7078</v>
      </c>
      <c r="B2546" s="13" t="s">
        <v>48</v>
      </c>
      <c r="C2546" s="4">
        <v>2.0</v>
      </c>
      <c r="D2546" s="4">
        <v>1.0</v>
      </c>
      <c r="E2546" s="3"/>
      <c r="F2546" s="3"/>
      <c r="G2546" s="3"/>
      <c r="H2546" s="3"/>
      <c r="I2546" s="4">
        <v>15.0</v>
      </c>
    </row>
    <row r="2547">
      <c r="A2547" s="4" t="s">
        <v>7079</v>
      </c>
      <c r="B2547" s="13" t="s">
        <v>48</v>
      </c>
      <c r="C2547" s="4">
        <v>2.0</v>
      </c>
      <c r="D2547" s="4">
        <v>1.0</v>
      </c>
      <c r="E2547" s="3"/>
      <c r="F2547" s="3"/>
      <c r="G2547" s="3"/>
      <c r="H2547" s="3"/>
      <c r="I2547" s="4">
        <v>15.0</v>
      </c>
    </row>
    <row r="2548">
      <c r="A2548" s="4" t="s">
        <v>7080</v>
      </c>
      <c r="B2548" s="13" t="s">
        <v>48</v>
      </c>
      <c r="C2548" s="4">
        <v>2.0</v>
      </c>
      <c r="D2548" s="4">
        <v>1.0</v>
      </c>
      <c r="E2548" s="3"/>
      <c r="F2548" s="3"/>
      <c r="G2548" s="3"/>
      <c r="H2548" s="3"/>
      <c r="I2548" s="4">
        <v>15.0</v>
      </c>
    </row>
    <row r="2549">
      <c r="A2549" s="4" t="s">
        <v>7081</v>
      </c>
      <c r="B2549" s="13" t="s">
        <v>48</v>
      </c>
      <c r="C2549" s="4">
        <v>2.0</v>
      </c>
      <c r="D2549" s="4">
        <v>1.0</v>
      </c>
      <c r="E2549" s="3"/>
      <c r="F2549" s="3"/>
      <c r="G2549" s="3"/>
      <c r="H2549" s="3"/>
      <c r="I2549" s="4">
        <v>15.0</v>
      </c>
    </row>
    <row r="2550">
      <c r="A2550" s="4" t="s">
        <v>7082</v>
      </c>
      <c r="B2550" s="13" t="s">
        <v>48</v>
      </c>
      <c r="C2550" s="4">
        <v>2.0</v>
      </c>
      <c r="D2550" s="4">
        <v>1.0</v>
      </c>
      <c r="E2550" s="3"/>
      <c r="F2550" s="3"/>
      <c r="G2550" s="3"/>
      <c r="H2550" s="3"/>
      <c r="I2550" s="4">
        <v>15.0</v>
      </c>
    </row>
    <row r="2551">
      <c r="A2551" s="4" t="s">
        <v>7083</v>
      </c>
      <c r="B2551" s="13" t="s">
        <v>48</v>
      </c>
      <c r="C2551" s="4">
        <v>2.0</v>
      </c>
      <c r="D2551" s="4">
        <v>1.0</v>
      </c>
      <c r="E2551" s="3"/>
      <c r="F2551" s="3"/>
      <c r="G2551" s="3"/>
      <c r="H2551" s="3"/>
      <c r="I2551" s="4">
        <v>15.0</v>
      </c>
    </row>
    <row r="2552">
      <c r="A2552" s="4" t="s">
        <v>7084</v>
      </c>
      <c r="B2552" s="13" t="s">
        <v>48</v>
      </c>
      <c r="C2552" s="4">
        <v>2.0</v>
      </c>
      <c r="D2552" s="4">
        <v>1.0</v>
      </c>
      <c r="E2552" s="3"/>
      <c r="F2552" s="3"/>
      <c r="G2552" s="3"/>
      <c r="H2552" s="3"/>
      <c r="I2552" s="4">
        <v>15.0</v>
      </c>
    </row>
    <row r="2553">
      <c r="A2553" s="4" t="s">
        <v>7085</v>
      </c>
      <c r="B2553" s="13" t="s">
        <v>48</v>
      </c>
      <c r="C2553" s="4">
        <v>1.0</v>
      </c>
      <c r="D2553" s="3"/>
      <c r="E2553" s="3"/>
      <c r="F2553" s="3"/>
      <c r="G2553" s="3"/>
      <c r="H2553" s="3"/>
      <c r="I2553" s="4">
        <v>15.0</v>
      </c>
    </row>
    <row r="2554">
      <c r="A2554" s="4" t="s">
        <v>7086</v>
      </c>
      <c r="B2554" s="13" t="s">
        <v>43</v>
      </c>
      <c r="D2554" s="3"/>
      <c r="E2554" s="3"/>
      <c r="F2554" s="3"/>
      <c r="G2554" s="3"/>
      <c r="H2554" s="3"/>
      <c r="I2554" s="3"/>
    </row>
    <row r="2555">
      <c r="A2555" s="4" t="s">
        <v>7087</v>
      </c>
      <c r="B2555" s="13" t="s">
        <v>43</v>
      </c>
      <c r="D2555" s="3"/>
      <c r="E2555" s="3"/>
      <c r="F2555" s="3"/>
      <c r="G2555" s="3"/>
      <c r="H2555" s="3"/>
      <c r="I2555" s="3"/>
    </row>
    <row r="2556">
      <c r="A2556" s="4" t="s">
        <v>7088</v>
      </c>
      <c r="B2556" s="13" t="s">
        <v>43</v>
      </c>
      <c r="D2556" s="3"/>
      <c r="E2556" s="3"/>
      <c r="F2556" s="3"/>
      <c r="G2556" s="3"/>
      <c r="H2556" s="3"/>
      <c r="I2556" s="3"/>
    </row>
    <row r="2557">
      <c r="A2557" s="4" t="s">
        <v>7089</v>
      </c>
      <c r="B2557" s="13" t="s">
        <v>43</v>
      </c>
      <c r="D2557" s="3"/>
      <c r="E2557" s="3"/>
      <c r="F2557" s="3"/>
      <c r="G2557" s="3"/>
      <c r="H2557" s="3"/>
      <c r="I2557" s="3"/>
    </row>
    <row r="2558">
      <c r="A2558" s="4" t="s">
        <v>7090</v>
      </c>
      <c r="B2558" s="13" t="s">
        <v>43</v>
      </c>
      <c r="D2558" s="3"/>
      <c r="E2558" s="3"/>
      <c r="F2558" s="3"/>
      <c r="G2558" s="3"/>
      <c r="H2558" s="3"/>
      <c r="I2558" s="3"/>
    </row>
    <row r="2559">
      <c r="A2559" s="4" t="s">
        <v>7091</v>
      </c>
      <c r="B2559" s="13" t="s">
        <v>43</v>
      </c>
      <c r="D2559" s="3"/>
      <c r="E2559" s="3"/>
      <c r="F2559" s="3"/>
      <c r="G2559" s="3"/>
      <c r="H2559" s="3"/>
      <c r="I2559" s="3"/>
    </row>
    <row r="2560">
      <c r="A2560" s="4" t="s">
        <v>7092</v>
      </c>
      <c r="B2560" s="13" t="s">
        <v>43</v>
      </c>
      <c r="D2560" s="3"/>
      <c r="E2560" s="3"/>
      <c r="F2560" s="3"/>
      <c r="G2560" s="3"/>
      <c r="H2560" s="3"/>
      <c r="I2560" s="3"/>
    </row>
    <row r="2561">
      <c r="A2561" s="4" t="s">
        <v>7093</v>
      </c>
      <c r="B2561" s="13" t="s">
        <v>43</v>
      </c>
      <c r="D2561" s="3"/>
      <c r="E2561" s="3"/>
      <c r="F2561" s="3"/>
      <c r="G2561" s="3"/>
      <c r="H2561" s="3"/>
      <c r="I2561" s="3"/>
    </row>
    <row r="2562">
      <c r="A2562" s="4" t="s">
        <v>7094</v>
      </c>
      <c r="B2562" s="13" t="s">
        <v>43</v>
      </c>
      <c r="D2562" s="3"/>
      <c r="E2562" s="3"/>
      <c r="F2562" s="3"/>
      <c r="G2562" s="3"/>
      <c r="H2562" s="3"/>
      <c r="I2562" s="3"/>
    </row>
    <row r="2563">
      <c r="A2563" s="4" t="s">
        <v>7095</v>
      </c>
      <c r="B2563" s="13" t="s">
        <v>43</v>
      </c>
      <c r="D2563" s="3"/>
      <c r="E2563" s="3"/>
      <c r="F2563" s="3"/>
      <c r="G2563" s="3"/>
      <c r="H2563" s="3"/>
      <c r="I2563" s="3"/>
    </row>
    <row r="2564">
      <c r="A2564" s="4" t="s">
        <v>7096</v>
      </c>
      <c r="B2564" s="13" t="s">
        <v>43</v>
      </c>
      <c r="D2564" s="3"/>
      <c r="E2564" s="3"/>
      <c r="F2564" s="3"/>
      <c r="G2564" s="3"/>
      <c r="H2564" s="3"/>
      <c r="I2564" s="3"/>
    </row>
    <row r="2565">
      <c r="A2565" s="4" t="s">
        <v>7097</v>
      </c>
      <c r="B2565" s="13" t="s">
        <v>43</v>
      </c>
      <c r="D2565" s="3"/>
      <c r="E2565" s="3"/>
      <c r="F2565" s="3"/>
      <c r="G2565" s="3"/>
      <c r="H2565" s="3"/>
      <c r="I2565" s="3"/>
    </row>
    <row r="2566">
      <c r="A2566" s="4" t="s">
        <v>7098</v>
      </c>
      <c r="B2566" s="13" t="s">
        <v>43</v>
      </c>
      <c r="D2566" s="3"/>
      <c r="E2566" s="3"/>
      <c r="F2566" s="3"/>
      <c r="G2566" s="3"/>
      <c r="H2566" s="3"/>
      <c r="I2566" s="3"/>
    </row>
    <row r="2567">
      <c r="A2567" s="4" t="s">
        <v>7099</v>
      </c>
      <c r="B2567" s="13" t="s">
        <v>43</v>
      </c>
      <c r="D2567" s="3"/>
      <c r="E2567" s="3"/>
      <c r="F2567" s="3"/>
      <c r="G2567" s="3"/>
      <c r="H2567" s="3"/>
      <c r="I2567" s="3"/>
    </row>
    <row r="2568">
      <c r="A2568" s="4" t="s">
        <v>7100</v>
      </c>
      <c r="B2568" s="13" t="s">
        <v>43</v>
      </c>
      <c r="D2568" s="3"/>
      <c r="E2568" s="3"/>
      <c r="F2568" s="3"/>
      <c r="G2568" s="3"/>
      <c r="H2568" s="3"/>
      <c r="I2568" s="3"/>
    </row>
    <row r="2569">
      <c r="A2569" s="4" t="s">
        <v>7101</v>
      </c>
      <c r="B2569" s="13" t="s">
        <v>43</v>
      </c>
      <c r="D2569" s="3"/>
      <c r="E2569" s="3"/>
      <c r="F2569" s="3"/>
      <c r="G2569" s="3"/>
      <c r="H2569" s="3"/>
      <c r="I2569" s="3"/>
    </row>
    <row r="2570">
      <c r="A2570" s="4" t="s">
        <v>7102</v>
      </c>
      <c r="B2570" s="13" t="s">
        <v>43</v>
      </c>
      <c r="D2570" s="3"/>
      <c r="E2570" s="3"/>
      <c r="F2570" s="3"/>
      <c r="G2570" s="3"/>
      <c r="H2570" s="3"/>
      <c r="I2570" s="3"/>
    </row>
    <row r="2571">
      <c r="A2571" s="4" t="s">
        <v>7103</v>
      </c>
      <c r="B2571" s="13" t="s">
        <v>43</v>
      </c>
      <c r="D2571" s="3"/>
      <c r="E2571" s="3"/>
      <c r="F2571" s="3"/>
      <c r="G2571" s="3"/>
      <c r="H2571" s="3"/>
      <c r="I2571" s="3"/>
    </row>
    <row r="2572">
      <c r="A2572" s="4" t="s">
        <v>7104</v>
      </c>
      <c r="B2572" s="13" t="s">
        <v>43</v>
      </c>
      <c r="D2572" s="3"/>
      <c r="E2572" s="3"/>
      <c r="F2572" s="3"/>
      <c r="G2572" s="3"/>
      <c r="H2572" s="3"/>
      <c r="I2572" s="3"/>
    </row>
    <row r="2573">
      <c r="A2573" s="4" t="s">
        <v>7105</v>
      </c>
      <c r="B2573" s="13" t="s">
        <v>43</v>
      </c>
      <c r="D2573" s="3"/>
      <c r="E2573" s="3"/>
      <c r="F2573" s="3"/>
      <c r="G2573" s="3"/>
      <c r="H2573" s="3"/>
      <c r="I2573" s="3"/>
    </row>
    <row r="2574">
      <c r="A2574" s="4" t="s">
        <v>7106</v>
      </c>
      <c r="B2574" s="13" t="s">
        <v>43</v>
      </c>
      <c r="D2574" s="3"/>
      <c r="E2574" s="3"/>
      <c r="F2574" s="3"/>
      <c r="G2574" s="3"/>
      <c r="H2574" s="3"/>
      <c r="I2574" s="3"/>
    </row>
    <row r="2575">
      <c r="A2575" s="4" t="s">
        <v>7107</v>
      </c>
      <c r="B2575" s="13" t="s">
        <v>43</v>
      </c>
      <c r="D2575" s="3"/>
      <c r="E2575" s="3"/>
      <c r="F2575" s="3"/>
      <c r="G2575" s="3"/>
      <c r="H2575" s="3"/>
      <c r="I2575" s="3"/>
    </row>
    <row r="2576">
      <c r="A2576" s="4" t="s">
        <v>7108</v>
      </c>
      <c r="B2576" s="13" t="s">
        <v>43</v>
      </c>
      <c r="D2576" s="3"/>
      <c r="E2576" s="3"/>
      <c r="F2576" s="3"/>
      <c r="G2576" s="3"/>
      <c r="H2576" s="3"/>
      <c r="I2576" s="3"/>
    </row>
    <row r="2577">
      <c r="A2577" s="4" t="s">
        <v>7109</v>
      </c>
      <c r="B2577" s="13" t="s">
        <v>43</v>
      </c>
      <c r="D2577" s="3"/>
      <c r="E2577" s="3"/>
      <c r="F2577" s="3"/>
      <c r="G2577" s="3"/>
      <c r="H2577" s="3"/>
      <c r="I2577" s="3"/>
    </row>
    <row r="2578">
      <c r="A2578" s="4" t="s">
        <v>7110</v>
      </c>
      <c r="B2578" s="13" t="s">
        <v>43</v>
      </c>
      <c r="D2578" s="3"/>
      <c r="E2578" s="3"/>
      <c r="F2578" s="3"/>
      <c r="G2578" s="3"/>
      <c r="H2578" s="3"/>
      <c r="I2578" s="3"/>
    </row>
    <row r="2579">
      <c r="A2579" s="4" t="s">
        <v>7111</v>
      </c>
      <c r="B2579" s="13" t="s">
        <v>43</v>
      </c>
      <c r="D2579" s="3"/>
      <c r="E2579" s="3"/>
      <c r="F2579" s="3"/>
      <c r="G2579" s="3"/>
      <c r="H2579" s="3"/>
      <c r="I2579" s="3"/>
    </row>
    <row r="2580">
      <c r="A2580" s="4" t="s">
        <v>7112</v>
      </c>
      <c r="B2580" s="13" t="s">
        <v>43</v>
      </c>
      <c r="D2580" s="3"/>
      <c r="E2580" s="3"/>
      <c r="F2580" s="3"/>
      <c r="G2580" s="3"/>
      <c r="H2580" s="3"/>
      <c r="I2580" s="3"/>
    </row>
    <row r="2581">
      <c r="A2581" s="4" t="s">
        <v>7113</v>
      </c>
      <c r="B2581" s="13" t="s">
        <v>43</v>
      </c>
      <c r="D2581" s="3"/>
      <c r="E2581" s="3"/>
      <c r="F2581" s="3"/>
      <c r="G2581" s="3"/>
      <c r="H2581" s="3"/>
      <c r="I2581" s="3"/>
    </row>
    <row r="2582">
      <c r="A2582" s="4" t="s">
        <v>7114</v>
      </c>
      <c r="B2582" s="13" t="s">
        <v>43</v>
      </c>
      <c r="D2582" s="3"/>
      <c r="E2582" s="3"/>
      <c r="F2582" s="3"/>
      <c r="G2582" s="3"/>
      <c r="H2582" s="3"/>
      <c r="I2582" s="3"/>
    </row>
    <row r="2583">
      <c r="A2583" s="4" t="s">
        <v>7115</v>
      </c>
      <c r="B2583" s="13" t="s">
        <v>43</v>
      </c>
      <c r="D2583" s="3"/>
      <c r="E2583" s="3"/>
      <c r="F2583" s="3"/>
      <c r="G2583" s="3"/>
      <c r="H2583" s="3"/>
      <c r="I2583" s="3"/>
    </row>
    <row r="2584">
      <c r="A2584" s="4" t="s">
        <v>7116</v>
      </c>
      <c r="B2584" s="13" t="s">
        <v>43</v>
      </c>
      <c r="D2584" s="3"/>
      <c r="E2584" s="3"/>
      <c r="F2584" s="3"/>
      <c r="G2584" s="3"/>
      <c r="H2584" s="3"/>
      <c r="I2584" s="3"/>
    </row>
    <row r="2585">
      <c r="A2585" s="4" t="s">
        <v>7117</v>
      </c>
      <c r="B2585" s="13" t="s">
        <v>48</v>
      </c>
      <c r="C2585" s="4">
        <v>1.0</v>
      </c>
      <c r="D2585" s="4">
        <v>1.0</v>
      </c>
      <c r="E2585" s="3"/>
      <c r="F2585" s="3"/>
      <c r="G2585" s="3"/>
      <c r="H2585" s="3"/>
      <c r="I2585" s="3"/>
    </row>
    <row r="2586">
      <c r="A2586" s="4" t="s">
        <v>7118</v>
      </c>
      <c r="B2586" s="13" t="s">
        <v>48</v>
      </c>
      <c r="C2586" s="4">
        <v>1.0</v>
      </c>
      <c r="D2586" s="4">
        <v>1.0</v>
      </c>
      <c r="E2586" s="3"/>
      <c r="F2586" s="3"/>
      <c r="G2586" s="3"/>
      <c r="H2586" s="3"/>
      <c r="I2586" s="3"/>
    </row>
    <row r="2587">
      <c r="A2587" s="4" t="s">
        <v>7119</v>
      </c>
      <c r="B2587" s="13" t="s">
        <v>48</v>
      </c>
      <c r="C2587" s="4">
        <v>1.0</v>
      </c>
      <c r="D2587" s="4">
        <v>1.0</v>
      </c>
      <c r="E2587" s="3"/>
      <c r="F2587" s="3"/>
      <c r="G2587" s="3"/>
      <c r="H2587" s="3"/>
      <c r="I2587" s="3"/>
    </row>
    <row r="2588">
      <c r="A2588" s="4" t="s">
        <v>7120</v>
      </c>
      <c r="B2588" s="13" t="s">
        <v>48</v>
      </c>
      <c r="C2588" s="4">
        <v>1.0</v>
      </c>
      <c r="D2588" s="4">
        <v>1.0</v>
      </c>
      <c r="E2588" s="3"/>
      <c r="F2588" s="3"/>
      <c r="G2588" s="3"/>
      <c r="H2588" s="3"/>
      <c r="I2588" s="3"/>
    </row>
    <row r="2589">
      <c r="A2589" s="4" t="s">
        <v>7121</v>
      </c>
      <c r="B2589" s="13" t="s">
        <v>48</v>
      </c>
      <c r="C2589" s="4">
        <v>1.0</v>
      </c>
      <c r="D2589" s="4">
        <v>1.0</v>
      </c>
      <c r="E2589" s="3"/>
      <c r="F2589" s="3"/>
      <c r="G2589" s="3"/>
      <c r="H2589" s="3"/>
      <c r="I2589" s="3"/>
    </row>
    <row r="2590">
      <c r="A2590" s="4" t="s">
        <v>7122</v>
      </c>
      <c r="B2590" s="13" t="s">
        <v>48</v>
      </c>
      <c r="C2590" s="4">
        <v>1.0</v>
      </c>
      <c r="D2590" s="4">
        <v>1.0</v>
      </c>
      <c r="E2590" s="3"/>
      <c r="F2590" s="3"/>
      <c r="G2590" s="3"/>
      <c r="H2590" s="3"/>
      <c r="I2590" s="3"/>
    </row>
    <row r="2591">
      <c r="A2591" s="4" t="s">
        <v>7123</v>
      </c>
      <c r="B2591" s="13" t="s">
        <v>48</v>
      </c>
      <c r="C2591" s="4">
        <v>1.0</v>
      </c>
      <c r="D2591" s="4">
        <v>1.0</v>
      </c>
      <c r="E2591" s="3"/>
      <c r="F2591" s="3"/>
      <c r="G2591" s="3"/>
      <c r="H2591" s="3"/>
      <c r="I2591" s="3"/>
    </row>
    <row r="2592">
      <c r="A2592" s="4" t="s">
        <v>7124</v>
      </c>
      <c r="B2592" s="13" t="s">
        <v>48</v>
      </c>
      <c r="C2592" s="4">
        <v>1.0</v>
      </c>
      <c r="D2592" s="4">
        <v>1.0</v>
      </c>
      <c r="E2592" s="3"/>
      <c r="F2592" s="3"/>
      <c r="G2592" s="3"/>
      <c r="H2592" s="3"/>
      <c r="I2592" s="3"/>
    </row>
    <row r="2593">
      <c r="A2593" s="4" t="s">
        <v>7125</v>
      </c>
      <c r="B2593" s="13" t="s">
        <v>48</v>
      </c>
      <c r="C2593" s="4">
        <v>1.0</v>
      </c>
      <c r="D2593" s="4">
        <v>1.0</v>
      </c>
      <c r="E2593" s="3"/>
      <c r="F2593" s="3"/>
      <c r="G2593" s="3"/>
      <c r="H2593" s="3"/>
      <c r="I2593" s="3"/>
    </row>
    <row r="2594">
      <c r="A2594" s="4" t="s">
        <v>7126</v>
      </c>
      <c r="B2594" s="13" t="s">
        <v>48</v>
      </c>
      <c r="C2594" s="4">
        <v>1.0</v>
      </c>
      <c r="D2594" s="4">
        <v>1.0</v>
      </c>
      <c r="E2594" s="3"/>
      <c r="F2594" s="3"/>
      <c r="G2594" s="3"/>
      <c r="H2594" s="3"/>
      <c r="I2594" s="3"/>
    </row>
    <row r="2595">
      <c r="A2595" s="4" t="s">
        <v>7127</v>
      </c>
      <c r="B2595" s="13" t="s">
        <v>48</v>
      </c>
      <c r="C2595" s="4">
        <v>1.0</v>
      </c>
      <c r="D2595" s="4">
        <v>1.0</v>
      </c>
      <c r="E2595" s="3"/>
      <c r="F2595" s="3"/>
      <c r="G2595" s="3"/>
      <c r="H2595" s="3"/>
      <c r="I2595" s="3"/>
    </row>
    <row r="2596">
      <c r="A2596" s="4" t="s">
        <v>7128</v>
      </c>
      <c r="B2596" s="13" t="s">
        <v>48</v>
      </c>
      <c r="C2596" s="4">
        <v>1.0</v>
      </c>
      <c r="D2596" s="4">
        <v>1.0</v>
      </c>
      <c r="E2596" s="3"/>
      <c r="F2596" s="3"/>
      <c r="G2596" s="3"/>
      <c r="H2596" s="3"/>
      <c r="I2596" s="3"/>
    </row>
    <row r="2597">
      <c r="A2597" s="4" t="s">
        <v>7129</v>
      </c>
      <c r="B2597" s="13" t="s">
        <v>43</v>
      </c>
      <c r="D2597" s="3"/>
      <c r="E2597" s="3"/>
      <c r="F2597" s="3"/>
      <c r="G2597" s="3"/>
      <c r="H2597" s="3"/>
      <c r="I2597" s="3"/>
    </row>
    <row r="2598">
      <c r="A2598" s="4" t="s">
        <v>7130</v>
      </c>
      <c r="B2598" s="13" t="s">
        <v>43</v>
      </c>
      <c r="D2598" s="3"/>
      <c r="E2598" s="3"/>
      <c r="F2598" s="3"/>
      <c r="G2598" s="3"/>
      <c r="H2598" s="3"/>
      <c r="I2598" s="3"/>
    </row>
    <row r="2599">
      <c r="A2599" s="4" t="s">
        <v>7131</v>
      </c>
      <c r="B2599" s="13" t="s">
        <v>43</v>
      </c>
      <c r="D2599" s="3"/>
      <c r="E2599" s="3"/>
      <c r="F2599" s="3"/>
      <c r="G2599" s="3"/>
      <c r="H2599" s="3"/>
      <c r="I2599" s="3"/>
    </row>
    <row r="2600">
      <c r="A2600" s="4" t="s">
        <v>7132</v>
      </c>
      <c r="B2600" s="13" t="s">
        <v>43</v>
      </c>
      <c r="D2600" s="3"/>
      <c r="E2600" s="3"/>
      <c r="F2600" s="3"/>
      <c r="G2600" s="3"/>
      <c r="H2600" s="3"/>
      <c r="I2600" s="3"/>
    </row>
    <row r="2601">
      <c r="A2601" s="4" t="s">
        <v>7133</v>
      </c>
      <c r="B2601" s="13" t="s">
        <v>43</v>
      </c>
      <c r="D2601" s="3"/>
      <c r="E2601" s="3"/>
      <c r="F2601" s="3"/>
      <c r="G2601" s="3"/>
      <c r="H2601" s="3"/>
      <c r="I2601" s="3"/>
    </row>
    <row r="2602">
      <c r="A2602" s="4" t="s">
        <v>7134</v>
      </c>
      <c r="B2602" s="13" t="s">
        <v>43</v>
      </c>
      <c r="D2602" s="3"/>
      <c r="E2602" s="3"/>
      <c r="F2602" s="3"/>
      <c r="G2602" s="3"/>
      <c r="H2602" s="3"/>
      <c r="I2602" s="3"/>
    </row>
    <row r="2603">
      <c r="A2603" s="4" t="s">
        <v>7135</v>
      </c>
      <c r="B2603" s="13" t="s">
        <v>43</v>
      </c>
      <c r="D2603" s="3"/>
      <c r="E2603" s="3"/>
      <c r="F2603" s="3"/>
      <c r="G2603" s="3"/>
      <c r="H2603" s="3"/>
      <c r="I2603" s="3"/>
    </row>
    <row r="2604">
      <c r="A2604" s="4" t="s">
        <v>7136</v>
      </c>
      <c r="B2604" s="13" t="s">
        <v>43</v>
      </c>
      <c r="D2604" s="3"/>
      <c r="E2604" s="3"/>
      <c r="F2604" s="3"/>
      <c r="G2604" s="3"/>
      <c r="H2604" s="3"/>
      <c r="I2604" s="3"/>
    </row>
    <row r="2605">
      <c r="A2605" s="4" t="s">
        <v>7137</v>
      </c>
      <c r="B2605" s="13" t="s">
        <v>43</v>
      </c>
      <c r="D2605" s="3"/>
      <c r="E2605" s="3"/>
      <c r="F2605" s="3"/>
      <c r="G2605" s="3"/>
      <c r="H2605" s="3"/>
      <c r="I2605" s="3"/>
    </row>
    <row r="2606">
      <c r="A2606" s="4" t="s">
        <v>7138</v>
      </c>
      <c r="B2606" s="13" t="s">
        <v>43</v>
      </c>
      <c r="D2606" s="3"/>
      <c r="E2606" s="3"/>
      <c r="F2606" s="3"/>
      <c r="G2606" s="3"/>
      <c r="H2606" s="3"/>
      <c r="I2606" s="3"/>
    </row>
    <row r="2607">
      <c r="A2607" s="4" t="s">
        <v>7139</v>
      </c>
      <c r="B2607" s="13" t="s">
        <v>43</v>
      </c>
      <c r="D2607" s="3"/>
      <c r="E2607" s="3"/>
      <c r="F2607" s="3"/>
      <c r="G2607" s="3"/>
      <c r="H2607" s="3"/>
      <c r="I2607" s="3"/>
    </row>
    <row r="2608">
      <c r="A2608" s="4" t="s">
        <v>7140</v>
      </c>
      <c r="B2608" s="13" t="s">
        <v>43</v>
      </c>
      <c r="D2608" s="3"/>
      <c r="E2608" s="3"/>
      <c r="F2608" s="3"/>
      <c r="G2608" s="3"/>
      <c r="H2608" s="3"/>
      <c r="I2608" s="3"/>
    </row>
    <row r="2609">
      <c r="A2609" s="4" t="s">
        <v>7141</v>
      </c>
      <c r="B2609" s="13" t="s">
        <v>43</v>
      </c>
      <c r="D2609" s="3"/>
      <c r="E2609" s="3"/>
      <c r="F2609" s="3"/>
      <c r="G2609" s="3"/>
      <c r="H2609" s="3"/>
      <c r="I2609" s="3"/>
    </row>
    <row r="2610">
      <c r="A2610" s="4" t="s">
        <v>7142</v>
      </c>
      <c r="B2610" s="13" t="s">
        <v>43</v>
      </c>
      <c r="D2610" s="3"/>
      <c r="E2610" s="3"/>
      <c r="F2610" s="3"/>
      <c r="G2610" s="3"/>
      <c r="H2610" s="3"/>
      <c r="I2610" s="3"/>
    </row>
    <row r="2611">
      <c r="A2611" s="4" t="s">
        <v>7143</v>
      </c>
      <c r="B2611" s="13" t="s">
        <v>43</v>
      </c>
      <c r="D2611" s="3"/>
      <c r="E2611" s="3"/>
      <c r="F2611" s="3"/>
      <c r="G2611" s="3"/>
      <c r="H2611" s="3"/>
      <c r="I2611" s="3"/>
    </row>
    <row r="2612">
      <c r="A2612" s="4" t="s">
        <v>7144</v>
      </c>
      <c r="B2612" s="13" t="s">
        <v>43</v>
      </c>
      <c r="D2612" s="3"/>
      <c r="E2612" s="3"/>
      <c r="F2612" s="3"/>
      <c r="G2612" s="3"/>
      <c r="H2612" s="3"/>
      <c r="I2612" s="3"/>
    </row>
    <row r="2613">
      <c r="A2613" s="4" t="s">
        <v>7145</v>
      </c>
      <c r="B2613" s="13" t="s">
        <v>43</v>
      </c>
      <c r="D2613" s="3"/>
      <c r="E2613" s="3"/>
      <c r="F2613" s="3"/>
      <c r="G2613" s="3"/>
      <c r="H2613" s="3"/>
      <c r="I2613" s="3"/>
    </row>
    <row r="2614">
      <c r="A2614" s="4" t="s">
        <v>7146</v>
      </c>
      <c r="B2614" s="13" t="s">
        <v>43</v>
      </c>
      <c r="D2614" s="3"/>
      <c r="E2614" s="3"/>
      <c r="F2614" s="3"/>
      <c r="G2614" s="3"/>
      <c r="H2614" s="3"/>
      <c r="I2614" s="3"/>
    </row>
    <row r="2615">
      <c r="A2615" s="4" t="s">
        <v>7147</v>
      </c>
      <c r="B2615" s="13" t="s">
        <v>43</v>
      </c>
      <c r="D2615" s="3"/>
      <c r="E2615" s="3"/>
      <c r="F2615" s="3"/>
      <c r="G2615" s="3"/>
      <c r="H2615" s="3"/>
      <c r="I2615" s="3"/>
    </row>
    <row r="2616">
      <c r="A2616" s="4" t="s">
        <v>7148</v>
      </c>
      <c r="B2616" s="13" t="s">
        <v>43</v>
      </c>
      <c r="D2616" s="3"/>
      <c r="E2616" s="3"/>
      <c r="F2616" s="3"/>
      <c r="G2616" s="3"/>
      <c r="H2616" s="3"/>
      <c r="I2616" s="3"/>
    </row>
    <row r="2617">
      <c r="A2617" s="4" t="s">
        <v>7149</v>
      </c>
      <c r="B2617" s="13" t="s">
        <v>43</v>
      </c>
      <c r="D2617" s="3"/>
      <c r="E2617" s="3"/>
      <c r="F2617" s="3"/>
      <c r="G2617" s="3"/>
      <c r="H2617" s="3"/>
      <c r="I2617" s="3"/>
    </row>
    <row r="2618">
      <c r="A2618" s="4" t="s">
        <v>7150</v>
      </c>
      <c r="B2618" s="13" t="s">
        <v>43</v>
      </c>
      <c r="D2618" s="3"/>
      <c r="E2618" s="3"/>
      <c r="F2618" s="3"/>
      <c r="G2618" s="3"/>
      <c r="H2618" s="3"/>
      <c r="I2618" s="3"/>
    </row>
    <row r="2619">
      <c r="A2619" s="4" t="s">
        <v>7151</v>
      </c>
      <c r="B2619" s="13" t="s">
        <v>43</v>
      </c>
      <c r="D2619" s="3"/>
      <c r="E2619" s="3"/>
      <c r="F2619" s="3"/>
      <c r="G2619" s="3"/>
      <c r="H2619" s="3"/>
      <c r="I2619" s="3"/>
    </row>
    <row r="2620">
      <c r="A2620" s="4" t="s">
        <v>7152</v>
      </c>
      <c r="B2620" s="13" t="s">
        <v>43</v>
      </c>
      <c r="D2620" s="3"/>
      <c r="E2620" s="3"/>
      <c r="F2620" s="3"/>
      <c r="G2620" s="3"/>
      <c r="H2620" s="3"/>
      <c r="I2620" s="3"/>
    </row>
    <row r="2621">
      <c r="A2621" s="4" t="s">
        <v>7153</v>
      </c>
      <c r="B2621" s="13" t="s">
        <v>43</v>
      </c>
      <c r="D2621" s="3"/>
      <c r="E2621" s="3"/>
      <c r="F2621" s="3"/>
      <c r="G2621" s="3"/>
      <c r="H2621" s="3"/>
      <c r="I2621" s="3"/>
    </row>
    <row r="2622">
      <c r="A2622" s="4" t="s">
        <v>7154</v>
      </c>
      <c r="B2622" s="13" t="s">
        <v>43</v>
      </c>
      <c r="D2622" s="3"/>
      <c r="E2622" s="3"/>
      <c r="F2622" s="3"/>
      <c r="G2622" s="3"/>
      <c r="H2622" s="3"/>
      <c r="I2622" s="3"/>
    </row>
    <row r="2623">
      <c r="A2623" s="4" t="s">
        <v>7155</v>
      </c>
      <c r="B2623" s="13" t="s">
        <v>43</v>
      </c>
      <c r="D2623" s="3"/>
      <c r="E2623" s="3"/>
      <c r="F2623" s="3"/>
      <c r="G2623" s="3"/>
      <c r="H2623" s="3"/>
      <c r="I2623" s="3"/>
    </row>
    <row r="2624">
      <c r="A2624" s="4" t="s">
        <v>7156</v>
      </c>
      <c r="B2624" s="13" t="s">
        <v>43</v>
      </c>
      <c r="D2624" s="3"/>
      <c r="E2624" s="3"/>
      <c r="F2624" s="3"/>
      <c r="G2624" s="3"/>
      <c r="H2624" s="3"/>
      <c r="I2624" s="3"/>
    </row>
    <row r="2625">
      <c r="A2625" s="4" t="s">
        <v>7157</v>
      </c>
      <c r="B2625" s="13" t="s">
        <v>43</v>
      </c>
      <c r="D2625" s="3"/>
      <c r="E2625" s="3"/>
      <c r="F2625" s="3"/>
      <c r="G2625" s="3"/>
      <c r="H2625" s="3"/>
      <c r="I2625" s="3"/>
    </row>
    <row r="2626">
      <c r="A2626" s="4" t="s">
        <v>7158</v>
      </c>
      <c r="B2626" s="13" t="s">
        <v>43</v>
      </c>
      <c r="D2626" s="3"/>
      <c r="E2626" s="3"/>
      <c r="F2626" s="3"/>
      <c r="G2626" s="3"/>
      <c r="H2626" s="3"/>
      <c r="I2626" s="3"/>
    </row>
    <row r="2627">
      <c r="A2627" s="4" t="s">
        <v>7159</v>
      </c>
      <c r="B2627" s="13" t="s">
        <v>43</v>
      </c>
      <c r="D2627" s="3"/>
      <c r="E2627" s="3"/>
      <c r="F2627" s="3"/>
      <c r="G2627" s="3"/>
      <c r="H2627" s="3"/>
      <c r="I2627" s="3"/>
    </row>
    <row r="2628">
      <c r="A2628" s="4" t="s">
        <v>7160</v>
      </c>
      <c r="B2628" s="13" t="s">
        <v>43</v>
      </c>
      <c r="D2628" s="3"/>
      <c r="E2628" s="3"/>
      <c r="F2628" s="3"/>
      <c r="G2628" s="3"/>
      <c r="H2628" s="3"/>
      <c r="I2628" s="3"/>
    </row>
    <row r="2629">
      <c r="A2629" s="4" t="s">
        <v>7161</v>
      </c>
      <c r="B2629" s="13" t="s">
        <v>43</v>
      </c>
      <c r="D2629" s="3"/>
      <c r="E2629" s="3"/>
      <c r="F2629" s="3"/>
      <c r="G2629" s="3"/>
      <c r="H2629" s="3"/>
      <c r="I2629" s="3"/>
    </row>
    <row r="2630">
      <c r="A2630" s="4" t="s">
        <v>7162</v>
      </c>
      <c r="B2630" s="13" t="s">
        <v>43</v>
      </c>
      <c r="D2630" s="3"/>
      <c r="E2630" s="3"/>
      <c r="F2630" s="3"/>
      <c r="G2630" s="3"/>
      <c r="H2630" s="3"/>
      <c r="I2630" s="3"/>
    </row>
    <row r="2631">
      <c r="A2631" s="4" t="s">
        <v>7163</v>
      </c>
      <c r="B2631" s="13" t="s">
        <v>43</v>
      </c>
      <c r="D2631" s="3"/>
      <c r="E2631" s="3"/>
      <c r="F2631" s="3"/>
      <c r="G2631" s="3"/>
      <c r="H2631" s="3"/>
      <c r="I2631" s="3"/>
    </row>
    <row r="2632">
      <c r="A2632" s="4" t="s">
        <v>7164</v>
      </c>
      <c r="B2632" s="13" t="s">
        <v>43</v>
      </c>
      <c r="D2632" s="3"/>
      <c r="E2632" s="3"/>
      <c r="F2632" s="3"/>
      <c r="G2632" s="3"/>
      <c r="H2632" s="3"/>
      <c r="I2632" s="3"/>
    </row>
    <row r="2633">
      <c r="A2633" s="4" t="s">
        <v>7165</v>
      </c>
      <c r="B2633" s="13" t="s">
        <v>43</v>
      </c>
      <c r="D2633" s="3"/>
      <c r="E2633" s="3"/>
      <c r="F2633" s="3"/>
      <c r="G2633" s="3"/>
      <c r="H2633" s="3"/>
      <c r="I2633" s="3"/>
    </row>
    <row r="2634">
      <c r="A2634" s="4" t="s">
        <v>7166</v>
      </c>
      <c r="B2634" s="13" t="s">
        <v>43</v>
      </c>
      <c r="D2634" s="3"/>
      <c r="E2634" s="3"/>
      <c r="F2634" s="3"/>
      <c r="G2634" s="3"/>
      <c r="H2634" s="3"/>
      <c r="I2634" s="3"/>
    </row>
    <row r="2635">
      <c r="A2635" s="4" t="s">
        <v>7167</v>
      </c>
      <c r="B2635" s="13" t="s">
        <v>43</v>
      </c>
      <c r="D2635" s="3"/>
      <c r="E2635" s="3"/>
      <c r="F2635" s="3"/>
      <c r="G2635" s="3"/>
      <c r="H2635" s="3"/>
      <c r="I2635" s="3"/>
    </row>
    <row r="2636">
      <c r="A2636" s="4" t="s">
        <v>7168</v>
      </c>
      <c r="B2636" s="13" t="s">
        <v>43</v>
      </c>
      <c r="D2636" s="3"/>
      <c r="E2636" s="3"/>
      <c r="F2636" s="3"/>
      <c r="G2636" s="3"/>
      <c r="H2636" s="3"/>
      <c r="I2636" s="3"/>
    </row>
    <row r="2637">
      <c r="A2637" s="4" t="s">
        <v>7169</v>
      </c>
      <c r="B2637" s="13" t="s">
        <v>43</v>
      </c>
      <c r="D2637" s="3"/>
      <c r="E2637" s="3"/>
      <c r="F2637" s="3"/>
      <c r="G2637" s="3"/>
      <c r="H2637" s="3"/>
      <c r="I2637" s="3"/>
    </row>
    <row r="2638">
      <c r="A2638" s="4" t="s">
        <v>7170</v>
      </c>
      <c r="B2638" s="13" t="s">
        <v>43</v>
      </c>
      <c r="D2638" s="3"/>
      <c r="E2638" s="3"/>
      <c r="F2638" s="3"/>
      <c r="G2638" s="3"/>
      <c r="H2638" s="3"/>
      <c r="I2638" s="3"/>
    </row>
    <row r="2639">
      <c r="A2639" s="4" t="s">
        <v>7171</v>
      </c>
      <c r="B2639" s="13" t="s">
        <v>43</v>
      </c>
      <c r="D2639" s="3"/>
      <c r="E2639" s="3"/>
      <c r="F2639" s="3"/>
      <c r="G2639" s="3"/>
      <c r="H2639" s="3"/>
      <c r="I2639" s="3"/>
    </row>
    <row r="2640">
      <c r="A2640" s="4" t="s">
        <v>7172</v>
      </c>
      <c r="B2640" s="13" t="s">
        <v>43</v>
      </c>
      <c r="D2640" s="3"/>
      <c r="E2640" s="3"/>
      <c r="F2640" s="3"/>
      <c r="G2640" s="3"/>
      <c r="H2640" s="3"/>
      <c r="I2640" s="3"/>
    </row>
    <row r="2641">
      <c r="A2641" s="4" t="s">
        <v>7173</v>
      </c>
      <c r="B2641" s="13" t="s">
        <v>43</v>
      </c>
      <c r="D2641" s="3"/>
      <c r="E2641" s="3"/>
      <c r="F2641" s="3"/>
      <c r="G2641" s="3"/>
      <c r="H2641" s="3"/>
      <c r="I2641" s="3"/>
    </row>
    <row r="2642">
      <c r="A2642" s="4" t="s">
        <v>7174</v>
      </c>
      <c r="B2642" s="13" t="s">
        <v>43</v>
      </c>
      <c r="D2642" s="3"/>
      <c r="E2642" s="3"/>
      <c r="F2642" s="3"/>
      <c r="G2642" s="3"/>
      <c r="H2642" s="3"/>
      <c r="I2642" s="3"/>
    </row>
    <row r="2643">
      <c r="A2643" s="4" t="s">
        <v>7175</v>
      </c>
      <c r="B2643" s="13" t="s">
        <v>43</v>
      </c>
      <c r="D2643" s="3"/>
      <c r="E2643" s="3"/>
      <c r="F2643" s="3"/>
      <c r="G2643" s="3"/>
      <c r="H2643" s="3"/>
      <c r="I2643" s="3"/>
    </row>
    <row r="2644">
      <c r="A2644" s="4" t="s">
        <v>7176</v>
      </c>
      <c r="B2644" s="13" t="s">
        <v>43</v>
      </c>
      <c r="D2644" s="3"/>
      <c r="E2644" s="3"/>
      <c r="F2644" s="3"/>
      <c r="G2644" s="3"/>
      <c r="H2644" s="3"/>
      <c r="I2644" s="3"/>
    </row>
    <row r="2645">
      <c r="A2645" s="4" t="s">
        <v>7177</v>
      </c>
      <c r="B2645" s="13" t="s">
        <v>43</v>
      </c>
      <c r="D2645" s="3"/>
      <c r="E2645" s="3"/>
      <c r="F2645" s="3"/>
      <c r="G2645" s="3"/>
      <c r="H2645" s="3"/>
      <c r="I2645" s="3"/>
    </row>
    <row r="2646">
      <c r="A2646" s="4" t="s">
        <v>7178</v>
      </c>
      <c r="B2646" s="13" t="s">
        <v>43</v>
      </c>
      <c r="D2646" s="3"/>
      <c r="E2646" s="3"/>
      <c r="F2646" s="3"/>
      <c r="G2646" s="3"/>
      <c r="H2646" s="3"/>
      <c r="I2646" s="3"/>
    </row>
    <row r="2647">
      <c r="A2647" s="4" t="s">
        <v>7179</v>
      </c>
      <c r="B2647" s="13" t="s">
        <v>43</v>
      </c>
      <c r="D2647" s="3"/>
      <c r="E2647" s="3"/>
      <c r="F2647" s="3"/>
      <c r="G2647" s="3"/>
      <c r="H2647" s="3"/>
      <c r="I2647" s="3"/>
    </row>
    <row r="2648">
      <c r="A2648" s="4" t="s">
        <v>7180</v>
      </c>
      <c r="B2648" s="13" t="s">
        <v>43</v>
      </c>
      <c r="D2648" s="3"/>
      <c r="E2648" s="3"/>
      <c r="F2648" s="3"/>
      <c r="G2648" s="3"/>
      <c r="H2648" s="3"/>
      <c r="I2648" s="3"/>
    </row>
    <row r="2649">
      <c r="A2649" s="4" t="s">
        <v>7181</v>
      </c>
      <c r="B2649" s="13" t="s">
        <v>43</v>
      </c>
      <c r="D2649" s="3"/>
      <c r="E2649" s="3"/>
      <c r="F2649" s="3"/>
      <c r="G2649" s="3"/>
      <c r="H2649" s="3"/>
      <c r="I2649" s="3"/>
    </row>
    <row r="2650">
      <c r="A2650" s="4" t="s">
        <v>7182</v>
      </c>
      <c r="B2650" s="13" t="s">
        <v>43</v>
      </c>
      <c r="D2650" s="3"/>
      <c r="E2650" s="3"/>
      <c r="F2650" s="3"/>
      <c r="G2650" s="3"/>
      <c r="H2650" s="3"/>
      <c r="I2650" s="3"/>
    </row>
    <row r="2651">
      <c r="A2651" s="4" t="s">
        <v>7183</v>
      </c>
      <c r="B2651" s="13" t="s">
        <v>43</v>
      </c>
      <c r="D2651" s="3"/>
      <c r="E2651" s="3"/>
      <c r="F2651" s="3"/>
      <c r="G2651" s="3"/>
      <c r="H2651" s="3"/>
      <c r="I2651" s="3"/>
    </row>
    <row r="2652">
      <c r="A2652" s="4" t="s">
        <v>7184</v>
      </c>
      <c r="B2652" s="13" t="s">
        <v>43</v>
      </c>
      <c r="D2652" s="3"/>
      <c r="E2652" s="3"/>
      <c r="F2652" s="3"/>
      <c r="G2652" s="3"/>
      <c r="H2652" s="3"/>
      <c r="I2652" s="3"/>
    </row>
    <row r="2653">
      <c r="A2653" s="4" t="s">
        <v>7185</v>
      </c>
      <c r="B2653" s="13" t="s">
        <v>43</v>
      </c>
      <c r="D2653" s="3"/>
      <c r="E2653" s="3"/>
      <c r="F2653" s="3"/>
      <c r="G2653" s="3"/>
      <c r="H2653" s="3"/>
      <c r="I2653" s="3"/>
    </row>
    <row r="2654">
      <c r="A2654" s="4" t="s">
        <v>7186</v>
      </c>
      <c r="B2654" s="13" t="s">
        <v>43</v>
      </c>
      <c r="D2654" s="3"/>
      <c r="E2654" s="3"/>
      <c r="F2654" s="3"/>
      <c r="G2654" s="3"/>
      <c r="H2654" s="3"/>
      <c r="I2654" s="3"/>
    </row>
    <row r="2655">
      <c r="A2655" s="4" t="s">
        <v>7187</v>
      </c>
      <c r="B2655" s="13" t="s">
        <v>43</v>
      </c>
      <c r="D2655" s="3"/>
      <c r="E2655" s="3"/>
      <c r="F2655" s="3"/>
      <c r="G2655" s="3"/>
      <c r="H2655" s="3"/>
      <c r="I2655" s="3"/>
    </row>
    <row r="2656">
      <c r="A2656" s="4" t="s">
        <v>7188</v>
      </c>
      <c r="B2656" s="13" t="s">
        <v>43</v>
      </c>
      <c r="D2656" s="3"/>
      <c r="E2656" s="3"/>
      <c r="F2656" s="3"/>
      <c r="G2656" s="3"/>
      <c r="H2656" s="3"/>
      <c r="I2656" s="3"/>
    </row>
    <row r="2657">
      <c r="A2657" s="4" t="s">
        <v>7189</v>
      </c>
      <c r="B2657" s="13" t="s">
        <v>43</v>
      </c>
      <c r="D2657" s="3"/>
      <c r="E2657" s="3"/>
      <c r="F2657" s="3"/>
      <c r="G2657" s="3"/>
      <c r="H2657" s="3"/>
      <c r="I2657" s="3"/>
      <c r="J2657" s="4" t="s">
        <v>1757</v>
      </c>
    </row>
    <row r="2658">
      <c r="A2658" s="4" t="s">
        <v>7190</v>
      </c>
      <c r="B2658" s="13" t="s">
        <v>43</v>
      </c>
      <c r="D2658" s="3"/>
      <c r="E2658" s="3"/>
      <c r="F2658" s="3"/>
      <c r="G2658" s="3"/>
      <c r="H2658" s="3"/>
      <c r="I2658" s="3"/>
      <c r="J2658" s="4" t="s">
        <v>1757</v>
      </c>
    </row>
    <row r="2659">
      <c r="A2659" s="4" t="s">
        <v>7191</v>
      </c>
      <c r="B2659" s="13" t="s">
        <v>43</v>
      </c>
      <c r="D2659" s="3"/>
      <c r="E2659" s="3"/>
      <c r="F2659" s="3"/>
      <c r="G2659" s="3"/>
      <c r="H2659" s="3"/>
      <c r="I2659" s="3"/>
      <c r="J2659" s="4" t="s">
        <v>1757</v>
      </c>
    </row>
    <row r="2660">
      <c r="A2660" s="4" t="s">
        <v>7192</v>
      </c>
      <c r="B2660" s="13" t="s">
        <v>43</v>
      </c>
      <c r="D2660" s="3"/>
      <c r="E2660" s="3"/>
      <c r="F2660" s="3"/>
      <c r="G2660" s="3"/>
      <c r="H2660" s="3"/>
      <c r="I2660" s="3"/>
      <c r="J2660" s="4" t="s">
        <v>1757</v>
      </c>
    </row>
    <row r="2661">
      <c r="A2661" s="4" t="s">
        <v>7193</v>
      </c>
      <c r="B2661" s="13" t="s">
        <v>43</v>
      </c>
      <c r="D2661" s="3"/>
      <c r="E2661" s="3"/>
      <c r="F2661" s="3"/>
      <c r="G2661" s="3"/>
      <c r="H2661" s="3"/>
      <c r="I2661" s="3"/>
      <c r="J2661" s="4" t="s">
        <v>1757</v>
      </c>
    </row>
    <row r="2662">
      <c r="A2662" s="4" t="s">
        <v>7194</v>
      </c>
      <c r="B2662" s="13" t="s">
        <v>43</v>
      </c>
      <c r="D2662" s="3"/>
      <c r="E2662" s="3"/>
      <c r="F2662" s="3"/>
      <c r="G2662" s="3"/>
      <c r="H2662" s="3"/>
      <c r="I2662" s="3"/>
      <c r="J2662" s="4" t="s">
        <v>1757</v>
      </c>
    </row>
    <row r="2663">
      <c r="A2663" s="4" t="s">
        <v>7195</v>
      </c>
      <c r="B2663" s="13" t="s">
        <v>43</v>
      </c>
      <c r="D2663" s="3"/>
      <c r="E2663" s="3"/>
      <c r="F2663" s="3"/>
      <c r="G2663" s="3"/>
      <c r="H2663" s="3"/>
      <c r="I2663" s="3"/>
      <c r="J2663" s="4" t="s">
        <v>1757</v>
      </c>
    </row>
    <row r="2664">
      <c r="A2664" s="4" t="s">
        <v>7196</v>
      </c>
      <c r="B2664" s="13" t="s">
        <v>43</v>
      </c>
      <c r="D2664" s="3"/>
      <c r="E2664" s="3"/>
      <c r="F2664" s="3"/>
      <c r="G2664" s="3"/>
      <c r="H2664" s="3"/>
      <c r="I2664" s="3"/>
      <c r="J2664" s="4" t="s">
        <v>1757</v>
      </c>
    </row>
    <row r="2665">
      <c r="A2665" s="4" t="s">
        <v>7197</v>
      </c>
      <c r="B2665" s="13" t="s">
        <v>43</v>
      </c>
      <c r="D2665" s="3"/>
      <c r="E2665" s="3"/>
      <c r="F2665" s="3"/>
      <c r="G2665" s="3"/>
      <c r="H2665" s="3"/>
      <c r="I2665" s="3"/>
      <c r="J2665" s="4" t="s">
        <v>1757</v>
      </c>
    </row>
    <row r="2666">
      <c r="A2666" s="4" t="s">
        <v>7198</v>
      </c>
      <c r="B2666" s="13" t="s">
        <v>43</v>
      </c>
      <c r="D2666" s="3"/>
      <c r="E2666" s="3"/>
      <c r="F2666" s="3"/>
      <c r="G2666" s="3"/>
      <c r="H2666" s="3"/>
      <c r="I2666" s="3"/>
      <c r="J2666" s="4" t="s">
        <v>1757</v>
      </c>
    </row>
    <row r="2667">
      <c r="A2667" s="4" t="s">
        <v>7199</v>
      </c>
      <c r="B2667" s="13" t="s">
        <v>43</v>
      </c>
      <c r="D2667" s="3"/>
      <c r="E2667" s="3"/>
      <c r="F2667" s="3"/>
      <c r="G2667" s="3"/>
      <c r="H2667" s="3"/>
      <c r="I2667" s="3"/>
      <c r="J2667" s="4" t="s">
        <v>1757</v>
      </c>
    </row>
    <row r="2668">
      <c r="A2668" s="4" t="s">
        <v>7200</v>
      </c>
      <c r="B2668" s="13" t="s">
        <v>43</v>
      </c>
      <c r="D2668" s="3"/>
      <c r="E2668" s="3"/>
      <c r="F2668" s="3"/>
      <c r="G2668" s="3"/>
      <c r="H2668" s="3"/>
      <c r="I2668" s="3"/>
      <c r="J2668" s="4" t="s">
        <v>1757</v>
      </c>
    </row>
    <row r="2669">
      <c r="A2669" s="4" t="s">
        <v>7201</v>
      </c>
      <c r="B2669" s="13" t="s">
        <v>43</v>
      </c>
      <c r="D2669" s="3"/>
      <c r="E2669" s="3"/>
      <c r="F2669" s="3"/>
      <c r="G2669" s="3"/>
      <c r="H2669" s="3"/>
      <c r="I2669" s="3"/>
      <c r="J2669" s="4" t="s">
        <v>1757</v>
      </c>
    </row>
    <row r="2670">
      <c r="A2670" s="4" t="s">
        <v>7202</v>
      </c>
      <c r="B2670" s="13" t="s">
        <v>43</v>
      </c>
      <c r="D2670" s="3"/>
      <c r="E2670" s="3"/>
      <c r="F2670" s="3"/>
      <c r="G2670" s="3"/>
      <c r="H2670" s="3"/>
      <c r="I2670" s="3"/>
      <c r="J2670" s="4" t="s">
        <v>1757</v>
      </c>
    </row>
    <row r="2671">
      <c r="A2671" s="4" t="s">
        <v>7203</v>
      </c>
      <c r="B2671" s="13" t="s">
        <v>43</v>
      </c>
      <c r="D2671" s="3"/>
      <c r="E2671" s="3"/>
      <c r="F2671" s="3"/>
      <c r="G2671" s="3"/>
      <c r="H2671" s="3"/>
      <c r="I2671" s="3"/>
      <c r="J2671" s="4" t="s">
        <v>1757</v>
      </c>
    </row>
    <row r="2672">
      <c r="A2672" s="4" t="s">
        <v>7204</v>
      </c>
      <c r="B2672" s="13" t="s">
        <v>43</v>
      </c>
      <c r="D2672" s="3"/>
      <c r="E2672" s="3"/>
      <c r="F2672" s="3"/>
      <c r="G2672" s="3"/>
      <c r="H2672" s="3"/>
      <c r="I2672" s="3"/>
      <c r="J2672" s="4" t="s">
        <v>1757</v>
      </c>
    </row>
    <row r="2673">
      <c r="A2673" s="4" t="s">
        <v>7205</v>
      </c>
      <c r="B2673" s="13" t="s">
        <v>43</v>
      </c>
      <c r="D2673" s="3"/>
      <c r="E2673" s="3"/>
      <c r="F2673" s="3"/>
      <c r="G2673" s="3"/>
      <c r="H2673" s="3"/>
      <c r="I2673" s="3"/>
      <c r="J2673" s="4" t="s">
        <v>1757</v>
      </c>
    </row>
    <row r="2674">
      <c r="A2674" s="4" t="s">
        <v>7206</v>
      </c>
      <c r="B2674" s="13" t="s">
        <v>43</v>
      </c>
      <c r="D2674" s="3"/>
      <c r="E2674" s="3"/>
      <c r="F2674" s="3"/>
      <c r="G2674" s="3"/>
      <c r="H2674" s="3"/>
      <c r="I2674" s="3"/>
      <c r="J2674" s="4" t="s">
        <v>1757</v>
      </c>
    </row>
    <row r="2675">
      <c r="A2675" s="4" t="s">
        <v>7207</v>
      </c>
      <c r="B2675" s="13" t="s">
        <v>43</v>
      </c>
      <c r="D2675" s="3"/>
      <c r="E2675" s="3"/>
      <c r="F2675" s="3"/>
      <c r="G2675" s="3"/>
      <c r="H2675" s="3"/>
      <c r="I2675" s="3"/>
      <c r="J2675" s="4" t="s">
        <v>1757</v>
      </c>
    </row>
    <row r="2676">
      <c r="A2676" s="4" t="s">
        <v>7208</v>
      </c>
      <c r="B2676" s="13" t="s">
        <v>43</v>
      </c>
      <c r="D2676" s="3"/>
      <c r="E2676" s="3"/>
      <c r="F2676" s="3"/>
      <c r="G2676" s="3"/>
      <c r="H2676" s="3"/>
      <c r="I2676" s="3"/>
      <c r="J2676" s="4" t="s">
        <v>1757</v>
      </c>
    </row>
    <row r="2677">
      <c r="A2677" s="4" t="s">
        <v>7209</v>
      </c>
      <c r="B2677" s="13" t="s">
        <v>43</v>
      </c>
      <c r="D2677" s="3"/>
      <c r="E2677" s="3"/>
      <c r="F2677" s="3"/>
      <c r="G2677" s="3"/>
      <c r="H2677" s="3"/>
      <c r="I2677" s="3"/>
      <c r="J2677" s="4" t="s">
        <v>1757</v>
      </c>
    </row>
    <row r="2678">
      <c r="A2678" s="4" t="s">
        <v>7210</v>
      </c>
      <c r="B2678" s="13" t="s">
        <v>43</v>
      </c>
      <c r="D2678" s="3"/>
      <c r="E2678" s="3"/>
      <c r="F2678" s="3"/>
      <c r="G2678" s="3"/>
      <c r="H2678" s="3"/>
      <c r="I2678" s="3"/>
      <c r="J2678" s="4" t="s">
        <v>1757</v>
      </c>
    </row>
    <row r="2679">
      <c r="A2679" s="4" t="s">
        <v>7211</v>
      </c>
      <c r="B2679" s="13" t="s">
        <v>43</v>
      </c>
      <c r="D2679" s="3"/>
      <c r="E2679" s="3"/>
      <c r="F2679" s="3"/>
      <c r="G2679" s="3"/>
      <c r="H2679" s="3"/>
      <c r="I2679" s="3"/>
      <c r="J2679" s="4" t="s">
        <v>1757</v>
      </c>
    </row>
    <row r="2680">
      <c r="A2680" s="4" t="s">
        <v>7212</v>
      </c>
      <c r="B2680" s="13" t="s">
        <v>43</v>
      </c>
      <c r="D2680" s="3"/>
      <c r="E2680" s="3"/>
      <c r="F2680" s="3"/>
      <c r="G2680" s="3"/>
      <c r="H2680" s="3"/>
      <c r="I2680" s="3"/>
      <c r="J2680" s="4" t="s">
        <v>1757</v>
      </c>
    </row>
    <row r="2681">
      <c r="A2681" s="4" t="s">
        <v>7213</v>
      </c>
      <c r="B2681" s="13" t="s">
        <v>43</v>
      </c>
      <c r="D2681" s="3"/>
      <c r="E2681" s="3"/>
      <c r="F2681" s="3"/>
      <c r="G2681" s="3"/>
      <c r="H2681" s="3"/>
      <c r="I2681" s="3"/>
      <c r="J2681" s="4" t="s">
        <v>1757</v>
      </c>
    </row>
    <row r="2682">
      <c r="A2682" s="4" t="s">
        <v>7214</v>
      </c>
      <c r="B2682" s="13" t="s">
        <v>43</v>
      </c>
      <c r="D2682" s="3"/>
      <c r="E2682" s="3"/>
      <c r="F2682" s="3"/>
      <c r="G2682" s="3"/>
      <c r="H2682" s="3"/>
      <c r="I2682" s="3"/>
      <c r="J2682" s="4" t="s">
        <v>1757</v>
      </c>
    </row>
    <row r="2683">
      <c r="A2683" s="4" t="s">
        <v>7215</v>
      </c>
      <c r="B2683" s="13" t="s">
        <v>43</v>
      </c>
      <c r="D2683" s="3"/>
      <c r="E2683" s="3"/>
      <c r="F2683" s="3"/>
      <c r="G2683" s="3"/>
      <c r="H2683" s="3"/>
      <c r="I2683" s="3"/>
      <c r="J2683" s="4" t="s">
        <v>1757</v>
      </c>
    </row>
    <row r="2684">
      <c r="A2684" s="4" t="s">
        <v>7216</v>
      </c>
      <c r="B2684" s="13" t="s">
        <v>43</v>
      </c>
      <c r="D2684" s="3"/>
      <c r="E2684" s="3"/>
      <c r="F2684" s="3"/>
      <c r="G2684" s="3"/>
      <c r="H2684" s="3"/>
      <c r="I2684" s="3"/>
      <c r="J2684" s="4" t="s">
        <v>1757</v>
      </c>
    </row>
    <row r="2685">
      <c r="A2685" s="4" t="s">
        <v>7217</v>
      </c>
      <c r="B2685" s="13" t="s">
        <v>43</v>
      </c>
      <c r="D2685" s="3"/>
      <c r="E2685" s="3"/>
      <c r="F2685" s="3"/>
      <c r="G2685" s="3"/>
      <c r="H2685" s="3"/>
      <c r="I2685" s="3"/>
      <c r="J2685" s="4" t="s">
        <v>1757</v>
      </c>
    </row>
    <row r="2686">
      <c r="A2686" s="4" t="s">
        <v>7218</v>
      </c>
      <c r="B2686" s="13" t="s">
        <v>43</v>
      </c>
      <c r="D2686" s="3"/>
      <c r="E2686" s="3"/>
      <c r="F2686" s="3"/>
      <c r="G2686" s="3"/>
      <c r="H2686" s="3"/>
      <c r="I2686" s="3"/>
      <c r="J2686" s="4" t="s">
        <v>1757</v>
      </c>
    </row>
    <row r="2687">
      <c r="A2687" s="4" t="s">
        <v>7219</v>
      </c>
      <c r="B2687" s="13" t="s">
        <v>43</v>
      </c>
      <c r="D2687" s="3"/>
      <c r="E2687" s="3"/>
      <c r="F2687" s="3"/>
      <c r="G2687" s="3"/>
      <c r="H2687" s="3"/>
      <c r="I2687" s="3"/>
      <c r="J2687" s="4" t="s">
        <v>1757</v>
      </c>
    </row>
    <row r="2688">
      <c r="A2688" s="4" t="s">
        <v>7220</v>
      </c>
      <c r="B2688" s="13" t="s">
        <v>43</v>
      </c>
      <c r="D2688" s="3"/>
      <c r="E2688" s="3"/>
      <c r="F2688" s="3"/>
      <c r="G2688" s="3"/>
      <c r="H2688" s="3"/>
      <c r="I2688" s="3"/>
      <c r="J2688" s="4" t="s">
        <v>1757</v>
      </c>
    </row>
    <row r="2689">
      <c r="A2689" s="4" t="s">
        <v>7221</v>
      </c>
      <c r="B2689" s="13" t="s">
        <v>43</v>
      </c>
      <c r="D2689" s="3"/>
      <c r="E2689" s="3"/>
      <c r="F2689" s="3"/>
      <c r="G2689" s="3"/>
      <c r="H2689" s="3"/>
      <c r="I2689" s="3"/>
      <c r="J2689" s="4" t="s">
        <v>1757</v>
      </c>
    </row>
    <row r="2690">
      <c r="A2690" s="4" t="s">
        <v>7222</v>
      </c>
      <c r="B2690" s="13" t="s">
        <v>43</v>
      </c>
      <c r="D2690" s="3"/>
      <c r="E2690" s="3"/>
      <c r="F2690" s="3"/>
      <c r="G2690" s="3"/>
      <c r="H2690" s="3"/>
      <c r="I2690" s="3"/>
      <c r="J2690" s="4" t="s">
        <v>1757</v>
      </c>
    </row>
    <row r="2691">
      <c r="A2691" s="4" t="s">
        <v>7223</v>
      </c>
      <c r="B2691" s="13" t="s">
        <v>43</v>
      </c>
      <c r="D2691" s="3"/>
      <c r="E2691" s="3"/>
      <c r="F2691" s="3"/>
      <c r="G2691" s="3"/>
      <c r="H2691" s="3"/>
      <c r="I2691" s="3"/>
      <c r="J2691" s="4" t="s">
        <v>1757</v>
      </c>
    </row>
    <row r="2692">
      <c r="A2692" s="4" t="s">
        <v>7224</v>
      </c>
      <c r="B2692" s="13" t="s">
        <v>43</v>
      </c>
      <c r="D2692" s="3"/>
      <c r="E2692" s="3"/>
      <c r="F2692" s="3"/>
      <c r="G2692" s="3"/>
      <c r="H2692" s="3"/>
      <c r="I2692" s="3"/>
      <c r="J2692" s="4" t="s">
        <v>1757</v>
      </c>
    </row>
    <row r="2693">
      <c r="A2693" s="4" t="s">
        <v>7225</v>
      </c>
      <c r="B2693" s="13" t="s">
        <v>43</v>
      </c>
      <c r="D2693" s="3"/>
      <c r="E2693" s="3"/>
      <c r="F2693" s="3"/>
      <c r="G2693" s="3"/>
      <c r="H2693" s="3"/>
      <c r="I2693" s="3"/>
      <c r="J2693" s="4" t="s">
        <v>1757</v>
      </c>
    </row>
    <row r="2694">
      <c r="A2694" s="4" t="s">
        <v>7226</v>
      </c>
      <c r="B2694" s="13" t="s">
        <v>43</v>
      </c>
      <c r="D2694" s="3"/>
      <c r="E2694" s="3"/>
      <c r="F2694" s="3"/>
      <c r="G2694" s="3"/>
      <c r="H2694" s="3"/>
      <c r="I2694" s="3"/>
      <c r="J2694" s="4" t="s">
        <v>1757</v>
      </c>
    </row>
    <row r="2695">
      <c r="A2695" s="4" t="s">
        <v>7227</v>
      </c>
      <c r="B2695" s="13" t="s">
        <v>43</v>
      </c>
      <c r="D2695" s="3"/>
      <c r="E2695" s="3"/>
      <c r="F2695" s="3"/>
      <c r="G2695" s="3"/>
      <c r="H2695" s="3"/>
      <c r="I2695" s="3"/>
      <c r="J2695" s="4" t="s">
        <v>1757</v>
      </c>
    </row>
    <row r="2696">
      <c r="A2696" s="4" t="s">
        <v>7228</v>
      </c>
      <c r="B2696" s="13" t="s">
        <v>43</v>
      </c>
      <c r="D2696" s="3"/>
      <c r="E2696" s="3"/>
      <c r="F2696" s="3"/>
      <c r="G2696" s="3"/>
      <c r="H2696" s="3"/>
      <c r="I2696" s="3"/>
      <c r="J2696" s="4" t="s">
        <v>1757</v>
      </c>
    </row>
    <row r="2697">
      <c r="A2697" s="4" t="s">
        <v>7229</v>
      </c>
      <c r="B2697" s="13" t="s">
        <v>43</v>
      </c>
      <c r="D2697" s="3"/>
      <c r="E2697" s="3"/>
      <c r="F2697" s="3"/>
      <c r="G2697" s="3"/>
      <c r="H2697" s="3"/>
      <c r="I2697" s="3"/>
      <c r="J2697" s="4" t="s">
        <v>1757</v>
      </c>
    </row>
    <row r="2698">
      <c r="A2698" s="4" t="s">
        <v>7230</v>
      </c>
      <c r="B2698" s="13" t="s">
        <v>43</v>
      </c>
      <c r="D2698" s="3"/>
      <c r="E2698" s="3"/>
      <c r="F2698" s="3"/>
      <c r="G2698" s="3"/>
      <c r="H2698" s="3"/>
      <c r="I2698" s="3"/>
      <c r="J2698" s="4" t="s">
        <v>1757</v>
      </c>
    </row>
    <row r="2699">
      <c r="A2699" s="4" t="s">
        <v>7231</v>
      </c>
      <c r="B2699" s="13" t="s">
        <v>43</v>
      </c>
      <c r="D2699" s="3"/>
      <c r="E2699" s="3"/>
      <c r="F2699" s="3"/>
      <c r="G2699" s="3"/>
      <c r="H2699" s="3"/>
      <c r="I2699" s="3"/>
      <c r="J2699" s="4" t="s">
        <v>1757</v>
      </c>
    </row>
    <row r="2700">
      <c r="A2700" s="4" t="s">
        <v>7232</v>
      </c>
      <c r="B2700" s="13" t="s">
        <v>43</v>
      </c>
      <c r="D2700" s="3"/>
      <c r="E2700" s="3"/>
      <c r="F2700" s="3"/>
      <c r="G2700" s="3"/>
      <c r="H2700" s="3"/>
      <c r="I2700" s="3"/>
      <c r="J2700" s="4" t="s">
        <v>1757</v>
      </c>
    </row>
    <row r="2701">
      <c r="A2701" s="4" t="s">
        <v>7233</v>
      </c>
      <c r="B2701" s="13" t="s">
        <v>43</v>
      </c>
      <c r="D2701" s="3"/>
      <c r="E2701" s="3"/>
      <c r="F2701" s="3"/>
      <c r="G2701" s="3"/>
      <c r="H2701" s="3"/>
      <c r="I2701" s="3"/>
      <c r="J2701" s="4" t="s">
        <v>1757</v>
      </c>
    </row>
    <row r="2702">
      <c r="A2702" s="4" t="s">
        <v>7234</v>
      </c>
      <c r="B2702" s="13" t="s">
        <v>43</v>
      </c>
      <c r="D2702" s="3"/>
      <c r="E2702" s="3"/>
      <c r="F2702" s="3"/>
      <c r="G2702" s="3"/>
      <c r="H2702" s="3"/>
      <c r="I2702" s="3"/>
      <c r="J2702" s="4" t="s">
        <v>1757</v>
      </c>
    </row>
    <row r="2703">
      <c r="A2703" s="4" t="s">
        <v>7235</v>
      </c>
      <c r="B2703" s="13" t="s">
        <v>43</v>
      </c>
      <c r="D2703" s="3"/>
      <c r="E2703" s="3"/>
      <c r="F2703" s="3"/>
      <c r="G2703" s="3"/>
      <c r="H2703" s="3"/>
      <c r="I2703" s="3"/>
      <c r="J2703" s="4" t="s">
        <v>1757</v>
      </c>
    </row>
    <row r="2704">
      <c r="A2704" s="4" t="s">
        <v>7236</v>
      </c>
      <c r="B2704" s="13" t="s">
        <v>43</v>
      </c>
      <c r="D2704" s="3"/>
      <c r="E2704" s="3"/>
      <c r="F2704" s="3"/>
      <c r="G2704" s="3"/>
      <c r="H2704" s="3"/>
      <c r="I2704" s="3"/>
      <c r="J2704" s="4" t="s">
        <v>1757</v>
      </c>
    </row>
    <row r="2705">
      <c r="A2705" s="4" t="s">
        <v>7237</v>
      </c>
      <c r="B2705" s="13" t="s">
        <v>43</v>
      </c>
      <c r="D2705" s="3"/>
      <c r="E2705" s="3"/>
      <c r="F2705" s="3"/>
      <c r="G2705" s="3"/>
      <c r="H2705" s="3"/>
      <c r="I2705" s="3"/>
      <c r="J2705" s="4" t="s">
        <v>1757</v>
      </c>
    </row>
    <row r="2706">
      <c r="A2706" s="4" t="s">
        <v>7238</v>
      </c>
      <c r="B2706" s="13" t="s">
        <v>43</v>
      </c>
      <c r="D2706" s="3"/>
      <c r="E2706" s="3"/>
      <c r="F2706" s="3"/>
      <c r="G2706" s="3"/>
      <c r="H2706" s="3"/>
      <c r="I2706" s="3"/>
      <c r="J2706" s="4" t="s">
        <v>1757</v>
      </c>
    </row>
    <row r="2707">
      <c r="A2707" s="4" t="s">
        <v>7239</v>
      </c>
      <c r="B2707" s="13" t="s">
        <v>43</v>
      </c>
      <c r="D2707" s="3"/>
      <c r="E2707" s="3"/>
      <c r="F2707" s="3"/>
      <c r="G2707" s="3"/>
      <c r="H2707" s="3"/>
      <c r="I2707" s="3"/>
      <c r="J2707" s="4" t="s">
        <v>1757</v>
      </c>
    </row>
    <row r="2708">
      <c r="A2708" s="4" t="s">
        <v>7240</v>
      </c>
      <c r="B2708" s="13" t="s">
        <v>43</v>
      </c>
      <c r="D2708" s="3"/>
      <c r="E2708" s="3"/>
      <c r="F2708" s="3"/>
      <c r="G2708" s="3"/>
      <c r="H2708" s="3"/>
      <c r="I2708" s="3"/>
      <c r="J2708" s="4" t="s">
        <v>1757</v>
      </c>
    </row>
    <row r="2709">
      <c r="A2709" s="4" t="s">
        <v>7241</v>
      </c>
      <c r="B2709" s="13" t="s">
        <v>43</v>
      </c>
      <c r="D2709" s="3"/>
      <c r="E2709" s="3"/>
      <c r="F2709" s="3"/>
      <c r="G2709" s="3"/>
      <c r="H2709" s="3"/>
      <c r="I2709" s="3"/>
      <c r="J2709" s="4" t="s">
        <v>1757</v>
      </c>
    </row>
    <row r="2710">
      <c r="A2710" s="4" t="s">
        <v>7242</v>
      </c>
      <c r="B2710" s="13" t="s">
        <v>43</v>
      </c>
      <c r="D2710" s="3"/>
      <c r="E2710" s="3"/>
      <c r="F2710" s="3"/>
      <c r="G2710" s="3"/>
      <c r="H2710" s="3"/>
      <c r="I2710" s="3"/>
      <c r="J2710" s="4" t="s">
        <v>1757</v>
      </c>
    </row>
    <row r="2711">
      <c r="A2711" s="4" t="s">
        <v>7243</v>
      </c>
      <c r="B2711" s="13" t="s">
        <v>43</v>
      </c>
      <c r="D2711" s="3"/>
      <c r="E2711" s="3"/>
      <c r="F2711" s="3"/>
      <c r="G2711" s="3"/>
      <c r="H2711" s="3"/>
      <c r="I2711" s="3"/>
      <c r="J2711" s="4" t="s">
        <v>1757</v>
      </c>
    </row>
    <row r="2712">
      <c r="A2712" s="4" t="s">
        <v>7244</v>
      </c>
      <c r="B2712" s="13" t="s">
        <v>43</v>
      </c>
      <c r="D2712" s="3"/>
      <c r="E2712" s="3"/>
      <c r="F2712" s="3"/>
      <c r="G2712" s="3"/>
      <c r="H2712" s="3"/>
      <c r="I2712" s="3"/>
      <c r="J2712" s="4" t="s">
        <v>1757</v>
      </c>
    </row>
    <row r="2713">
      <c r="A2713" s="4" t="s">
        <v>7245</v>
      </c>
      <c r="B2713" s="13" t="s">
        <v>43</v>
      </c>
      <c r="D2713" s="3"/>
      <c r="E2713" s="3"/>
      <c r="F2713" s="3"/>
      <c r="G2713" s="3"/>
      <c r="H2713" s="3"/>
      <c r="I2713" s="3"/>
    </row>
    <row r="2714">
      <c r="A2714" s="4" t="s">
        <v>7246</v>
      </c>
      <c r="B2714" s="13" t="s">
        <v>43</v>
      </c>
      <c r="D2714" s="3"/>
      <c r="E2714" s="3"/>
      <c r="F2714" s="3"/>
      <c r="G2714" s="3"/>
      <c r="H2714" s="3"/>
      <c r="I2714" s="3"/>
    </row>
    <row r="2715">
      <c r="A2715" s="4" t="s">
        <v>7247</v>
      </c>
      <c r="B2715" s="13" t="s">
        <v>43</v>
      </c>
      <c r="D2715" s="3"/>
      <c r="E2715" s="3"/>
      <c r="F2715" s="3"/>
      <c r="G2715" s="3"/>
      <c r="H2715" s="3"/>
      <c r="I2715" s="3"/>
    </row>
    <row r="2716">
      <c r="A2716" s="4" t="s">
        <v>7248</v>
      </c>
      <c r="B2716" s="13" t="s">
        <v>43</v>
      </c>
      <c r="D2716" s="3"/>
      <c r="E2716" s="3"/>
      <c r="F2716" s="3"/>
      <c r="G2716" s="3"/>
      <c r="H2716" s="3"/>
      <c r="I2716" s="3"/>
    </row>
    <row r="2717">
      <c r="A2717" s="4" t="s">
        <v>7249</v>
      </c>
      <c r="B2717" s="13" t="s">
        <v>43</v>
      </c>
      <c r="D2717" s="3"/>
      <c r="E2717" s="3"/>
      <c r="F2717" s="3"/>
      <c r="G2717" s="3"/>
      <c r="H2717" s="3"/>
      <c r="I2717" s="3"/>
    </row>
    <row r="2718">
      <c r="A2718" s="4" t="s">
        <v>7250</v>
      </c>
      <c r="B2718" s="13" t="s">
        <v>43</v>
      </c>
      <c r="D2718" s="3"/>
      <c r="E2718" s="3"/>
      <c r="F2718" s="3"/>
      <c r="G2718" s="3"/>
      <c r="H2718" s="3"/>
      <c r="I2718" s="3"/>
    </row>
    <row r="2719">
      <c r="A2719" s="4" t="s">
        <v>7251</v>
      </c>
      <c r="B2719" s="13" t="s">
        <v>43</v>
      </c>
      <c r="D2719" s="3"/>
      <c r="E2719" s="3"/>
      <c r="F2719" s="3"/>
      <c r="G2719" s="3"/>
      <c r="H2719" s="3"/>
      <c r="I2719" s="3"/>
    </row>
    <row r="2720">
      <c r="A2720" s="4" t="s">
        <v>7252</v>
      </c>
      <c r="B2720" s="13" t="s">
        <v>43</v>
      </c>
      <c r="D2720" s="3"/>
      <c r="E2720" s="3"/>
      <c r="F2720" s="3"/>
      <c r="G2720" s="3"/>
      <c r="H2720" s="3"/>
      <c r="I2720" s="3"/>
    </row>
    <row r="2721">
      <c r="A2721" s="4" t="s">
        <v>7253</v>
      </c>
      <c r="B2721" s="13" t="s">
        <v>43</v>
      </c>
      <c r="D2721" s="3"/>
      <c r="E2721" s="3"/>
      <c r="F2721" s="3"/>
      <c r="G2721" s="3"/>
      <c r="H2721" s="3"/>
      <c r="I2721" s="3"/>
    </row>
    <row r="2722">
      <c r="A2722" s="4" t="s">
        <v>7254</v>
      </c>
      <c r="B2722" s="13" t="s">
        <v>43</v>
      </c>
      <c r="D2722" s="3"/>
      <c r="E2722" s="3"/>
      <c r="F2722" s="3"/>
      <c r="G2722" s="3"/>
      <c r="H2722" s="3"/>
      <c r="I2722" s="3"/>
    </row>
    <row r="2723">
      <c r="A2723" s="4" t="s">
        <v>7255</v>
      </c>
      <c r="B2723" s="13" t="s">
        <v>43</v>
      </c>
      <c r="D2723" s="3"/>
      <c r="E2723" s="3"/>
      <c r="F2723" s="3"/>
      <c r="G2723" s="3"/>
      <c r="H2723" s="3"/>
      <c r="I2723" s="3"/>
    </row>
    <row r="2724">
      <c r="A2724" s="4" t="s">
        <v>7256</v>
      </c>
      <c r="B2724" s="13" t="s">
        <v>43</v>
      </c>
      <c r="D2724" s="3"/>
      <c r="E2724" s="3"/>
      <c r="F2724" s="3"/>
      <c r="G2724" s="3"/>
      <c r="H2724" s="3"/>
      <c r="I2724" s="3"/>
    </row>
    <row r="2725">
      <c r="A2725" s="4" t="s">
        <v>7257</v>
      </c>
      <c r="B2725" s="13" t="s">
        <v>43</v>
      </c>
      <c r="D2725" s="3"/>
      <c r="E2725" s="3"/>
      <c r="F2725" s="3"/>
      <c r="G2725" s="3"/>
      <c r="H2725" s="3"/>
      <c r="I2725" s="3"/>
    </row>
    <row r="2726">
      <c r="A2726" s="4" t="s">
        <v>7258</v>
      </c>
      <c r="B2726" s="13" t="s">
        <v>43</v>
      </c>
      <c r="D2726" s="3"/>
      <c r="E2726" s="3"/>
      <c r="F2726" s="3"/>
      <c r="G2726" s="3"/>
      <c r="H2726" s="3"/>
      <c r="I2726" s="3"/>
    </row>
    <row r="2727">
      <c r="A2727" s="4" t="s">
        <v>7259</v>
      </c>
      <c r="B2727" s="13" t="s">
        <v>43</v>
      </c>
      <c r="D2727" s="3"/>
      <c r="E2727" s="3"/>
      <c r="F2727" s="3"/>
      <c r="G2727" s="3"/>
      <c r="H2727" s="3"/>
      <c r="I2727" s="3"/>
    </row>
    <row r="2728">
      <c r="A2728" s="4" t="s">
        <v>7260</v>
      </c>
      <c r="B2728" s="13" t="s">
        <v>43</v>
      </c>
      <c r="D2728" s="3"/>
      <c r="E2728" s="3"/>
      <c r="F2728" s="3"/>
      <c r="G2728" s="3"/>
      <c r="H2728" s="3"/>
      <c r="I2728" s="3"/>
    </row>
    <row r="2729">
      <c r="A2729" s="4" t="s">
        <v>7261</v>
      </c>
      <c r="B2729" s="13" t="s">
        <v>43</v>
      </c>
      <c r="D2729" s="3"/>
      <c r="E2729" s="3"/>
      <c r="F2729" s="3"/>
      <c r="G2729" s="3"/>
      <c r="H2729" s="3"/>
      <c r="I2729" s="3"/>
    </row>
    <row r="2730">
      <c r="A2730" s="4" t="s">
        <v>7262</v>
      </c>
      <c r="B2730" s="13" t="s">
        <v>43</v>
      </c>
      <c r="D2730" s="3"/>
      <c r="E2730" s="3"/>
      <c r="F2730" s="3"/>
      <c r="G2730" s="3"/>
      <c r="H2730" s="3"/>
      <c r="I2730" s="3"/>
    </row>
    <row r="2731">
      <c r="A2731" s="4" t="s">
        <v>7263</v>
      </c>
      <c r="B2731" s="13" t="s">
        <v>43</v>
      </c>
      <c r="D2731" s="3"/>
      <c r="E2731" s="3"/>
      <c r="F2731" s="3"/>
      <c r="G2731" s="3"/>
      <c r="H2731" s="3"/>
      <c r="I2731" s="3"/>
    </row>
    <row r="2732">
      <c r="A2732" s="4" t="s">
        <v>7264</v>
      </c>
      <c r="B2732" s="13" t="s">
        <v>43</v>
      </c>
      <c r="D2732" s="3"/>
      <c r="E2732" s="3"/>
      <c r="F2732" s="3"/>
      <c r="G2732" s="3"/>
      <c r="H2732" s="3"/>
      <c r="I2732" s="3"/>
    </row>
    <row r="2733">
      <c r="A2733" s="4" t="s">
        <v>7265</v>
      </c>
      <c r="B2733" s="13" t="s">
        <v>43</v>
      </c>
      <c r="D2733" s="3"/>
      <c r="E2733" s="3"/>
      <c r="F2733" s="3"/>
      <c r="G2733" s="3"/>
      <c r="H2733" s="3"/>
      <c r="I2733" s="3"/>
    </row>
    <row r="2734">
      <c r="A2734" s="4" t="s">
        <v>7266</v>
      </c>
      <c r="B2734" s="13" t="s">
        <v>43</v>
      </c>
      <c r="D2734" s="3"/>
      <c r="E2734" s="3"/>
      <c r="F2734" s="3"/>
      <c r="G2734" s="3"/>
      <c r="H2734" s="3"/>
      <c r="I2734" s="3"/>
    </row>
    <row r="2735">
      <c r="A2735" s="4" t="s">
        <v>7267</v>
      </c>
      <c r="B2735" s="13" t="s">
        <v>43</v>
      </c>
      <c r="D2735" s="3"/>
      <c r="E2735" s="3"/>
      <c r="F2735" s="3"/>
      <c r="G2735" s="3"/>
      <c r="H2735" s="3"/>
      <c r="I2735" s="3"/>
    </row>
    <row r="2736">
      <c r="A2736" s="4" t="s">
        <v>7268</v>
      </c>
      <c r="B2736" s="13" t="s">
        <v>43</v>
      </c>
      <c r="D2736" s="3"/>
      <c r="E2736" s="3"/>
      <c r="F2736" s="3"/>
      <c r="G2736" s="3"/>
      <c r="H2736" s="3"/>
      <c r="I2736" s="3"/>
    </row>
    <row r="2737">
      <c r="A2737" s="4" t="s">
        <v>7269</v>
      </c>
      <c r="B2737" s="13" t="s">
        <v>43</v>
      </c>
      <c r="D2737" s="3"/>
      <c r="E2737" s="3"/>
      <c r="F2737" s="3"/>
      <c r="G2737" s="3"/>
      <c r="H2737" s="3"/>
      <c r="I2737" s="3"/>
    </row>
    <row r="2738">
      <c r="A2738" s="4" t="s">
        <v>7270</v>
      </c>
      <c r="B2738" s="13" t="s">
        <v>43</v>
      </c>
      <c r="D2738" s="3"/>
      <c r="E2738" s="3"/>
      <c r="F2738" s="3"/>
      <c r="G2738" s="3"/>
      <c r="H2738" s="3"/>
      <c r="I2738" s="3"/>
    </row>
    <row r="2739">
      <c r="A2739" s="4" t="s">
        <v>7271</v>
      </c>
      <c r="B2739" s="13" t="s">
        <v>43</v>
      </c>
      <c r="D2739" s="3"/>
      <c r="E2739" s="3"/>
      <c r="F2739" s="3"/>
      <c r="G2739" s="3"/>
      <c r="H2739" s="3"/>
      <c r="I2739" s="3"/>
    </row>
    <row r="2740">
      <c r="A2740" s="4" t="s">
        <v>7272</v>
      </c>
      <c r="B2740" s="13" t="s">
        <v>43</v>
      </c>
      <c r="D2740" s="3"/>
      <c r="E2740" s="3"/>
      <c r="F2740" s="3"/>
      <c r="G2740" s="3"/>
      <c r="H2740" s="3"/>
      <c r="I2740" s="3"/>
    </row>
    <row r="2741">
      <c r="A2741" s="4" t="s">
        <v>7273</v>
      </c>
      <c r="B2741" s="13" t="s">
        <v>43</v>
      </c>
      <c r="D2741" s="3"/>
      <c r="E2741" s="3"/>
      <c r="F2741" s="3"/>
      <c r="G2741" s="3"/>
      <c r="H2741" s="3"/>
      <c r="I2741" s="3"/>
    </row>
    <row r="2742">
      <c r="A2742" s="4" t="s">
        <v>7274</v>
      </c>
      <c r="B2742" s="13" t="s">
        <v>43</v>
      </c>
      <c r="D2742" s="3"/>
      <c r="E2742" s="3"/>
      <c r="F2742" s="3"/>
      <c r="G2742" s="3"/>
      <c r="H2742" s="3"/>
      <c r="I2742" s="3"/>
    </row>
    <row r="2743">
      <c r="A2743" s="4" t="s">
        <v>7275</v>
      </c>
      <c r="B2743" s="13" t="s">
        <v>43</v>
      </c>
      <c r="D2743" s="3"/>
      <c r="E2743" s="3"/>
      <c r="F2743" s="3"/>
      <c r="G2743" s="3"/>
      <c r="H2743" s="3"/>
      <c r="I2743" s="3"/>
    </row>
    <row r="2744">
      <c r="A2744" s="4" t="s">
        <v>7276</v>
      </c>
      <c r="B2744" s="13" t="s">
        <v>43</v>
      </c>
      <c r="D2744" s="3"/>
      <c r="E2744" s="3"/>
      <c r="F2744" s="3"/>
      <c r="G2744" s="3"/>
      <c r="H2744" s="3"/>
      <c r="I2744" s="3"/>
    </row>
    <row r="2745">
      <c r="A2745" s="4" t="s">
        <v>7277</v>
      </c>
      <c r="B2745" s="13" t="s">
        <v>43</v>
      </c>
      <c r="D2745" s="3"/>
      <c r="E2745" s="3"/>
      <c r="F2745" s="3"/>
      <c r="G2745" s="3"/>
      <c r="H2745" s="3"/>
      <c r="I2745" s="3"/>
    </row>
    <row r="2746">
      <c r="A2746" s="4" t="s">
        <v>7278</v>
      </c>
      <c r="B2746" s="13" t="s">
        <v>43</v>
      </c>
      <c r="D2746" s="3"/>
      <c r="E2746" s="3"/>
      <c r="F2746" s="3"/>
      <c r="G2746" s="3"/>
      <c r="H2746" s="3"/>
      <c r="I2746" s="3"/>
    </row>
    <row r="2747">
      <c r="A2747" s="4" t="s">
        <v>7279</v>
      </c>
      <c r="B2747" s="13" t="s">
        <v>43</v>
      </c>
      <c r="D2747" s="3"/>
      <c r="E2747" s="3"/>
      <c r="F2747" s="3"/>
      <c r="G2747" s="3"/>
      <c r="H2747" s="3"/>
      <c r="I2747" s="3"/>
    </row>
    <row r="2748">
      <c r="A2748" s="4" t="s">
        <v>7280</v>
      </c>
      <c r="B2748" s="13" t="s">
        <v>43</v>
      </c>
      <c r="D2748" s="3"/>
      <c r="E2748" s="3"/>
      <c r="F2748" s="3"/>
      <c r="G2748" s="3"/>
      <c r="H2748" s="3"/>
      <c r="I2748" s="3"/>
    </row>
    <row r="2749">
      <c r="A2749" s="4" t="s">
        <v>7281</v>
      </c>
      <c r="B2749" s="13" t="s">
        <v>43</v>
      </c>
      <c r="D2749" s="3"/>
      <c r="E2749" s="3"/>
      <c r="F2749" s="3"/>
      <c r="G2749" s="3"/>
      <c r="H2749" s="3"/>
      <c r="I2749" s="3"/>
    </row>
    <row r="2750">
      <c r="A2750" s="4" t="s">
        <v>7282</v>
      </c>
      <c r="B2750" s="13" t="s">
        <v>43</v>
      </c>
      <c r="D2750" s="3"/>
      <c r="E2750" s="3"/>
      <c r="F2750" s="3"/>
      <c r="G2750" s="3"/>
      <c r="H2750" s="3"/>
      <c r="I2750" s="3"/>
    </row>
    <row r="2751">
      <c r="A2751" s="4" t="s">
        <v>7283</v>
      </c>
      <c r="B2751" s="13" t="s">
        <v>43</v>
      </c>
      <c r="D2751" s="3"/>
      <c r="E2751" s="3"/>
      <c r="F2751" s="3"/>
      <c r="G2751" s="3"/>
      <c r="H2751" s="3"/>
      <c r="I2751" s="3"/>
    </row>
    <row r="2752">
      <c r="A2752" s="4" t="s">
        <v>7284</v>
      </c>
      <c r="B2752" s="13" t="s">
        <v>43</v>
      </c>
      <c r="D2752" s="3"/>
      <c r="E2752" s="3"/>
      <c r="F2752" s="3"/>
      <c r="G2752" s="3"/>
      <c r="H2752" s="3"/>
      <c r="I2752" s="3"/>
    </row>
    <row r="2753">
      <c r="A2753" s="4" t="s">
        <v>7285</v>
      </c>
      <c r="B2753" s="13" t="s">
        <v>43</v>
      </c>
      <c r="D2753" s="3"/>
      <c r="E2753" s="3"/>
      <c r="F2753" s="3"/>
      <c r="G2753" s="3"/>
      <c r="H2753" s="3"/>
      <c r="I2753" s="3"/>
    </row>
    <row r="2754">
      <c r="A2754" s="4" t="s">
        <v>7286</v>
      </c>
      <c r="B2754" s="13" t="s">
        <v>43</v>
      </c>
      <c r="D2754" s="3"/>
      <c r="E2754" s="3"/>
      <c r="F2754" s="3"/>
      <c r="G2754" s="3"/>
      <c r="H2754" s="3"/>
      <c r="I2754" s="3"/>
    </row>
    <row r="2755">
      <c r="A2755" s="4" t="s">
        <v>7287</v>
      </c>
      <c r="B2755" s="13" t="s">
        <v>43</v>
      </c>
      <c r="D2755" s="3"/>
      <c r="E2755" s="3"/>
      <c r="F2755" s="3"/>
      <c r="G2755" s="3"/>
      <c r="H2755" s="3"/>
      <c r="I2755" s="3"/>
    </row>
    <row r="2756">
      <c r="A2756" s="4" t="s">
        <v>7288</v>
      </c>
      <c r="B2756" s="13" t="s">
        <v>43</v>
      </c>
      <c r="D2756" s="3"/>
      <c r="E2756" s="3"/>
      <c r="F2756" s="3"/>
      <c r="G2756" s="3"/>
      <c r="H2756" s="3"/>
      <c r="I2756" s="3"/>
    </row>
    <row r="2757">
      <c r="A2757" s="4" t="s">
        <v>7289</v>
      </c>
      <c r="B2757" s="13" t="s">
        <v>43</v>
      </c>
      <c r="D2757" s="3"/>
      <c r="E2757" s="3"/>
      <c r="F2757" s="3"/>
      <c r="G2757" s="3"/>
      <c r="H2757" s="3"/>
      <c r="I2757" s="3"/>
    </row>
    <row r="2758">
      <c r="A2758" s="4" t="s">
        <v>7290</v>
      </c>
      <c r="B2758" s="13" t="s">
        <v>43</v>
      </c>
      <c r="D2758" s="3"/>
      <c r="E2758" s="3"/>
      <c r="F2758" s="3"/>
      <c r="G2758" s="3"/>
      <c r="H2758" s="3"/>
      <c r="I2758" s="3"/>
    </row>
    <row r="2759">
      <c r="A2759" s="4" t="s">
        <v>7291</v>
      </c>
      <c r="B2759" s="13" t="s">
        <v>43</v>
      </c>
      <c r="D2759" s="3"/>
      <c r="E2759" s="3"/>
      <c r="F2759" s="3"/>
      <c r="G2759" s="3"/>
      <c r="H2759" s="3"/>
      <c r="I2759" s="3"/>
    </row>
    <row r="2760">
      <c r="A2760" s="4" t="s">
        <v>7292</v>
      </c>
      <c r="B2760" s="13" t="s">
        <v>43</v>
      </c>
      <c r="D2760" s="3"/>
      <c r="E2760" s="3"/>
      <c r="F2760" s="3"/>
      <c r="G2760" s="3"/>
      <c r="H2760" s="3"/>
      <c r="I2760" s="3"/>
    </row>
    <row r="2761">
      <c r="A2761" s="4" t="s">
        <v>7293</v>
      </c>
      <c r="B2761" s="13" t="s">
        <v>43</v>
      </c>
      <c r="D2761" s="3"/>
      <c r="E2761" s="3"/>
      <c r="F2761" s="3"/>
      <c r="G2761" s="3"/>
      <c r="H2761" s="3"/>
      <c r="I2761" s="3"/>
    </row>
    <row r="2762">
      <c r="A2762" s="4" t="s">
        <v>7294</v>
      </c>
      <c r="B2762" s="13" t="s">
        <v>43</v>
      </c>
      <c r="D2762" s="3"/>
      <c r="E2762" s="3"/>
      <c r="F2762" s="3"/>
      <c r="G2762" s="3"/>
      <c r="H2762" s="3"/>
      <c r="I2762" s="3"/>
    </row>
    <row r="2763">
      <c r="A2763" s="4" t="s">
        <v>7295</v>
      </c>
      <c r="B2763" s="13" t="s">
        <v>43</v>
      </c>
      <c r="D2763" s="3"/>
      <c r="E2763" s="3"/>
      <c r="F2763" s="3"/>
      <c r="G2763" s="3"/>
      <c r="H2763" s="3"/>
      <c r="I2763" s="3"/>
    </row>
    <row r="2764">
      <c r="A2764" s="4" t="s">
        <v>7296</v>
      </c>
      <c r="B2764" s="13" t="s">
        <v>43</v>
      </c>
      <c r="D2764" s="3"/>
      <c r="E2764" s="3"/>
      <c r="F2764" s="3"/>
      <c r="G2764" s="3"/>
      <c r="H2764" s="3"/>
      <c r="I2764" s="3"/>
    </row>
    <row r="2765">
      <c r="A2765" s="4" t="s">
        <v>7297</v>
      </c>
      <c r="B2765" s="19" t="s">
        <v>48</v>
      </c>
      <c r="C2765" s="4">
        <v>1.0</v>
      </c>
      <c r="D2765" s="3"/>
      <c r="E2765" s="4">
        <v>2.0</v>
      </c>
      <c r="F2765" s="3"/>
      <c r="G2765" s="3"/>
      <c r="H2765" s="3"/>
      <c r="I2765" s="3"/>
    </row>
    <row r="2766">
      <c r="A2766" s="4" t="s">
        <v>7298</v>
      </c>
      <c r="B2766" s="13" t="s">
        <v>43</v>
      </c>
      <c r="C2766" s="4">
        <v>1.0</v>
      </c>
      <c r="D2766" s="3"/>
      <c r="E2766" s="4">
        <v>2.0</v>
      </c>
      <c r="F2766" s="3"/>
      <c r="G2766" s="3"/>
      <c r="H2766" s="3"/>
      <c r="I2766" s="3"/>
    </row>
    <row r="2767">
      <c r="A2767" s="4" t="s">
        <v>7299</v>
      </c>
      <c r="B2767" s="13" t="s">
        <v>43</v>
      </c>
      <c r="C2767" s="4">
        <v>1.0</v>
      </c>
      <c r="D2767" s="3"/>
      <c r="E2767" s="4">
        <v>2.0</v>
      </c>
      <c r="F2767" s="3"/>
      <c r="G2767" s="3"/>
      <c r="H2767" s="3"/>
      <c r="I2767" s="3"/>
    </row>
    <row r="2768">
      <c r="A2768" s="4" t="s">
        <v>7300</v>
      </c>
      <c r="B2768" s="13" t="s">
        <v>43</v>
      </c>
      <c r="C2768" s="4">
        <v>1.0</v>
      </c>
      <c r="D2768" s="3"/>
      <c r="E2768" s="4">
        <v>2.0</v>
      </c>
      <c r="F2768" s="3"/>
      <c r="G2768" s="3"/>
      <c r="H2768" s="3"/>
      <c r="I2768" s="3"/>
    </row>
    <row r="2769">
      <c r="A2769" s="4" t="s">
        <v>7301</v>
      </c>
      <c r="B2769" s="13" t="s">
        <v>48</v>
      </c>
      <c r="C2769" s="4">
        <v>2.0</v>
      </c>
      <c r="D2769" s="3"/>
      <c r="E2769" s="4">
        <v>2.0</v>
      </c>
      <c r="F2769" s="3"/>
      <c r="G2769" s="3"/>
      <c r="H2769" s="4">
        <v>13.0</v>
      </c>
      <c r="I2769" s="3"/>
    </row>
    <row r="2770">
      <c r="A2770" s="4" t="s">
        <v>7302</v>
      </c>
      <c r="B2770" s="13" t="s">
        <v>48</v>
      </c>
      <c r="C2770" s="4">
        <v>2.0</v>
      </c>
      <c r="D2770" s="3"/>
      <c r="E2770" s="4">
        <v>2.0</v>
      </c>
      <c r="F2770" s="3"/>
      <c r="G2770" s="3"/>
      <c r="H2770" s="4">
        <v>13.0</v>
      </c>
      <c r="I2770" s="3"/>
    </row>
    <row r="2771">
      <c r="A2771" s="4" t="s">
        <v>7303</v>
      </c>
      <c r="B2771" s="13" t="s">
        <v>48</v>
      </c>
      <c r="C2771" s="4">
        <v>2.0</v>
      </c>
      <c r="D2771" s="3"/>
      <c r="E2771" s="4">
        <v>2.0</v>
      </c>
      <c r="F2771" s="3"/>
      <c r="G2771" s="3"/>
      <c r="H2771" s="4">
        <v>13.0</v>
      </c>
      <c r="I2771" s="3"/>
    </row>
    <row r="2772">
      <c r="A2772" s="4" t="s">
        <v>7304</v>
      </c>
      <c r="B2772" s="13" t="s">
        <v>48</v>
      </c>
      <c r="C2772" s="4">
        <v>2.0</v>
      </c>
      <c r="D2772" s="3"/>
      <c r="E2772" s="4">
        <v>2.0</v>
      </c>
      <c r="F2772" s="3"/>
      <c r="G2772" s="3"/>
      <c r="H2772" s="4">
        <v>13.0</v>
      </c>
      <c r="I2772" s="3"/>
    </row>
    <row r="2773">
      <c r="A2773" s="4" t="s">
        <v>7305</v>
      </c>
      <c r="B2773" s="13" t="s">
        <v>48</v>
      </c>
      <c r="C2773" s="4">
        <v>2.0</v>
      </c>
      <c r="D2773" s="3"/>
      <c r="E2773" s="4">
        <v>2.0</v>
      </c>
      <c r="F2773" s="3"/>
      <c r="G2773" s="3"/>
      <c r="H2773" s="4">
        <v>13.0</v>
      </c>
      <c r="I2773" s="3"/>
    </row>
    <row r="2774">
      <c r="A2774" s="4" t="s">
        <v>7306</v>
      </c>
      <c r="B2774" s="13" t="s">
        <v>48</v>
      </c>
      <c r="C2774" s="4">
        <v>2.0</v>
      </c>
      <c r="D2774" s="3"/>
      <c r="E2774" s="4">
        <v>2.0</v>
      </c>
      <c r="F2774" s="3"/>
      <c r="G2774" s="3"/>
      <c r="H2774" s="4">
        <v>13.0</v>
      </c>
      <c r="I2774" s="3"/>
    </row>
    <row r="2775">
      <c r="A2775" s="4" t="s">
        <v>7307</v>
      </c>
      <c r="B2775" s="13" t="s">
        <v>48</v>
      </c>
      <c r="C2775" s="4">
        <v>2.0</v>
      </c>
      <c r="D2775" s="3"/>
      <c r="E2775" s="4">
        <v>2.0</v>
      </c>
      <c r="F2775" s="3"/>
      <c r="G2775" s="3"/>
      <c r="H2775" s="4">
        <v>13.0</v>
      </c>
      <c r="I2775" s="3"/>
      <c r="J2775" s="4" t="s">
        <v>1757</v>
      </c>
    </row>
    <row r="2776">
      <c r="A2776" s="4" t="s">
        <v>7308</v>
      </c>
      <c r="B2776" s="13" t="s">
        <v>48</v>
      </c>
      <c r="C2776" s="4">
        <v>2.0</v>
      </c>
      <c r="D2776" s="3"/>
      <c r="E2776" s="4">
        <v>2.0</v>
      </c>
      <c r="F2776" s="3"/>
      <c r="G2776" s="3"/>
      <c r="H2776" s="4">
        <v>13.0</v>
      </c>
      <c r="I2776" s="3"/>
      <c r="J2776" s="4" t="s">
        <v>1757</v>
      </c>
    </row>
    <row r="2777">
      <c r="A2777" s="4" t="s">
        <v>7309</v>
      </c>
      <c r="B2777" s="13" t="s">
        <v>48</v>
      </c>
      <c r="C2777" s="4">
        <v>2.0</v>
      </c>
      <c r="D2777" s="3"/>
      <c r="E2777" s="4">
        <v>2.0</v>
      </c>
      <c r="F2777" s="3"/>
      <c r="G2777" s="3"/>
      <c r="H2777" s="4">
        <v>13.0</v>
      </c>
      <c r="I2777" s="3"/>
      <c r="J2777" s="4" t="s">
        <v>1757</v>
      </c>
    </row>
    <row r="2778">
      <c r="A2778" s="4" t="s">
        <v>7310</v>
      </c>
      <c r="B2778" s="13" t="s">
        <v>48</v>
      </c>
      <c r="C2778" s="4">
        <v>2.0</v>
      </c>
      <c r="D2778" s="3"/>
      <c r="E2778" s="4">
        <v>2.0</v>
      </c>
      <c r="F2778" s="3"/>
      <c r="G2778" s="3"/>
      <c r="H2778" s="4">
        <v>13.0</v>
      </c>
      <c r="I2778" s="3"/>
      <c r="J2778" s="4" t="s">
        <v>1757</v>
      </c>
    </row>
    <row r="2779">
      <c r="A2779" s="4" t="s">
        <v>7311</v>
      </c>
      <c r="B2779" s="13" t="s">
        <v>48</v>
      </c>
      <c r="C2779" s="4">
        <v>2.0</v>
      </c>
      <c r="D2779" s="3"/>
      <c r="E2779" s="4">
        <v>2.0</v>
      </c>
      <c r="F2779" s="3"/>
      <c r="G2779" s="3"/>
      <c r="H2779" s="4">
        <v>13.0</v>
      </c>
      <c r="I2779" s="3"/>
      <c r="J2779" s="4" t="s">
        <v>1757</v>
      </c>
    </row>
    <row r="2780">
      <c r="A2780" s="4" t="s">
        <v>7312</v>
      </c>
      <c r="B2780" s="13" t="s">
        <v>48</v>
      </c>
      <c r="C2780" s="4">
        <v>2.0</v>
      </c>
      <c r="D2780" s="3"/>
      <c r="E2780" s="4">
        <v>2.0</v>
      </c>
      <c r="F2780" s="3"/>
      <c r="G2780" s="3"/>
      <c r="H2780" s="4">
        <v>13.0</v>
      </c>
      <c r="I2780" s="3"/>
      <c r="J2780" s="4" t="s">
        <v>1757</v>
      </c>
    </row>
    <row r="2781">
      <c r="A2781" s="4" t="s">
        <v>7313</v>
      </c>
      <c r="B2781" s="13" t="s">
        <v>48</v>
      </c>
      <c r="C2781" s="4">
        <v>2.0</v>
      </c>
      <c r="D2781" s="3"/>
      <c r="E2781" s="4">
        <v>2.0</v>
      </c>
      <c r="F2781" s="3"/>
      <c r="G2781" s="3"/>
      <c r="H2781" s="4">
        <v>13.0</v>
      </c>
      <c r="I2781" s="3"/>
      <c r="J2781" s="4" t="s">
        <v>1757</v>
      </c>
    </row>
    <row r="2782">
      <c r="A2782" s="4" t="s">
        <v>7314</v>
      </c>
      <c r="B2782" s="13" t="s">
        <v>48</v>
      </c>
      <c r="C2782" s="4">
        <v>2.0</v>
      </c>
      <c r="D2782" s="3"/>
      <c r="E2782" s="4">
        <v>2.0</v>
      </c>
      <c r="F2782" s="3"/>
      <c r="G2782" s="3"/>
      <c r="H2782" s="4">
        <v>13.0</v>
      </c>
      <c r="I2782" s="3"/>
    </row>
    <row r="2783">
      <c r="A2783" s="4" t="s">
        <v>7315</v>
      </c>
      <c r="B2783" s="13" t="s">
        <v>48</v>
      </c>
      <c r="C2783" s="4">
        <v>2.0</v>
      </c>
      <c r="D2783" s="3"/>
      <c r="E2783" s="4">
        <v>2.0</v>
      </c>
      <c r="F2783" s="3"/>
      <c r="G2783" s="3"/>
      <c r="H2783" s="4">
        <v>13.0</v>
      </c>
      <c r="I2783" s="3"/>
    </row>
    <row r="2784">
      <c r="A2784" s="4" t="s">
        <v>7316</v>
      </c>
      <c r="B2784" s="13" t="s">
        <v>48</v>
      </c>
      <c r="C2784" s="4">
        <v>2.0</v>
      </c>
      <c r="D2784" s="3"/>
      <c r="E2784" s="4">
        <v>2.0</v>
      </c>
      <c r="F2784" s="3"/>
      <c r="G2784" s="3"/>
      <c r="H2784" s="4">
        <v>13.0</v>
      </c>
      <c r="I2784" s="3"/>
    </row>
    <row r="2785">
      <c r="A2785" s="4" t="s">
        <v>7317</v>
      </c>
      <c r="B2785" s="13" t="s">
        <v>48</v>
      </c>
      <c r="C2785" s="4">
        <v>2.0</v>
      </c>
      <c r="D2785" s="3"/>
      <c r="E2785" s="4">
        <v>2.0</v>
      </c>
      <c r="F2785" s="3"/>
      <c r="G2785" s="3"/>
      <c r="H2785" s="4">
        <v>13.0</v>
      </c>
      <c r="I2785" s="3"/>
    </row>
    <row r="2786">
      <c r="A2786" s="4" t="s">
        <v>7318</v>
      </c>
      <c r="B2786" s="13" t="s">
        <v>48</v>
      </c>
      <c r="C2786" s="4">
        <v>2.0</v>
      </c>
      <c r="D2786" s="3"/>
      <c r="E2786" s="4">
        <v>2.0</v>
      </c>
      <c r="F2786" s="3"/>
      <c r="G2786" s="3"/>
      <c r="H2786" s="4">
        <v>13.0</v>
      </c>
      <c r="I2786" s="3"/>
    </row>
    <row r="2787">
      <c r="A2787" s="4" t="s">
        <v>7319</v>
      </c>
      <c r="B2787" s="13" t="s">
        <v>48</v>
      </c>
      <c r="C2787" s="4">
        <v>2.0</v>
      </c>
      <c r="D2787" s="3"/>
      <c r="E2787" s="4">
        <v>2.0</v>
      </c>
      <c r="F2787" s="3"/>
      <c r="G2787" s="3"/>
      <c r="H2787" s="4">
        <v>13.0</v>
      </c>
      <c r="I2787" s="3"/>
    </row>
    <row r="2788">
      <c r="A2788" s="4" t="s">
        <v>7320</v>
      </c>
      <c r="B2788" s="13" t="s">
        <v>48</v>
      </c>
      <c r="C2788" s="4">
        <v>2.0</v>
      </c>
      <c r="D2788" s="3"/>
      <c r="E2788" s="4">
        <v>2.0</v>
      </c>
      <c r="F2788" s="3"/>
      <c r="G2788" s="3"/>
      <c r="H2788" s="4">
        <v>13.0</v>
      </c>
      <c r="I2788" s="3"/>
    </row>
    <row r="2789">
      <c r="A2789" s="4" t="s">
        <v>7321</v>
      </c>
      <c r="B2789" s="13" t="s">
        <v>48</v>
      </c>
      <c r="C2789" s="4">
        <v>2.0</v>
      </c>
      <c r="D2789" s="3"/>
      <c r="E2789" s="4">
        <v>2.0</v>
      </c>
      <c r="F2789" s="3"/>
      <c r="G2789" s="3"/>
      <c r="H2789" s="4">
        <v>13.0</v>
      </c>
      <c r="I2789" s="3"/>
    </row>
    <row r="2790">
      <c r="A2790" s="4" t="s">
        <v>7322</v>
      </c>
      <c r="B2790" s="13" t="s">
        <v>48</v>
      </c>
      <c r="C2790" s="4">
        <v>2.0</v>
      </c>
      <c r="D2790" s="3"/>
      <c r="E2790" s="4">
        <v>2.0</v>
      </c>
      <c r="F2790" s="3"/>
      <c r="G2790" s="3"/>
      <c r="H2790" s="4">
        <v>13.0</v>
      </c>
      <c r="I2790" s="3"/>
    </row>
    <row r="2791">
      <c r="A2791" s="4" t="s">
        <v>7323</v>
      </c>
      <c r="B2791" s="13" t="s">
        <v>48</v>
      </c>
      <c r="C2791" s="4">
        <v>2.0</v>
      </c>
      <c r="D2791" s="3"/>
      <c r="E2791" s="4">
        <v>2.0</v>
      </c>
      <c r="F2791" s="3"/>
      <c r="G2791" s="3"/>
      <c r="H2791" s="4">
        <v>13.0</v>
      </c>
      <c r="I2791" s="3"/>
    </row>
    <row r="2792">
      <c r="A2792" s="4" t="s">
        <v>7324</v>
      </c>
      <c r="B2792" s="13" t="s">
        <v>48</v>
      </c>
      <c r="C2792" s="4">
        <v>2.0</v>
      </c>
      <c r="D2792" s="3"/>
      <c r="E2792" s="4">
        <v>2.0</v>
      </c>
      <c r="F2792" s="3"/>
      <c r="G2792" s="3"/>
      <c r="H2792" s="4">
        <v>13.0</v>
      </c>
      <c r="I2792" s="3"/>
      <c r="J2792" s="4" t="s">
        <v>1757</v>
      </c>
    </row>
    <row r="2793">
      <c r="A2793" s="4" t="s">
        <v>7325</v>
      </c>
      <c r="B2793" s="13" t="s">
        <v>48</v>
      </c>
      <c r="C2793" s="4">
        <v>2.0</v>
      </c>
      <c r="D2793" s="3"/>
      <c r="E2793" s="4">
        <v>2.0</v>
      </c>
      <c r="F2793" s="3"/>
      <c r="G2793" s="3"/>
      <c r="H2793" s="4">
        <v>13.0</v>
      </c>
      <c r="I2793" s="3"/>
      <c r="J2793" s="4" t="s">
        <v>1757</v>
      </c>
    </row>
    <row r="2794">
      <c r="A2794" s="4" t="s">
        <v>7326</v>
      </c>
      <c r="B2794" s="13" t="s">
        <v>48</v>
      </c>
      <c r="C2794" s="4">
        <v>2.0</v>
      </c>
      <c r="D2794" s="3"/>
      <c r="E2794" s="4">
        <v>2.0</v>
      </c>
      <c r="F2794" s="3"/>
      <c r="G2794" s="3"/>
      <c r="H2794" s="4">
        <v>13.0</v>
      </c>
      <c r="I2794" s="3"/>
      <c r="J2794" s="4" t="s">
        <v>1757</v>
      </c>
    </row>
    <row r="2795">
      <c r="A2795" s="4" t="s">
        <v>7327</v>
      </c>
      <c r="B2795" s="13" t="s">
        <v>48</v>
      </c>
      <c r="C2795" s="4">
        <v>2.0</v>
      </c>
      <c r="D2795" s="3"/>
      <c r="E2795" s="4">
        <v>2.0</v>
      </c>
      <c r="F2795" s="3"/>
      <c r="G2795" s="3"/>
      <c r="H2795" s="4">
        <v>13.0</v>
      </c>
      <c r="I2795" s="3"/>
      <c r="J2795" s="4" t="s">
        <v>1757</v>
      </c>
    </row>
    <row r="2796">
      <c r="A2796" s="4" t="s">
        <v>7328</v>
      </c>
      <c r="B2796" s="13" t="s">
        <v>48</v>
      </c>
      <c r="C2796" s="4">
        <v>2.0</v>
      </c>
      <c r="D2796" s="3"/>
      <c r="E2796" s="4">
        <v>2.0</v>
      </c>
      <c r="F2796" s="3"/>
      <c r="G2796" s="3"/>
      <c r="H2796" s="4">
        <v>13.0</v>
      </c>
      <c r="I2796" s="3"/>
      <c r="J2796" s="4" t="s">
        <v>1757</v>
      </c>
    </row>
    <row r="2797">
      <c r="A2797" s="4" t="s">
        <v>7329</v>
      </c>
      <c r="B2797" s="13" t="s">
        <v>43</v>
      </c>
      <c r="D2797" s="3"/>
      <c r="E2797" s="3"/>
      <c r="F2797" s="3"/>
      <c r="G2797" s="3"/>
      <c r="H2797" s="3"/>
      <c r="I2797" s="3"/>
      <c r="J2797" s="4" t="s">
        <v>1757</v>
      </c>
    </row>
    <row r="2798">
      <c r="A2798" s="4" t="s">
        <v>7330</v>
      </c>
      <c r="B2798" s="13" t="s">
        <v>43</v>
      </c>
      <c r="D2798" s="3"/>
      <c r="E2798" s="3"/>
      <c r="F2798" s="3"/>
      <c r="G2798" s="3"/>
      <c r="H2798" s="3"/>
      <c r="I2798" s="3"/>
      <c r="J2798" s="4" t="s">
        <v>1757</v>
      </c>
    </row>
    <row r="2799">
      <c r="A2799" s="4" t="s">
        <v>7331</v>
      </c>
      <c r="B2799" s="27" t="s">
        <v>4536</v>
      </c>
    </row>
    <row r="2800">
      <c r="A2800" s="4" t="s">
        <v>7332</v>
      </c>
      <c r="B2800" s="27" t="s">
        <v>4536</v>
      </c>
    </row>
    <row r="2801">
      <c r="A2801" s="4" t="s">
        <v>7333</v>
      </c>
      <c r="B2801" s="27" t="s">
        <v>4536</v>
      </c>
    </row>
    <row r="2802">
      <c r="A2802" s="4" t="s">
        <v>7334</v>
      </c>
      <c r="B2802" s="27" t="s">
        <v>4536</v>
      </c>
    </row>
    <row r="2803">
      <c r="A2803" s="4" t="s">
        <v>7335</v>
      </c>
      <c r="B2803" s="27" t="s">
        <v>4536</v>
      </c>
    </row>
    <row r="2804">
      <c r="A2804" s="4" t="s">
        <v>7336</v>
      </c>
      <c r="B2804" s="27" t="s">
        <v>4536</v>
      </c>
    </row>
    <row r="2805">
      <c r="A2805" s="4" t="s">
        <v>7337</v>
      </c>
      <c r="B2805" s="27" t="s">
        <v>4536</v>
      </c>
    </row>
    <row r="2806">
      <c r="A2806" s="4" t="s">
        <v>7338</v>
      </c>
      <c r="B2806" s="27" t="s">
        <v>4536</v>
      </c>
    </row>
    <row r="2807">
      <c r="A2807" s="4" t="s">
        <v>7339</v>
      </c>
      <c r="B2807" s="27" t="s">
        <v>4536</v>
      </c>
    </row>
    <row r="2808">
      <c r="A2808" s="4" t="s">
        <v>7340</v>
      </c>
      <c r="B2808" s="27" t="s">
        <v>4536</v>
      </c>
    </row>
    <row r="2809">
      <c r="A2809" s="4" t="s">
        <v>7341</v>
      </c>
      <c r="B2809" s="27" t="s">
        <v>4536</v>
      </c>
    </row>
    <row r="2810">
      <c r="A2810" s="4" t="s">
        <v>7342</v>
      </c>
      <c r="B2810" s="27" t="s">
        <v>4536</v>
      </c>
    </row>
    <row r="2811">
      <c r="A2811" s="4" t="s">
        <v>7343</v>
      </c>
      <c r="B2811" s="27" t="s">
        <v>4536</v>
      </c>
    </row>
    <row r="2812">
      <c r="A2812" s="4" t="s">
        <v>7344</v>
      </c>
      <c r="B2812" s="27" t="s">
        <v>4536</v>
      </c>
    </row>
    <row r="2813">
      <c r="A2813" s="4" t="s">
        <v>7345</v>
      </c>
      <c r="B2813" s="27" t="s">
        <v>4536</v>
      </c>
    </row>
    <row r="2814">
      <c r="A2814" s="4" t="s">
        <v>7346</v>
      </c>
      <c r="B2814" s="27" t="s">
        <v>4536</v>
      </c>
    </row>
    <row r="2815">
      <c r="A2815" s="4" t="s">
        <v>7347</v>
      </c>
      <c r="B2815" s="27" t="s">
        <v>4536</v>
      </c>
    </row>
    <row r="2816">
      <c r="A2816" s="4" t="s">
        <v>7348</v>
      </c>
      <c r="B2816" s="27" t="s">
        <v>4536</v>
      </c>
    </row>
    <row r="2817">
      <c r="A2817" s="4" t="s">
        <v>7349</v>
      </c>
      <c r="B2817" s="27" t="s">
        <v>4536</v>
      </c>
    </row>
    <row r="2818">
      <c r="A2818" s="4" t="s">
        <v>7350</v>
      </c>
      <c r="B2818" s="27" t="s">
        <v>4536</v>
      </c>
    </row>
    <row r="2819">
      <c r="A2819" s="4" t="s">
        <v>7351</v>
      </c>
      <c r="B2819" s="27" t="s">
        <v>4536</v>
      </c>
    </row>
    <row r="2820">
      <c r="A2820" s="4" t="s">
        <v>7352</v>
      </c>
      <c r="B2820" s="27" t="s">
        <v>4536</v>
      </c>
    </row>
    <row r="2821">
      <c r="A2821" s="4" t="s">
        <v>7353</v>
      </c>
      <c r="B2821" s="27" t="s">
        <v>4536</v>
      </c>
    </row>
    <row r="2822">
      <c r="A2822" s="4" t="s">
        <v>7354</v>
      </c>
      <c r="B2822" s="27" t="s">
        <v>4536</v>
      </c>
    </row>
    <row r="2823">
      <c r="A2823" s="4" t="s">
        <v>7355</v>
      </c>
      <c r="B2823" s="27" t="s">
        <v>4536</v>
      </c>
    </row>
    <row r="2824">
      <c r="A2824" s="4" t="s">
        <v>7356</v>
      </c>
      <c r="B2824" s="27" t="s">
        <v>4536</v>
      </c>
    </row>
    <row r="2825">
      <c r="A2825" s="4" t="s">
        <v>7357</v>
      </c>
      <c r="B2825" s="27" t="s">
        <v>4536</v>
      </c>
    </row>
    <row r="2826">
      <c r="A2826" s="4" t="s">
        <v>7358</v>
      </c>
      <c r="B2826" s="27" t="s">
        <v>4536</v>
      </c>
    </row>
    <row r="2827">
      <c r="A2827" s="4" t="s">
        <v>7359</v>
      </c>
      <c r="B2827" s="27" t="s">
        <v>4536</v>
      </c>
    </row>
    <row r="2828">
      <c r="A2828" s="4" t="s">
        <v>7360</v>
      </c>
      <c r="B2828" s="27" t="s">
        <v>4536</v>
      </c>
    </row>
    <row r="2829">
      <c r="A2829" s="4" t="s">
        <v>7361</v>
      </c>
      <c r="B2829" s="27" t="s">
        <v>4536</v>
      </c>
    </row>
    <row r="2830">
      <c r="A2830" s="4" t="s">
        <v>7362</v>
      </c>
      <c r="B2830" s="27" t="s">
        <v>4536</v>
      </c>
    </row>
    <row r="2831">
      <c r="A2831" s="4" t="s">
        <v>7363</v>
      </c>
      <c r="B2831" s="27" t="s">
        <v>4536</v>
      </c>
    </row>
    <row r="2832">
      <c r="A2832" s="4" t="s">
        <v>7364</v>
      </c>
      <c r="B2832" s="27" t="s">
        <v>4536</v>
      </c>
    </row>
    <row r="2833">
      <c r="A2833" s="4" t="s">
        <v>7365</v>
      </c>
      <c r="B2833" s="27" t="s">
        <v>4536</v>
      </c>
    </row>
    <row r="2834">
      <c r="A2834" s="4" t="s">
        <v>7366</v>
      </c>
      <c r="B2834" s="27" t="s">
        <v>4536</v>
      </c>
    </row>
    <row r="2835">
      <c r="A2835" s="4" t="s">
        <v>7367</v>
      </c>
      <c r="B2835" s="27" t="s">
        <v>4536</v>
      </c>
    </row>
    <row r="2836">
      <c r="A2836" s="4" t="s">
        <v>7368</v>
      </c>
      <c r="B2836" s="27" t="s">
        <v>4536</v>
      </c>
    </row>
    <row r="2837">
      <c r="A2837" s="4" t="s">
        <v>7369</v>
      </c>
      <c r="B2837" s="27" t="s">
        <v>4536</v>
      </c>
    </row>
    <row r="2838">
      <c r="A2838" s="4" t="s">
        <v>7370</v>
      </c>
      <c r="B2838" s="27" t="s">
        <v>4536</v>
      </c>
    </row>
    <row r="2839">
      <c r="A2839" s="4" t="s">
        <v>7371</v>
      </c>
      <c r="B2839" s="27" t="s">
        <v>4536</v>
      </c>
    </row>
    <row r="2840">
      <c r="A2840" s="4" t="s">
        <v>7372</v>
      </c>
      <c r="B2840" s="27" t="s">
        <v>4536</v>
      </c>
    </row>
    <row r="2841">
      <c r="A2841" s="4" t="s">
        <v>7373</v>
      </c>
      <c r="B2841" s="27" t="s">
        <v>4536</v>
      </c>
    </row>
    <row r="2842">
      <c r="A2842" s="4" t="s">
        <v>7374</v>
      </c>
      <c r="B2842" s="27" t="s">
        <v>4536</v>
      </c>
    </row>
    <row r="2843">
      <c r="A2843" s="4" t="s">
        <v>7375</v>
      </c>
      <c r="B2843" s="27" t="s">
        <v>4536</v>
      </c>
    </row>
    <row r="2844">
      <c r="A2844" s="4" t="s">
        <v>7376</v>
      </c>
      <c r="B2844" s="27" t="s">
        <v>4536</v>
      </c>
    </row>
    <row r="2845">
      <c r="A2845" s="4" t="s">
        <v>7377</v>
      </c>
      <c r="B2845" s="27" t="s">
        <v>4536</v>
      </c>
    </row>
    <row r="2846">
      <c r="A2846" s="4" t="s">
        <v>7378</v>
      </c>
      <c r="B2846" s="27" t="s">
        <v>4536</v>
      </c>
    </row>
    <row r="2847">
      <c r="A2847" s="4" t="s">
        <v>7379</v>
      </c>
      <c r="B2847" s="27" t="s">
        <v>4536</v>
      </c>
    </row>
    <row r="2848">
      <c r="A2848" s="4" t="s">
        <v>7380</v>
      </c>
      <c r="B2848" s="27" t="s">
        <v>4536</v>
      </c>
    </row>
    <row r="2849">
      <c r="A2849" s="4" t="s">
        <v>7381</v>
      </c>
      <c r="B2849" s="27" t="s">
        <v>4536</v>
      </c>
    </row>
    <row r="2850">
      <c r="A2850" s="4" t="s">
        <v>7382</v>
      </c>
      <c r="B2850" s="27" t="s">
        <v>4536</v>
      </c>
    </row>
    <row r="2851">
      <c r="A2851" s="4" t="s">
        <v>7383</v>
      </c>
      <c r="B2851" s="27" t="s">
        <v>4536</v>
      </c>
    </row>
    <row r="2852">
      <c r="A2852" s="4" t="s">
        <v>7384</v>
      </c>
      <c r="B2852" s="27" t="s">
        <v>4536</v>
      </c>
    </row>
    <row r="2853">
      <c r="A2853" s="4" t="s">
        <v>7385</v>
      </c>
      <c r="B2853" s="27" t="s">
        <v>4536</v>
      </c>
    </row>
    <row r="2854">
      <c r="A2854" s="4" t="s">
        <v>7386</v>
      </c>
      <c r="B2854" s="27" t="s">
        <v>4536</v>
      </c>
    </row>
    <row r="2855">
      <c r="A2855" s="4" t="s">
        <v>7387</v>
      </c>
      <c r="B2855" s="27" t="s">
        <v>4536</v>
      </c>
    </row>
    <row r="2856">
      <c r="A2856" s="4" t="s">
        <v>7388</v>
      </c>
      <c r="B2856" s="27" t="s">
        <v>4536</v>
      </c>
    </row>
    <row r="2857">
      <c r="A2857" s="4" t="s">
        <v>7389</v>
      </c>
      <c r="B2857" s="27" t="s">
        <v>4536</v>
      </c>
    </row>
    <row r="2858">
      <c r="A2858" s="4" t="s">
        <v>7390</v>
      </c>
      <c r="B2858" s="27" t="s">
        <v>4536</v>
      </c>
    </row>
    <row r="2859">
      <c r="A2859" s="4" t="s">
        <v>7391</v>
      </c>
      <c r="B2859" s="27" t="s">
        <v>4536</v>
      </c>
    </row>
    <row r="2860">
      <c r="A2860" s="4" t="s">
        <v>7392</v>
      </c>
      <c r="B2860" s="27" t="s">
        <v>4536</v>
      </c>
    </row>
    <row r="2861">
      <c r="A2861" s="4" t="s">
        <v>7393</v>
      </c>
      <c r="B2861" s="27" t="s">
        <v>4536</v>
      </c>
    </row>
    <row r="2862">
      <c r="A2862" s="4" t="s">
        <v>7394</v>
      </c>
      <c r="B2862" s="27" t="s">
        <v>4536</v>
      </c>
    </row>
    <row r="2863">
      <c r="A2863" s="4" t="s">
        <v>7395</v>
      </c>
      <c r="B2863" s="27" t="s">
        <v>4536</v>
      </c>
    </row>
    <row r="2864">
      <c r="A2864" s="4" t="s">
        <v>7396</v>
      </c>
      <c r="B2864" s="27" t="s">
        <v>4536</v>
      </c>
    </row>
    <row r="2865">
      <c r="A2865" s="4" t="s">
        <v>7397</v>
      </c>
      <c r="B2865" s="27" t="s">
        <v>4536</v>
      </c>
    </row>
    <row r="2866">
      <c r="A2866" s="4" t="s">
        <v>7398</v>
      </c>
      <c r="B2866" s="27" t="s">
        <v>4536</v>
      </c>
    </row>
    <row r="2867">
      <c r="A2867" s="4" t="s">
        <v>7399</v>
      </c>
      <c r="B2867" s="27" t="s">
        <v>4536</v>
      </c>
    </row>
    <row r="2868">
      <c r="A2868" s="4" t="s">
        <v>7400</v>
      </c>
      <c r="B2868" s="27" t="s">
        <v>4536</v>
      </c>
    </row>
    <row r="2869">
      <c r="A2869" s="4" t="s">
        <v>7401</v>
      </c>
      <c r="B2869" s="27" t="s">
        <v>4536</v>
      </c>
    </row>
    <row r="2870">
      <c r="A2870" s="4" t="s">
        <v>7402</v>
      </c>
      <c r="B2870" s="27" t="s">
        <v>4536</v>
      </c>
    </row>
    <row r="2871">
      <c r="A2871" s="4" t="s">
        <v>7403</v>
      </c>
      <c r="B2871" s="27" t="s">
        <v>4536</v>
      </c>
    </row>
    <row r="2872">
      <c r="A2872" s="4" t="s">
        <v>7404</v>
      </c>
      <c r="B2872" s="27" t="s">
        <v>4536</v>
      </c>
    </row>
    <row r="2873">
      <c r="A2873" s="4" t="s">
        <v>7405</v>
      </c>
      <c r="B2873" s="27" t="s">
        <v>4536</v>
      </c>
    </row>
    <row r="2874">
      <c r="A2874" s="4" t="s">
        <v>7406</v>
      </c>
      <c r="B2874" s="27" t="s">
        <v>4536</v>
      </c>
    </row>
    <row r="2875">
      <c r="A2875" s="4" t="s">
        <v>7407</v>
      </c>
      <c r="B2875" s="27" t="s">
        <v>4536</v>
      </c>
    </row>
    <row r="2876">
      <c r="A2876" s="4" t="s">
        <v>7408</v>
      </c>
      <c r="B2876" s="27" t="s">
        <v>4536</v>
      </c>
    </row>
    <row r="2877">
      <c r="A2877" s="4" t="s">
        <v>7409</v>
      </c>
      <c r="B2877" s="27" t="s">
        <v>4536</v>
      </c>
    </row>
    <row r="2878">
      <c r="A2878" s="4" t="s">
        <v>7410</v>
      </c>
      <c r="B2878" s="27" t="s">
        <v>4536</v>
      </c>
    </row>
    <row r="2879">
      <c r="A2879" s="4" t="s">
        <v>7411</v>
      </c>
      <c r="B2879" s="27" t="s">
        <v>4536</v>
      </c>
    </row>
    <row r="2880">
      <c r="A2880" s="4" t="s">
        <v>7412</v>
      </c>
      <c r="B2880" s="27" t="s">
        <v>4536</v>
      </c>
    </row>
    <row r="2881">
      <c r="A2881" s="4" t="s">
        <v>7413</v>
      </c>
      <c r="B2881" s="27" t="s">
        <v>4536</v>
      </c>
    </row>
    <row r="2882">
      <c r="A2882" s="4" t="s">
        <v>7414</v>
      </c>
      <c r="B2882" s="27" t="s">
        <v>4536</v>
      </c>
    </row>
    <row r="2883">
      <c r="A2883" s="4" t="s">
        <v>7415</v>
      </c>
      <c r="B2883" s="27" t="s">
        <v>4536</v>
      </c>
    </row>
    <row r="2884">
      <c r="A2884" s="4" t="s">
        <v>7416</v>
      </c>
      <c r="B2884" s="27" t="s">
        <v>4536</v>
      </c>
    </row>
    <row r="2885">
      <c r="A2885" s="4" t="s">
        <v>7417</v>
      </c>
      <c r="B2885" s="27" t="s">
        <v>4536</v>
      </c>
    </row>
    <row r="2886">
      <c r="A2886" s="4" t="s">
        <v>7418</v>
      </c>
      <c r="B2886" s="27" t="s">
        <v>4536</v>
      </c>
    </row>
    <row r="2887">
      <c r="A2887" s="4" t="s">
        <v>7419</v>
      </c>
      <c r="B2887" s="27" t="s">
        <v>4536</v>
      </c>
    </row>
    <row r="2888">
      <c r="A2888" s="4" t="s">
        <v>7420</v>
      </c>
      <c r="B2888" s="27" t="s">
        <v>4536</v>
      </c>
    </row>
    <row r="2889">
      <c r="A2889" s="4" t="s">
        <v>7421</v>
      </c>
      <c r="B2889" s="27" t="s">
        <v>4536</v>
      </c>
    </row>
    <row r="2890">
      <c r="A2890" s="4" t="s">
        <v>7422</v>
      </c>
      <c r="B2890" s="27" t="s">
        <v>4536</v>
      </c>
    </row>
    <row r="2891">
      <c r="A2891" s="4" t="s">
        <v>7423</v>
      </c>
      <c r="B2891" s="27" t="s">
        <v>4536</v>
      </c>
    </row>
    <row r="2892">
      <c r="A2892" s="4" t="s">
        <v>7424</v>
      </c>
      <c r="B2892" s="27" t="s">
        <v>4536</v>
      </c>
    </row>
    <row r="2893">
      <c r="A2893" s="4" t="s">
        <v>7425</v>
      </c>
      <c r="B2893" s="27" t="s">
        <v>4536</v>
      </c>
    </row>
    <row r="2894">
      <c r="A2894" s="4" t="s">
        <v>7426</v>
      </c>
      <c r="B2894" s="27" t="s">
        <v>4536</v>
      </c>
    </row>
    <row r="2895">
      <c r="A2895" s="4" t="s">
        <v>7427</v>
      </c>
      <c r="B2895" s="27" t="s">
        <v>4536</v>
      </c>
    </row>
    <row r="2896">
      <c r="A2896" s="4" t="s">
        <v>7428</v>
      </c>
      <c r="B2896" s="27" t="s">
        <v>4536</v>
      </c>
    </row>
    <row r="2897">
      <c r="A2897" s="4" t="s">
        <v>7429</v>
      </c>
      <c r="B2897" s="27" t="s">
        <v>4536</v>
      </c>
    </row>
    <row r="2898">
      <c r="A2898" s="4" t="s">
        <v>7430</v>
      </c>
      <c r="B2898" s="27" t="s">
        <v>4536</v>
      </c>
    </row>
    <row r="2899">
      <c r="A2899" s="4" t="s">
        <v>7431</v>
      </c>
      <c r="B2899" s="27" t="s">
        <v>4536</v>
      </c>
    </row>
    <row r="2900">
      <c r="A2900" s="4" t="s">
        <v>7432</v>
      </c>
      <c r="B2900" s="27" t="s">
        <v>4536</v>
      </c>
    </row>
    <row r="2901">
      <c r="A2901" s="4" t="s">
        <v>7433</v>
      </c>
      <c r="B2901" s="27" t="s">
        <v>4536</v>
      </c>
    </row>
    <row r="2902">
      <c r="A2902" s="4" t="s">
        <v>7434</v>
      </c>
      <c r="B2902" s="27" t="s">
        <v>4536</v>
      </c>
    </row>
    <row r="2903">
      <c r="A2903" s="4" t="s">
        <v>7435</v>
      </c>
      <c r="B2903" s="27" t="s">
        <v>4536</v>
      </c>
    </row>
    <row r="2904">
      <c r="A2904" s="4" t="s">
        <v>7436</v>
      </c>
      <c r="B2904" s="27" t="s">
        <v>4536</v>
      </c>
    </row>
    <row r="2905">
      <c r="A2905" s="4" t="s">
        <v>7437</v>
      </c>
      <c r="B2905" s="27" t="s">
        <v>4536</v>
      </c>
    </row>
    <row r="2906">
      <c r="A2906" s="4" t="s">
        <v>7438</v>
      </c>
      <c r="B2906" s="27" t="s">
        <v>4536</v>
      </c>
    </row>
    <row r="2907">
      <c r="A2907" s="4" t="s">
        <v>7439</v>
      </c>
      <c r="B2907" s="27" t="s">
        <v>4536</v>
      </c>
    </row>
    <row r="2908">
      <c r="A2908" s="4" t="s">
        <v>7440</v>
      </c>
      <c r="B2908" s="27" t="s">
        <v>4536</v>
      </c>
    </row>
    <row r="2909">
      <c r="A2909" s="4" t="s">
        <v>7441</v>
      </c>
      <c r="B2909" s="27" t="s">
        <v>4536</v>
      </c>
    </row>
    <row r="2910">
      <c r="A2910" s="4" t="s">
        <v>7442</v>
      </c>
      <c r="B2910" s="27" t="s">
        <v>4536</v>
      </c>
    </row>
    <row r="2911">
      <c r="A2911" s="4" t="s">
        <v>7443</v>
      </c>
      <c r="B2911" s="27" t="s">
        <v>4536</v>
      </c>
    </row>
    <row r="2912">
      <c r="A2912" s="4" t="s">
        <v>7444</v>
      </c>
      <c r="B2912" s="27" t="s">
        <v>4536</v>
      </c>
    </row>
    <row r="2913">
      <c r="A2913" s="4" t="s">
        <v>7445</v>
      </c>
      <c r="B2913" s="27" t="s">
        <v>4536</v>
      </c>
    </row>
    <row r="2914">
      <c r="A2914" s="4" t="s">
        <v>7446</v>
      </c>
      <c r="B2914" s="27" t="s">
        <v>4536</v>
      </c>
    </row>
    <row r="2915">
      <c r="A2915" s="4" t="s">
        <v>7447</v>
      </c>
      <c r="B2915" s="27" t="s">
        <v>4536</v>
      </c>
    </row>
    <row r="2916">
      <c r="A2916" s="4" t="s">
        <v>7448</v>
      </c>
      <c r="B2916" s="27" t="s">
        <v>4536</v>
      </c>
    </row>
    <row r="2917">
      <c r="A2917" s="4" t="s">
        <v>7449</v>
      </c>
      <c r="B2917" s="27" t="s">
        <v>4536</v>
      </c>
    </row>
    <row r="2918">
      <c r="A2918" s="4" t="s">
        <v>7450</v>
      </c>
      <c r="B2918" s="27" t="s">
        <v>4536</v>
      </c>
    </row>
    <row r="2919">
      <c r="A2919" s="4" t="s">
        <v>7451</v>
      </c>
      <c r="B2919" s="27" t="s">
        <v>4536</v>
      </c>
    </row>
    <row r="2920">
      <c r="A2920" s="4" t="s">
        <v>7452</v>
      </c>
      <c r="B2920" s="27" t="s">
        <v>4536</v>
      </c>
    </row>
    <row r="2921">
      <c r="A2921" s="4" t="s">
        <v>7453</v>
      </c>
      <c r="B2921" s="27" t="s">
        <v>4536</v>
      </c>
    </row>
    <row r="2922">
      <c r="A2922" s="4" t="s">
        <v>7454</v>
      </c>
      <c r="B2922" s="27" t="s">
        <v>4536</v>
      </c>
    </row>
    <row r="2923">
      <c r="A2923" s="4" t="s">
        <v>7455</v>
      </c>
      <c r="B2923" s="27" t="s">
        <v>4536</v>
      </c>
    </row>
    <row r="2924">
      <c r="A2924" s="4" t="s">
        <v>7456</v>
      </c>
      <c r="B2924" s="27" t="s">
        <v>4536</v>
      </c>
    </row>
    <row r="2925">
      <c r="A2925" s="4" t="s">
        <v>7457</v>
      </c>
      <c r="B2925" s="27" t="s">
        <v>4536</v>
      </c>
    </row>
    <row r="2926">
      <c r="A2926" s="4" t="s">
        <v>7458</v>
      </c>
      <c r="B2926" s="27" t="s">
        <v>4536</v>
      </c>
    </row>
    <row r="2927">
      <c r="A2927" s="4" t="s">
        <v>7459</v>
      </c>
      <c r="B2927" s="27" t="s">
        <v>4536</v>
      </c>
    </row>
    <row r="2928">
      <c r="A2928" s="4" t="s">
        <v>7460</v>
      </c>
      <c r="B2928" s="27" t="s">
        <v>4536</v>
      </c>
    </row>
    <row r="2929">
      <c r="A2929" s="4" t="s">
        <v>7461</v>
      </c>
      <c r="B2929" s="27" t="s">
        <v>4536</v>
      </c>
    </row>
    <row r="2930">
      <c r="A2930" s="4" t="s">
        <v>7462</v>
      </c>
      <c r="B2930" s="27" t="s">
        <v>4536</v>
      </c>
    </row>
    <row r="2931">
      <c r="A2931" s="4" t="s">
        <v>7463</v>
      </c>
      <c r="B2931" s="27" t="s">
        <v>4536</v>
      </c>
    </row>
    <row r="2932">
      <c r="A2932" s="4" t="s">
        <v>7464</v>
      </c>
      <c r="B2932" s="27" t="s">
        <v>4536</v>
      </c>
    </row>
    <row r="2933">
      <c r="A2933" s="4" t="s">
        <v>7465</v>
      </c>
      <c r="B2933" s="27" t="s">
        <v>4536</v>
      </c>
    </row>
    <row r="2934">
      <c r="A2934" s="4" t="s">
        <v>7466</v>
      </c>
      <c r="B2934" s="27" t="s">
        <v>4536</v>
      </c>
    </row>
    <row r="2935">
      <c r="A2935" s="4" t="s">
        <v>7467</v>
      </c>
      <c r="B2935" s="27" t="s">
        <v>4536</v>
      </c>
    </row>
    <row r="2936">
      <c r="A2936" s="4" t="s">
        <v>7468</v>
      </c>
      <c r="B2936" s="27" t="s">
        <v>4536</v>
      </c>
    </row>
    <row r="2937">
      <c r="A2937" s="4" t="s">
        <v>7469</v>
      </c>
      <c r="B2937" s="27" t="s">
        <v>4536</v>
      </c>
    </row>
    <row r="2938">
      <c r="A2938" s="4" t="s">
        <v>7470</v>
      </c>
      <c r="B2938" s="27" t="s">
        <v>4536</v>
      </c>
    </row>
    <row r="2939">
      <c r="A2939" s="4" t="s">
        <v>7471</v>
      </c>
      <c r="B2939" s="27" t="s">
        <v>4536</v>
      </c>
    </row>
    <row r="2940">
      <c r="A2940" s="4" t="s">
        <v>7472</v>
      </c>
      <c r="B2940" s="27" t="s">
        <v>4536</v>
      </c>
    </row>
    <row r="2941">
      <c r="A2941" s="4" t="s">
        <v>7473</v>
      </c>
      <c r="B2941" s="27" t="s">
        <v>4536</v>
      </c>
    </row>
    <row r="2942">
      <c r="A2942" s="4" t="s">
        <v>7474</v>
      </c>
      <c r="B2942" s="27" t="s">
        <v>4536</v>
      </c>
    </row>
    <row r="2943">
      <c r="A2943" s="4" t="s">
        <v>7475</v>
      </c>
      <c r="B2943" s="27" t="s">
        <v>4536</v>
      </c>
    </row>
    <row r="2944">
      <c r="A2944" s="4" t="s">
        <v>7476</v>
      </c>
      <c r="B2944" s="27" t="s">
        <v>4536</v>
      </c>
    </row>
    <row r="2945">
      <c r="A2945" s="4" t="s">
        <v>7477</v>
      </c>
      <c r="B2945" s="27" t="s">
        <v>4536</v>
      </c>
    </row>
    <row r="2946">
      <c r="A2946" s="4" t="s">
        <v>7478</v>
      </c>
      <c r="B2946" s="27" t="s">
        <v>4536</v>
      </c>
    </row>
    <row r="2947">
      <c r="A2947" s="4" t="s">
        <v>7479</v>
      </c>
      <c r="B2947" s="27" t="s">
        <v>4536</v>
      </c>
    </row>
    <row r="2948">
      <c r="A2948" s="4" t="s">
        <v>7480</v>
      </c>
      <c r="B2948" s="27" t="s">
        <v>4536</v>
      </c>
    </row>
    <row r="2949">
      <c r="A2949" s="4" t="s">
        <v>7481</v>
      </c>
      <c r="B2949" s="27" t="s">
        <v>4536</v>
      </c>
    </row>
    <row r="2950">
      <c r="A2950" s="4" t="s">
        <v>7482</v>
      </c>
      <c r="B2950" s="27" t="s">
        <v>4536</v>
      </c>
    </row>
    <row r="2951">
      <c r="A2951" s="4" t="s">
        <v>7483</v>
      </c>
      <c r="B2951" s="27" t="s">
        <v>4536</v>
      </c>
    </row>
    <row r="2952">
      <c r="A2952" s="4" t="s">
        <v>7484</v>
      </c>
      <c r="B2952" s="27" t="s">
        <v>4536</v>
      </c>
    </row>
    <row r="2953">
      <c r="A2953" s="4" t="s">
        <v>7485</v>
      </c>
      <c r="B2953" s="27" t="s">
        <v>4536</v>
      </c>
    </row>
    <row r="2954">
      <c r="A2954" s="4" t="s">
        <v>7486</v>
      </c>
      <c r="B2954" s="27" t="s">
        <v>4536</v>
      </c>
    </row>
    <row r="2955">
      <c r="A2955" s="4" t="s">
        <v>7487</v>
      </c>
      <c r="B2955" s="27" t="s">
        <v>4536</v>
      </c>
    </row>
    <row r="2956">
      <c r="A2956" s="4" t="s">
        <v>7488</v>
      </c>
      <c r="B2956" s="27" t="s">
        <v>4536</v>
      </c>
    </row>
    <row r="2957">
      <c r="A2957" s="4" t="s">
        <v>7489</v>
      </c>
      <c r="B2957" s="27" t="s">
        <v>4536</v>
      </c>
    </row>
    <row r="2958">
      <c r="A2958" s="4" t="s">
        <v>7490</v>
      </c>
      <c r="B2958" s="27" t="s">
        <v>4536</v>
      </c>
    </row>
    <row r="2959">
      <c r="A2959" s="4" t="s">
        <v>7491</v>
      </c>
      <c r="B2959" s="27" t="s">
        <v>4536</v>
      </c>
    </row>
    <row r="2960">
      <c r="A2960" s="4" t="s">
        <v>7492</v>
      </c>
      <c r="B2960" s="27" t="s">
        <v>4536</v>
      </c>
    </row>
    <row r="2961">
      <c r="A2961" s="4" t="s">
        <v>7493</v>
      </c>
      <c r="B2961" s="27" t="s">
        <v>4536</v>
      </c>
    </row>
    <row r="2962">
      <c r="A2962" s="4" t="s">
        <v>7494</v>
      </c>
      <c r="B2962" s="27" t="s">
        <v>4536</v>
      </c>
    </row>
    <row r="2963">
      <c r="A2963" s="4" t="s">
        <v>7495</v>
      </c>
      <c r="B2963" s="27" t="s">
        <v>4536</v>
      </c>
    </row>
    <row r="2964">
      <c r="A2964" s="4" t="s">
        <v>7496</v>
      </c>
      <c r="B2964" s="27" t="s">
        <v>4536</v>
      </c>
    </row>
    <row r="2965">
      <c r="A2965" s="4" t="s">
        <v>7497</v>
      </c>
      <c r="B2965" s="27" t="s">
        <v>4536</v>
      </c>
    </row>
    <row r="2966">
      <c r="A2966" s="4" t="s">
        <v>7498</v>
      </c>
      <c r="B2966" s="27" t="s">
        <v>4536</v>
      </c>
    </row>
    <row r="2967">
      <c r="A2967" s="4" t="s">
        <v>7499</v>
      </c>
      <c r="B2967" s="27" t="s">
        <v>4536</v>
      </c>
    </row>
    <row r="2968">
      <c r="A2968" s="4" t="s">
        <v>7500</v>
      </c>
      <c r="B2968" s="27" t="s">
        <v>4536</v>
      </c>
    </row>
    <row r="2969">
      <c r="A2969" s="4" t="s">
        <v>7501</v>
      </c>
      <c r="B2969" s="27" t="s">
        <v>4536</v>
      </c>
    </row>
    <row r="2970">
      <c r="A2970" s="4" t="s">
        <v>7502</v>
      </c>
      <c r="B2970" s="27" t="s">
        <v>4536</v>
      </c>
    </row>
    <row r="2971">
      <c r="A2971" s="4" t="s">
        <v>7503</v>
      </c>
      <c r="B2971" s="27" t="s">
        <v>4536</v>
      </c>
    </row>
    <row r="2972">
      <c r="A2972" s="4" t="s">
        <v>7504</v>
      </c>
      <c r="B2972" s="27" t="s">
        <v>4536</v>
      </c>
    </row>
    <row r="2973">
      <c r="A2973" s="4" t="s">
        <v>7505</v>
      </c>
      <c r="B2973" s="27" t="s">
        <v>4536</v>
      </c>
    </row>
    <row r="2974">
      <c r="A2974" s="4" t="s">
        <v>7506</v>
      </c>
      <c r="B2974" s="27" t="s">
        <v>4536</v>
      </c>
    </row>
    <row r="2975">
      <c r="A2975" s="4" t="s">
        <v>7507</v>
      </c>
      <c r="B2975" s="27" t="s">
        <v>4536</v>
      </c>
    </row>
    <row r="2976">
      <c r="A2976" s="4" t="s">
        <v>7508</v>
      </c>
      <c r="B2976" s="27" t="s">
        <v>4536</v>
      </c>
    </row>
    <row r="2977">
      <c r="A2977" s="4" t="s">
        <v>7509</v>
      </c>
      <c r="B2977" s="27" t="s">
        <v>4536</v>
      </c>
    </row>
    <row r="2978">
      <c r="A2978" s="4" t="s">
        <v>7510</v>
      </c>
      <c r="B2978" s="27" t="s">
        <v>4536</v>
      </c>
    </row>
    <row r="2979">
      <c r="A2979" s="4" t="s">
        <v>7511</v>
      </c>
      <c r="B2979" s="27" t="s">
        <v>4536</v>
      </c>
    </row>
    <row r="2980">
      <c r="A2980" s="4" t="s">
        <v>7512</v>
      </c>
      <c r="B2980" s="28" t="s">
        <v>7513</v>
      </c>
    </row>
    <row r="2981">
      <c r="A2981" s="4" t="s">
        <v>7514</v>
      </c>
      <c r="B2981" s="28" t="s">
        <v>7513</v>
      </c>
    </row>
    <row r="2982">
      <c r="A2982" s="4" t="s">
        <v>7515</v>
      </c>
      <c r="B2982" s="28" t="s">
        <v>7513</v>
      </c>
    </row>
    <row r="2983">
      <c r="A2983" s="4" t="s">
        <v>7516</v>
      </c>
      <c r="B2983" s="28" t="s">
        <v>7513</v>
      </c>
    </row>
    <row r="2984">
      <c r="A2984" s="4" t="s">
        <v>7517</v>
      </c>
      <c r="B2984" s="28" t="s">
        <v>7513</v>
      </c>
    </row>
    <row r="2985">
      <c r="A2985" s="4" t="s">
        <v>7518</v>
      </c>
      <c r="B2985" s="28" t="s">
        <v>7513</v>
      </c>
    </row>
    <row r="2986">
      <c r="A2986" s="4" t="s">
        <v>7519</v>
      </c>
      <c r="B2986" s="28" t="s">
        <v>7513</v>
      </c>
    </row>
    <row r="2987">
      <c r="A2987" s="4" t="s">
        <v>7520</v>
      </c>
      <c r="B2987" s="28" t="s">
        <v>7513</v>
      </c>
    </row>
    <row r="2988">
      <c r="A2988" s="4" t="s">
        <v>7521</v>
      </c>
      <c r="B2988" s="28" t="s">
        <v>7513</v>
      </c>
    </row>
    <row r="2989">
      <c r="A2989" s="4" t="s">
        <v>7522</v>
      </c>
      <c r="B2989" s="28" t="s">
        <v>7513</v>
      </c>
    </row>
    <row r="2990">
      <c r="A2990" s="4" t="s">
        <v>7523</v>
      </c>
      <c r="B2990" s="28" t="s">
        <v>7513</v>
      </c>
    </row>
    <row r="2991">
      <c r="A2991" s="4" t="s">
        <v>7524</v>
      </c>
      <c r="B2991" s="28" t="s">
        <v>7513</v>
      </c>
    </row>
    <row r="2992">
      <c r="A2992" s="4" t="s">
        <v>7525</v>
      </c>
      <c r="B2992" s="28" t="s">
        <v>7513</v>
      </c>
    </row>
    <row r="2993">
      <c r="A2993" s="4" t="s">
        <v>7526</v>
      </c>
      <c r="B2993" s="28" t="s">
        <v>7513</v>
      </c>
    </row>
    <row r="2994">
      <c r="A2994" s="4" t="s">
        <v>7527</v>
      </c>
      <c r="B2994" s="28" t="s">
        <v>7513</v>
      </c>
    </row>
    <row r="2995">
      <c r="A2995" s="4" t="s">
        <v>7528</v>
      </c>
      <c r="B2995" s="28" t="s">
        <v>7513</v>
      </c>
    </row>
    <row r="2996">
      <c r="A2996" s="4" t="s">
        <v>7529</v>
      </c>
      <c r="B2996" s="28" t="s">
        <v>7513</v>
      </c>
    </row>
    <row r="2997">
      <c r="A2997" s="4" t="s">
        <v>7530</v>
      </c>
      <c r="B2997" s="28" t="s">
        <v>7513</v>
      </c>
    </row>
    <row r="2998">
      <c r="A2998" s="4" t="s">
        <v>7531</v>
      </c>
      <c r="B2998" s="28" t="s">
        <v>7513</v>
      </c>
    </row>
    <row r="2999">
      <c r="A2999" s="4" t="s">
        <v>7532</v>
      </c>
      <c r="B2999" s="28" t="s">
        <v>7513</v>
      </c>
    </row>
    <row r="3000">
      <c r="A3000" s="4" t="s">
        <v>7533</v>
      </c>
      <c r="B3000" s="28" t="s">
        <v>7513</v>
      </c>
    </row>
    <row r="3001">
      <c r="A3001" s="4" t="s">
        <v>7534</v>
      </c>
      <c r="B3001" s="28" t="s">
        <v>7513</v>
      </c>
    </row>
    <row r="3002">
      <c r="A3002" s="4" t="s">
        <v>7535</v>
      </c>
      <c r="B3002" s="28" t="s">
        <v>7513</v>
      </c>
    </row>
    <row r="3003">
      <c r="A3003" s="4" t="s">
        <v>7536</v>
      </c>
      <c r="B3003" s="28" t="s">
        <v>7513</v>
      </c>
    </row>
    <row r="3004">
      <c r="A3004" s="4" t="s">
        <v>7537</v>
      </c>
      <c r="B3004" s="28" t="s">
        <v>7513</v>
      </c>
    </row>
    <row r="3005">
      <c r="A3005" s="4" t="s">
        <v>7538</v>
      </c>
      <c r="B3005" s="28" t="s">
        <v>7513</v>
      </c>
    </row>
    <row r="3006">
      <c r="A3006" s="4" t="s">
        <v>7539</v>
      </c>
      <c r="B3006" s="28" t="s">
        <v>7513</v>
      </c>
    </row>
    <row r="3007">
      <c r="A3007" s="4" t="s">
        <v>7540</v>
      </c>
      <c r="B3007" s="28" t="s">
        <v>7513</v>
      </c>
    </row>
    <row r="3008">
      <c r="A3008" s="4" t="s">
        <v>7541</v>
      </c>
      <c r="B3008" s="28" t="s">
        <v>7513</v>
      </c>
    </row>
    <row r="3009">
      <c r="A3009" s="4" t="s">
        <v>7542</v>
      </c>
      <c r="B3009" s="28" t="s">
        <v>7513</v>
      </c>
    </row>
    <row r="3010">
      <c r="A3010" s="4" t="s">
        <v>7543</v>
      </c>
      <c r="B3010" s="28" t="s">
        <v>7513</v>
      </c>
    </row>
    <row r="3011">
      <c r="A3011" s="4" t="s">
        <v>7544</v>
      </c>
      <c r="B3011" s="28" t="s">
        <v>7513</v>
      </c>
    </row>
    <row r="3012">
      <c r="A3012" s="4" t="s">
        <v>7545</v>
      </c>
      <c r="B3012" s="28" t="s">
        <v>7513</v>
      </c>
    </row>
    <row r="3013">
      <c r="A3013" s="4" t="s">
        <v>7546</v>
      </c>
      <c r="B3013" s="28" t="s">
        <v>7513</v>
      </c>
    </row>
    <row r="3014">
      <c r="A3014" s="4" t="s">
        <v>7547</v>
      </c>
      <c r="B3014" s="28" t="s">
        <v>7513</v>
      </c>
    </row>
    <row r="3015">
      <c r="A3015" s="4" t="s">
        <v>7548</v>
      </c>
      <c r="B3015" s="28" t="s">
        <v>7513</v>
      </c>
    </row>
    <row r="3016">
      <c r="A3016" s="4" t="s">
        <v>7549</v>
      </c>
      <c r="B3016" s="28" t="s">
        <v>7513</v>
      </c>
    </row>
    <row r="3017">
      <c r="A3017" s="4" t="s">
        <v>7550</v>
      </c>
      <c r="B3017" s="28" t="s">
        <v>7513</v>
      </c>
    </row>
    <row r="3018">
      <c r="A3018" s="4" t="s">
        <v>7551</v>
      </c>
      <c r="B3018" s="28" t="s">
        <v>7513</v>
      </c>
    </row>
    <row r="3019">
      <c r="A3019" s="4" t="s">
        <v>7552</v>
      </c>
      <c r="B3019" s="28" t="s">
        <v>7513</v>
      </c>
    </row>
    <row r="3020">
      <c r="A3020" s="4" t="s">
        <v>7553</v>
      </c>
      <c r="B3020" s="28" t="s">
        <v>7513</v>
      </c>
    </row>
    <row r="3021">
      <c r="A3021" s="4" t="s">
        <v>7554</v>
      </c>
      <c r="B3021" s="28" t="s">
        <v>7513</v>
      </c>
    </row>
    <row r="3022">
      <c r="A3022" s="4" t="s">
        <v>7555</v>
      </c>
      <c r="B3022" s="28" t="s">
        <v>7513</v>
      </c>
    </row>
    <row r="3023">
      <c r="A3023" s="4" t="s">
        <v>7556</v>
      </c>
      <c r="B3023" s="28" t="s">
        <v>7513</v>
      </c>
    </row>
    <row r="3024">
      <c r="A3024" s="4" t="s">
        <v>7557</v>
      </c>
      <c r="B3024" s="28" t="s">
        <v>7513</v>
      </c>
    </row>
    <row r="3025">
      <c r="A3025" s="4" t="s">
        <v>7558</v>
      </c>
      <c r="B3025" s="28" t="s">
        <v>7513</v>
      </c>
    </row>
    <row r="3026">
      <c r="A3026" s="4" t="s">
        <v>7559</v>
      </c>
      <c r="B3026" s="28" t="s">
        <v>7513</v>
      </c>
    </row>
    <row r="3027">
      <c r="A3027" s="4" t="s">
        <v>7560</v>
      </c>
      <c r="B3027" s="28" t="s">
        <v>7513</v>
      </c>
    </row>
    <row r="3028">
      <c r="A3028" s="4" t="s">
        <v>7561</v>
      </c>
      <c r="B3028" s="28" t="s">
        <v>7513</v>
      </c>
    </row>
    <row r="3029">
      <c r="A3029" s="4" t="s">
        <v>7562</v>
      </c>
      <c r="B3029" s="28" t="s">
        <v>7513</v>
      </c>
    </row>
    <row r="3030">
      <c r="A3030" s="4" t="s">
        <v>7563</v>
      </c>
      <c r="B3030" s="28" t="s">
        <v>7513</v>
      </c>
    </row>
    <row r="3031">
      <c r="A3031" s="4" t="s">
        <v>7564</v>
      </c>
      <c r="B3031" s="28" t="s">
        <v>7513</v>
      </c>
    </row>
    <row r="3032">
      <c r="A3032" s="4" t="s">
        <v>7565</v>
      </c>
      <c r="B3032" s="28" t="s">
        <v>7513</v>
      </c>
    </row>
    <row r="3033">
      <c r="A3033" s="4" t="s">
        <v>7566</v>
      </c>
      <c r="B3033" s="28" t="s">
        <v>7513</v>
      </c>
    </row>
    <row r="3034">
      <c r="A3034" s="4" t="s">
        <v>7567</v>
      </c>
      <c r="B3034" s="28" t="s">
        <v>7513</v>
      </c>
    </row>
    <row r="3035">
      <c r="A3035" s="4" t="s">
        <v>7568</v>
      </c>
      <c r="B3035" s="28" t="s">
        <v>7513</v>
      </c>
    </row>
    <row r="3036">
      <c r="A3036" s="4" t="s">
        <v>7569</v>
      </c>
      <c r="B3036" s="28" t="s">
        <v>7513</v>
      </c>
    </row>
    <row r="3037">
      <c r="A3037" s="4" t="s">
        <v>7570</v>
      </c>
      <c r="B3037" s="28" t="s">
        <v>7513</v>
      </c>
    </row>
    <row r="3038">
      <c r="A3038" s="4" t="s">
        <v>7571</v>
      </c>
      <c r="B3038" s="28" t="s">
        <v>7513</v>
      </c>
    </row>
    <row r="3039">
      <c r="A3039" s="4" t="s">
        <v>7572</v>
      </c>
      <c r="B3039" s="28" t="s">
        <v>7513</v>
      </c>
    </row>
    <row r="3040">
      <c r="A3040" s="4" t="s">
        <v>7573</v>
      </c>
      <c r="B3040" s="28" t="s">
        <v>7513</v>
      </c>
    </row>
    <row r="3041">
      <c r="A3041" s="4" t="s">
        <v>7574</v>
      </c>
      <c r="B3041" s="28" t="s">
        <v>7513</v>
      </c>
    </row>
    <row r="3042">
      <c r="A3042" s="4" t="s">
        <v>7575</v>
      </c>
      <c r="B3042" s="28" t="s">
        <v>7513</v>
      </c>
    </row>
    <row r="3043">
      <c r="A3043" s="4" t="s">
        <v>7576</v>
      </c>
      <c r="B3043" s="28" t="s">
        <v>7513</v>
      </c>
    </row>
    <row r="3044">
      <c r="A3044" s="4" t="s">
        <v>7577</v>
      </c>
      <c r="B3044" s="28" t="s">
        <v>7513</v>
      </c>
    </row>
    <row r="3045">
      <c r="A3045" s="4" t="s">
        <v>7578</v>
      </c>
      <c r="B3045" s="28" t="s">
        <v>7513</v>
      </c>
    </row>
    <row r="3046">
      <c r="A3046" s="4" t="s">
        <v>7579</v>
      </c>
      <c r="B3046" s="28" t="s">
        <v>7513</v>
      </c>
    </row>
    <row r="3047">
      <c r="A3047" s="4" t="s">
        <v>7580</v>
      </c>
      <c r="B3047" s="28" t="s">
        <v>7513</v>
      </c>
    </row>
    <row r="3048">
      <c r="A3048" s="4" t="s">
        <v>7581</v>
      </c>
      <c r="B3048" s="28" t="s">
        <v>7513</v>
      </c>
    </row>
    <row r="3049">
      <c r="A3049" s="4" t="s">
        <v>7582</v>
      </c>
      <c r="B3049" s="28" t="s">
        <v>7513</v>
      </c>
    </row>
    <row r="3050">
      <c r="A3050" s="4" t="s">
        <v>7583</v>
      </c>
      <c r="B3050" s="28" t="s">
        <v>7513</v>
      </c>
    </row>
    <row r="3051">
      <c r="A3051" s="4" t="s">
        <v>7584</v>
      </c>
      <c r="B3051" s="28" t="s">
        <v>7513</v>
      </c>
    </row>
    <row r="3052">
      <c r="A3052" s="4" t="s">
        <v>7585</v>
      </c>
      <c r="B3052" s="28" t="s">
        <v>7513</v>
      </c>
    </row>
    <row r="3053">
      <c r="A3053" s="4" t="s">
        <v>7586</v>
      </c>
      <c r="B3053" s="28" t="s">
        <v>7513</v>
      </c>
    </row>
    <row r="3054">
      <c r="A3054" s="4" t="s">
        <v>7587</v>
      </c>
      <c r="B3054" s="28" t="s">
        <v>7513</v>
      </c>
    </row>
    <row r="3055">
      <c r="A3055" s="4" t="s">
        <v>7588</v>
      </c>
      <c r="B3055" s="28" t="s">
        <v>7513</v>
      </c>
    </row>
    <row r="3056">
      <c r="A3056" s="4" t="s">
        <v>7589</v>
      </c>
      <c r="B3056" s="28" t="s">
        <v>7513</v>
      </c>
    </row>
    <row r="3057">
      <c r="A3057" s="4" t="s">
        <v>7590</v>
      </c>
      <c r="B3057" s="28" t="s">
        <v>7513</v>
      </c>
    </row>
    <row r="3058">
      <c r="A3058" s="4" t="s">
        <v>7591</v>
      </c>
      <c r="B3058" s="28" t="s">
        <v>7513</v>
      </c>
    </row>
    <row r="3059">
      <c r="A3059" s="4" t="s">
        <v>7592</v>
      </c>
      <c r="B3059" s="28" t="s">
        <v>7513</v>
      </c>
    </row>
    <row r="3060">
      <c r="A3060" s="4" t="s">
        <v>7593</v>
      </c>
      <c r="B3060" s="28" t="s">
        <v>7513</v>
      </c>
    </row>
    <row r="3061">
      <c r="A3061" s="4" t="s">
        <v>7594</v>
      </c>
      <c r="B3061" s="28" t="s">
        <v>7513</v>
      </c>
    </row>
    <row r="3062">
      <c r="A3062" s="4" t="s">
        <v>7595</v>
      </c>
      <c r="B3062" s="28" t="s">
        <v>7513</v>
      </c>
    </row>
    <row r="3063">
      <c r="A3063" s="4" t="s">
        <v>7596</v>
      </c>
      <c r="B3063" s="28" t="s">
        <v>7513</v>
      </c>
    </row>
    <row r="3064">
      <c r="A3064" s="4" t="s">
        <v>7597</v>
      </c>
      <c r="B3064" s="28" t="s">
        <v>7513</v>
      </c>
    </row>
    <row r="3065">
      <c r="A3065" s="4" t="s">
        <v>7598</v>
      </c>
      <c r="B3065" s="28" t="s">
        <v>7513</v>
      </c>
    </row>
    <row r="3066">
      <c r="A3066" s="4" t="s">
        <v>7599</v>
      </c>
      <c r="B3066" s="28" t="s">
        <v>7513</v>
      </c>
    </row>
    <row r="3067">
      <c r="A3067" s="4" t="s">
        <v>7600</v>
      </c>
      <c r="B3067" s="28" t="s">
        <v>7513</v>
      </c>
    </row>
    <row r="3068">
      <c r="A3068" s="4" t="s">
        <v>7601</v>
      </c>
      <c r="B3068" s="28" t="s">
        <v>7513</v>
      </c>
    </row>
    <row r="3069">
      <c r="A3069" s="4" t="s">
        <v>7602</v>
      </c>
      <c r="B3069" s="28" t="s">
        <v>7513</v>
      </c>
    </row>
    <row r="3070">
      <c r="A3070" s="4" t="s">
        <v>7603</v>
      </c>
      <c r="B3070" s="28" t="s">
        <v>7513</v>
      </c>
    </row>
    <row r="3071">
      <c r="A3071" s="4" t="s">
        <v>7604</v>
      </c>
      <c r="B3071" s="28" t="s">
        <v>7513</v>
      </c>
    </row>
    <row r="3072">
      <c r="A3072" s="4" t="s">
        <v>7605</v>
      </c>
      <c r="B3072" s="28" t="s">
        <v>7513</v>
      </c>
    </row>
    <row r="3073">
      <c r="A3073" s="4" t="s">
        <v>7606</v>
      </c>
      <c r="B3073" s="28" t="s">
        <v>7513</v>
      </c>
    </row>
    <row r="3074">
      <c r="A3074" s="4" t="s">
        <v>7607</v>
      </c>
      <c r="B3074" s="28" t="s">
        <v>7513</v>
      </c>
    </row>
    <row r="3075">
      <c r="A3075" s="4" t="s">
        <v>7608</v>
      </c>
      <c r="B3075" s="28" t="s">
        <v>7513</v>
      </c>
    </row>
    <row r="3076">
      <c r="A3076" s="4" t="s">
        <v>7609</v>
      </c>
      <c r="B3076" s="28" t="s">
        <v>7513</v>
      </c>
    </row>
    <row r="3077">
      <c r="A3077" s="4" t="s">
        <v>7610</v>
      </c>
      <c r="B3077" s="28" t="s">
        <v>7513</v>
      </c>
    </row>
    <row r="3078">
      <c r="A3078" s="4" t="s">
        <v>7611</v>
      </c>
      <c r="B3078" s="28" t="s">
        <v>7513</v>
      </c>
    </row>
    <row r="3079">
      <c r="A3079" s="4" t="s">
        <v>7612</v>
      </c>
      <c r="B3079" s="28" t="s">
        <v>7513</v>
      </c>
    </row>
    <row r="3080">
      <c r="A3080" s="4" t="s">
        <v>7613</v>
      </c>
      <c r="B3080" s="28" t="s">
        <v>7513</v>
      </c>
    </row>
    <row r="3081">
      <c r="A3081" s="4" t="s">
        <v>7614</v>
      </c>
      <c r="B3081" s="28" t="s">
        <v>7513</v>
      </c>
    </row>
    <row r="3082">
      <c r="A3082" s="4" t="s">
        <v>7615</v>
      </c>
      <c r="B3082" s="28" t="s">
        <v>7513</v>
      </c>
    </row>
    <row r="3083">
      <c r="A3083" s="4" t="s">
        <v>7616</v>
      </c>
      <c r="B3083" s="28" t="s">
        <v>7513</v>
      </c>
    </row>
    <row r="3084">
      <c r="A3084" s="4" t="s">
        <v>7617</v>
      </c>
      <c r="B3084" s="28" t="s">
        <v>7513</v>
      </c>
    </row>
    <row r="3085">
      <c r="A3085" s="4" t="s">
        <v>7618</v>
      </c>
      <c r="B3085" s="28" t="s">
        <v>7513</v>
      </c>
    </row>
    <row r="3086">
      <c r="A3086" s="4" t="s">
        <v>7619</v>
      </c>
      <c r="B3086" s="28" t="s">
        <v>7513</v>
      </c>
    </row>
    <row r="3087">
      <c r="A3087" s="4" t="s">
        <v>7620</v>
      </c>
      <c r="B3087" s="28" t="s">
        <v>7513</v>
      </c>
    </row>
    <row r="3088">
      <c r="A3088" s="4" t="s">
        <v>7621</v>
      </c>
      <c r="B3088" s="28" t="s">
        <v>7513</v>
      </c>
    </row>
    <row r="3089">
      <c r="A3089" s="4" t="s">
        <v>7622</v>
      </c>
      <c r="B3089" s="28" t="s">
        <v>7513</v>
      </c>
    </row>
    <row r="3090">
      <c r="A3090" s="4" t="s">
        <v>7623</v>
      </c>
      <c r="B3090" s="28" t="s">
        <v>7513</v>
      </c>
    </row>
    <row r="3091">
      <c r="A3091" s="4" t="s">
        <v>7624</v>
      </c>
      <c r="B3091" s="28" t="s">
        <v>7513</v>
      </c>
    </row>
    <row r="3092">
      <c r="A3092" s="4" t="s">
        <v>7625</v>
      </c>
      <c r="B3092" s="28" t="s">
        <v>7513</v>
      </c>
    </row>
    <row r="3093">
      <c r="A3093" s="4" t="s">
        <v>7626</v>
      </c>
      <c r="B3093" s="28" t="s">
        <v>7513</v>
      </c>
    </row>
    <row r="3094">
      <c r="A3094" s="4" t="s">
        <v>7627</v>
      </c>
      <c r="B3094" s="28" t="s">
        <v>7513</v>
      </c>
    </row>
    <row r="3095">
      <c r="A3095" s="4" t="s">
        <v>7628</v>
      </c>
      <c r="B3095" s="28" t="s">
        <v>7513</v>
      </c>
    </row>
    <row r="3096">
      <c r="A3096" s="4" t="s">
        <v>7629</v>
      </c>
      <c r="B3096" s="28" t="s">
        <v>7513</v>
      </c>
    </row>
    <row r="3097">
      <c r="A3097" s="4" t="s">
        <v>7630</v>
      </c>
      <c r="B3097" s="28" t="s">
        <v>7513</v>
      </c>
    </row>
    <row r="3098">
      <c r="A3098" s="4" t="s">
        <v>7631</v>
      </c>
      <c r="B3098" s="28" t="s">
        <v>7513</v>
      </c>
    </row>
    <row r="3099">
      <c r="A3099" s="4" t="s">
        <v>7632</v>
      </c>
      <c r="B3099" s="28" t="s">
        <v>7513</v>
      </c>
    </row>
    <row r="3100">
      <c r="A3100" s="4" t="s">
        <v>7633</v>
      </c>
      <c r="B3100" s="28" t="s">
        <v>7513</v>
      </c>
    </row>
    <row r="3101">
      <c r="A3101" s="4" t="s">
        <v>7634</v>
      </c>
      <c r="B3101" s="28" t="s">
        <v>7513</v>
      </c>
    </row>
    <row r="3102">
      <c r="A3102" s="4" t="s">
        <v>7635</v>
      </c>
      <c r="B3102" s="28" t="s">
        <v>7513</v>
      </c>
    </row>
    <row r="3103">
      <c r="A3103" s="4" t="s">
        <v>7636</v>
      </c>
      <c r="B3103" s="28" t="s">
        <v>7513</v>
      </c>
    </row>
    <row r="3104">
      <c r="A3104" s="4" t="s">
        <v>7637</v>
      </c>
      <c r="B3104" s="28" t="s">
        <v>7513</v>
      </c>
    </row>
    <row r="3105">
      <c r="A3105" s="4" t="s">
        <v>7638</v>
      </c>
      <c r="B3105" s="28" t="s">
        <v>7513</v>
      </c>
    </row>
    <row r="3106">
      <c r="A3106" s="4" t="s">
        <v>7639</v>
      </c>
      <c r="B3106" s="28" t="s">
        <v>7513</v>
      </c>
    </row>
    <row r="3107">
      <c r="A3107" s="4" t="s">
        <v>7640</v>
      </c>
      <c r="B3107" s="28" t="s">
        <v>7513</v>
      </c>
    </row>
    <row r="3108">
      <c r="A3108" s="4" t="s">
        <v>7641</v>
      </c>
      <c r="B3108" s="28" t="s">
        <v>7513</v>
      </c>
    </row>
    <row r="3109">
      <c r="A3109" s="4" t="s">
        <v>7642</v>
      </c>
      <c r="B3109" s="28" t="s">
        <v>7513</v>
      </c>
    </row>
    <row r="3110">
      <c r="A3110" s="4" t="s">
        <v>7643</v>
      </c>
      <c r="B3110" s="28" t="s">
        <v>7513</v>
      </c>
    </row>
    <row r="3111">
      <c r="A3111" s="4" t="s">
        <v>7644</v>
      </c>
      <c r="B3111" s="28" t="s">
        <v>7513</v>
      </c>
    </row>
    <row r="3112">
      <c r="A3112" s="4" t="s">
        <v>7645</v>
      </c>
      <c r="B3112" s="28" t="s">
        <v>7513</v>
      </c>
    </row>
    <row r="3113">
      <c r="A3113" s="4" t="s">
        <v>7646</v>
      </c>
      <c r="B3113" s="28" t="s">
        <v>7513</v>
      </c>
    </row>
    <row r="3114">
      <c r="A3114" s="4" t="s">
        <v>7647</v>
      </c>
      <c r="B3114" s="28" t="s">
        <v>7513</v>
      </c>
    </row>
    <row r="3115">
      <c r="A3115" s="4" t="s">
        <v>7648</v>
      </c>
      <c r="B3115" s="28" t="s">
        <v>7513</v>
      </c>
    </row>
    <row r="3116">
      <c r="A3116" s="4" t="s">
        <v>7649</v>
      </c>
      <c r="B3116" s="28" t="s">
        <v>7513</v>
      </c>
    </row>
    <row r="3117">
      <c r="A3117" s="4" t="s">
        <v>7650</v>
      </c>
      <c r="B3117" s="28" t="s">
        <v>7513</v>
      </c>
    </row>
    <row r="3118">
      <c r="A3118" s="4" t="s">
        <v>7651</v>
      </c>
      <c r="B3118" s="28" t="s">
        <v>7513</v>
      </c>
    </row>
    <row r="3119">
      <c r="A3119" s="4" t="s">
        <v>7652</v>
      </c>
      <c r="B3119" s="28" t="s">
        <v>7513</v>
      </c>
    </row>
    <row r="3120">
      <c r="A3120" s="4" t="s">
        <v>7653</v>
      </c>
      <c r="B3120" s="28" t="s">
        <v>7513</v>
      </c>
    </row>
    <row r="3121">
      <c r="A3121" s="4" t="s">
        <v>7654</v>
      </c>
      <c r="B3121" s="28" t="s">
        <v>7513</v>
      </c>
    </row>
    <row r="3122">
      <c r="A3122" s="4" t="s">
        <v>7655</v>
      </c>
      <c r="B3122" s="28" t="s">
        <v>7513</v>
      </c>
    </row>
    <row r="3123">
      <c r="A3123" s="4" t="s">
        <v>7656</v>
      </c>
      <c r="B3123" s="28" t="s">
        <v>7513</v>
      </c>
    </row>
    <row r="3124">
      <c r="A3124" s="4" t="s">
        <v>7657</v>
      </c>
      <c r="B3124" s="28" t="s">
        <v>7513</v>
      </c>
    </row>
    <row r="3125">
      <c r="A3125" s="4" t="s">
        <v>7658</v>
      </c>
      <c r="B3125" s="28" t="s">
        <v>7513</v>
      </c>
    </row>
    <row r="3126">
      <c r="A3126" s="4" t="s">
        <v>7659</v>
      </c>
      <c r="B3126" s="28" t="s">
        <v>7513</v>
      </c>
    </row>
    <row r="3127">
      <c r="A3127" s="4" t="s">
        <v>7660</v>
      </c>
      <c r="B3127" s="28" t="s">
        <v>7513</v>
      </c>
    </row>
    <row r="3128">
      <c r="A3128" s="4" t="s">
        <v>7661</v>
      </c>
      <c r="B3128" s="28" t="s">
        <v>7513</v>
      </c>
    </row>
    <row r="3129">
      <c r="A3129" s="4" t="s">
        <v>7662</v>
      </c>
      <c r="B3129" s="28" t="s">
        <v>7513</v>
      </c>
    </row>
    <row r="3130">
      <c r="A3130" s="4" t="s">
        <v>7663</v>
      </c>
      <c r="B3130" s="28" t="s">
        <v>7513</v>
      </c>
    </row>
    <row r="3131">
      <c r="A3131" s="4" t="s">
        <v>7664</v>
      </c>
      <c r="B3131" s="28" t="s">
        <v>7513</v>
      </c>
    </row>
    <row r="3132">
      <c r="A3132" s="4" t="s">
        <v>7665</v>
      </c>
      <c r="B3132" s="28" t="s">
        <v>7513</v>
      </c>
    </row>
    <row r="3133">
      <c r="A3133" s="4" t="s">
        <v>7666</v>
      </c>
      <c r="B3133" s="28" t="s">
        <v>7513</v>
      </c>
    </row>
    <row r="3134">
      <c r="A3134" s="4" t="s">
        <v>7667</v>
      </c>
      <c r="B3134" s="28" t="s">
        <v>7513</v>
      </c>
    </row>
    <row r="3135">
      <c r="A3135" s="4" t="s">
        <v>7668</v>
      </c>
      <c r="B3135" s="28" t="s">
        <v>7513</v>
      </c>
    </row>
    <row r="3136">
      <c r="A3136" s="4" t="s">
        <v>7669</v>
      </c>
      <c r="B3136" s="28" t="s">
        <v>7513</v>
      </c>
    </row>
    <row r="3137">
      <c r="A3137" s="4" t="s">
        <v>7670</v>
      </c>
      <c r="B3137" s="28" t="s">
        <v>7513</v>
      </c>
    </row>
    <row r="3138">
      <c r="A3138" s="4" t="s">
        <v>7671</v>
      </c>
      <c r="B3138" s="28" t="s">
        <v>7513</v>
      </c>
    </row>
    <row r="3139">
      <c r="A3139" s="4" t="s">
        <v>7672</v>
      </c>
      <c r="B3139" s="28" t="s">
        <v>7513</v>
      </c>
    </row>
    <row r="3140">
      <c r="A3140" s="4" t="s">
        <v>7673</v>
      </c>
      <c r="B3140" s="28" t="s">
        <v>7513</v>
      </c>
    </row>
    <row r="3141">
      <c r="A3141" s="4" t="s">
        <v>7674</v>
      </c>
      <c r="B3141" s="28" t="s">
        <v>7513</v>
      </c>
    </row>
    <row r="3142">
      <c r="A3142" s="4" t="s">
        <v>7675</v>
      </c>
      <c r="B3142" s="28" t="s">
        <v>7513</v>
      </c>
    </row>
    <row r="3143">
      <c r="A3143" s="4" t="s">
        <v>7676</v>
      </c>
      <c r="B3143" s="28" t="s">
        <v>7513</v>
      </c>
    </row>
    <row r="3144">
      <c r="A3144" s="4" t="s">
        <v>7677</v>
      </c>
      <c r="B3144" s="28" t="s">
        <v>7513</v>
      </c>
    </row>
    <row r="3145">
      <c r="A3145" s="4" t="s">
        <v>7678</v>
      </c>
      <c r="B3145" s="28" t="s">
        <v>7513</v>
      </c>
    </row>
    <row r="3146">
      <c r="A3146" s="4" t="s">
        <v>7679</v>
      </c>
      <c r="B3146" s="28" t="s">
        <v>7513</v>
      </c>
    </row>
    <row r="3147">
      <c r="A3147" s="4" t="s">
        <v>7680</v>
      </c>
      <c r="B3147" s="28" t="s">
        <v>7513</v>
      </c>
    </row>
    <row r="3148">
      <c r="A3148" s="4" t="s">
        <v>7681</v>
      </c>
      <c r="B3148" s="28" t="s">
        <v>7513</v>
      </c>
    </row>
    <row r="3149">
      <c r="A3149" s="4" t="s">
        <v>7682</v>
      </c>
      <c r="B3149" s="28" t="s">
        <v>7513</v>
      </c>
    </row>
    <row r="3150">
      <c r="A3150" s="4" t="s">
        <v>7683</v>
      </c>
      <c r="B3150" s="28" t="s">
        <v>7513</v>
      </c>
    </row>
    <row r="3151">
      <c r="A3151" s="4" t="s">
        <v>7684</v>
      </c>
      <c r="B3151" s="28" t="s">
        <v>7513</v>
      </c>
    </row>
    <row r="3152">
      <c r="A3152" s="4" t="s">
        <v>7685</v>
      </c>
      <c r="B3152" s="28" t="s">
        <v>7513</v>
      </c>
    </row>
    <row r="3153">
      <c r="A3153" s="4" t="s">
        <v>7686</v>
      </c>
      <c r="B3153" s="28" t="s">
        <v>7513</v>
      </c>
    </row>
    <row r="3154">
      <c r="A3154" s="4" t="s">
        <v>7687</v>
      </c>
      <c r="B3154" s="28" t="s">
        <v>7513</v>
      </c>
    </row>
    <row r="3155">
      <c r="A3155" s="4" t="s">
        <v>7688</v>
      </c>
      <c r="B3155" s="28" t="s">
        <v>7513</v>
      </c>
    </row>
    <row r="3156">
      <c r="A3156" s="4" t="s">
        <v>7689</v>
      </c>
      <c r="B3156" s="28" t="s">
        <v>7513</v>
      </c>
    </row>
    <row r="3157">
      <c r="A3157" s="4" t="s">
        <v>7690</v>
      </c>
      <c r="B3157" s="28" t="s">
        <v>7513</v>
      </c>
    </row>
    <row r="3158">
      <c r="A3158" s="4" t="s">
        <v>7691</v>
      </c>
      <c r="B3158" s="28" t="s">
        <v>7513</v>
      </c>
    </row>
    <row r="3159">
      <c r="A3159" s="4" t="s">
        <v>7692</v>
      </c>
      <c r="B3159" s="28" t="s">
        <v>7513</v>
      </c>
    </row>
    <row r="3160">
      <c r="A3160" s="4" t="s">
        <v>7693</v>
      </c>
      <c r="B3160" s="28" t="s">
        <v>7513</v>
      </c>
    </row>
    <row r="3161">
      <c r="A3161" s="4" t="s">
        <v>7694</v>
      </c>
      <c r="B3161" s="28" t="s">
        <v>7513</v>
      </c>
    </row>
    <row r="3162">
      <c r="A3162" s="4" t="s">
        <v>7695</v>
      </c>
      <c r="B3162" s="28" t="s">
        <v>7513</v>
      </c>
    </row>
    <row r="3163">
      <c r="A3163" s="4" t="s">
        <v>7696</v>
      </c>
      <c r="B3163" s="28" t="s">
        <v>7513</v>
      </c>
    </row>
    <row r="3164">
      <c r="A3164" s="4" t="s">
        <v>7697</v>
      </c>
      <c r="B3164" s="28" t="s">
        <v>7513</v>
      </c>
    </row>
    <row r="3165">
      <c r="A3165" s="4" t="s">
        <v>7698</v>
      </c>
      <c r="B3165" s="28" t="s">
        <v>7513</v>
      </c>
    </row>
    <row r="3166">
      <c r="A3166" s="4" t="s">
        <v>7699</v>
      </c>
      <c r="B3166" s="28" t="s">
        <v>7513</v>
      </c>
    </row>
    <row r="3167">
      <c r="A3167" s="4" t="s">
        <v>7700</v>
      </c>
      <c r="B3167" s="28" t="s">
        <v>7513</v>
      </c>
    </row>
    <row r="3168">
      <c r="A3168" s="4" t="s">
        <v>7701</v>
      </c>
      <c r="B3168" s="28" t="s">
        <v>7513</v>
      </c>
    </row>
    <row r="3169">
      <c r="A3169" s="4" t="s">
        <v>7702</v>
      </c>
      <c r="B3169" s="28" t="s">
        <v>7513</v>
      </c>
    </row>
    <row r="3170">
      <c r="A3170" s="4" t="s">
        <v>7703</v>
      </c>
      <c r="B3170" s="28" t="s">
        <v>7513</v>
      </c>
    </row>
    <row r="3171">
      <c r="A3171" s="4" t="s">
        <v>7704</v>
      </c>
      <c r="B3171" s="28" t="s">
        <v>7513</v>
      </c>
    </row>
    <row r="3172">
      <c r="A3172" s="4" t="s">
        <v>7705</v>
      </c>
      <c r="B3172" s="28" t="s">
        <v>7513</v>
      </c>
    </row>
    <row r="3173">
      <c r="A3173" s="4" t="s">
        <v>7706</v>
      </c>
      <c r="B3173" s="28" t="s">
        <v>7513</v>
      </c>
    </row>
    <row r="3174">
      <c r="A3174" s="4" t="s">
        <v>7707</v>
      </c>
      <c r="B3174" s="28" t="s">
        <v>7513</v>
      </c>
    </row>
    <row r="3175">
      <c r="A3175" s="4" t="s">
        <v>7708</v>
      </c>
      <c r="B3175" s="28" t="s">
        <v>7513</v>
      </c>
    </row>
    <row r="3176">
      <c r="A3176" s="4" t="s">
        <v>7709</v>
      </c>
      <c r="B3176" s="28" t="s">
        <v>7513</v>
      </c>
    </row>
    <row r="3177">
      <c r="A3177" s="4" t="s">
        <v>7710</v>
      </c>
      <c r="B3177" s="28" t="s">
        <v>7513</v>
      </c>
    </row>
    <row r="3178">
      <c r="A3178" s="4" t="s">
        <v>7711</v>
      </c>
      <c r="B3178" s="28" t="s">
        <v>7513</v>
      </c>
    </row>
    <row r="3179">
      <c r="A3179" s="4" t="s">
        <v>7712</v>
      </c>
      <c r="B3179" s="28" t="s">
        <v>7513</v>
      </c>
    </row>
    <row r="3180">
      <c r="A3180" s="4" t="s">
        <v>7713</v>
      </c>
      <c r="B3180" s="28" t="s">
        <v>7513</v>
      </c>
    </row>
    <row r="3181">
      <c r="A3181" s="4" t="s">
        <v>7714</v>
      </c>
      <c r="B3181" s="28" t="s">
        <v>7513</v>
      </c>
    </row>
    <row r="3182">
      <c r="A3182" s="4" t="s">
        <v>7715</v>
      </c>
      <c r="B3182" s="28" t="s">
        <v>7513</v>
      </c>
    </row>
    <row r="3183">
      <c r="A3183" s="4" t="s">
        <v>7716</v>
      </c>
      <c r="B3183" s="28" t="s">
        <v>7513</v>
      </c>
    </row>
    <row r="3184">
      <c r="A3184" s="4" t="s">
        <v>7717</v>
      </c>
      <c r="B3184" s="28" t="s">
        <v>7513</v>
      </c>
    </row>
    <row r="3185">
      <c r="A3185" s="4" t="s">
        <v>7718</v>
      </c>
      <c r="B3185" s="28" t="s">
        <v>7513</v>
      </c>
    </row>
    <row r="3186">
      <c r="A3186" s="4" t="s">
        <v>7719</v>
      </c>
      <c r="B3186" s="28" t="s">
        <v>7513</v>
      </c>
    </row>
    <row r="3187">
      <c r="A3187" s="4" t="s">
        <v>7720</v>
      </c>
      <c r="B3187" s="28" t="s">
        <v>7513</v>
      </c>
    </row>
    <row r="3188">
      <c r="A3188" s="4" t="s">
        <v>7721</v>
      </c>
      <c r="B3188" s="28" t="s">
        <v>7513</v>
      </c>
    </row>
    <row r="3189">
      <c r="A3189" s="4" t="s">
        <v>7722</v>
      </c>
      <c r="B3189" s="28" t="s">
        <v>7513</v>
      </c>
    </row>
    <row r="3190">
      <c r="A3190" s="4" t="s">
        <v>7723</v>
      </c>
      <c r="B3190" s="28" t="s">
        <v>7513</v>
      </c>
    </row>
    <row r="3191">
      <c r="A3191" s="4" t="s">
        <v>7724</v>
      </c>
      <c r="B3191" s="28" t="s">
        <v>7513</v>
      </c>
    </row>
    <row r="3192">
      <c r="A3192" s="4" t="s">
        <v>7725</v>
      </c>
      <c r="B3192" s="28" t="s">
        <v>7513</v>
      </c>
    </row>
    <row r="3193">
      <c r="A3193" s="4" t="s">
        <v>7726</v>
      </c>
      <c r="B3193" s="28" t="s">
        <v>7513</v>
      </c>
    </row>
    <row r="3194">
      <c r="A3194" s="4" t="s">
        <v>7727</v>
      </c>
      <c r="B3194" s="28" t="s">
        <v>7513</v>
      </c>
    </row>
    <row r="3195">
      <c r="A3195" s="4" t="s">
        <v>7728</v>
      </c>
      <c r="B3195" s="28" t="s">
        <v>7513</v>
      </c>
    </row>
    <row r="3196">
      <c r="A3196" s="4" t="s">
        <v>7729</v>
      </c>
      <c r="B3196" s="28" t="s">
        <v>7513</v>
      </c>
    </row>
    <row r="3197">
      <c r="A3197" s="4" t="s">
        <v>7730</v>
      </c>
      <c r="B3197" s="28" t="s">
        <v>7513</v>
      </c>
    </row>
    <row r="3198">
      <c r="A3198" s="4" t="s">
        <v>7731</v>
      </c>
      <c r="B3198" s="28" t="s">
        <v>7513</v>
      </c>
    </row>
    <row r="3199">
      <c r="A3199" s="4" t="s">
        <v>7732</v>
      </c>
      <c r="B3199" s="28" t="s">
        <v>7513</v>
      </c>
    </row>
    <row r="3200">
      <c r="A3200" s="4" t="s">
        <v>7733</v>
      </c>
      <c r="B3200" s="28" t="s">
        <v>7513</v>
      </c>
    </row>
    <row r="3201">
      <c r="A3201" s="4" t="s">
        <v>7734</v>
      </c>
      <c r="B3201" s="28" t="s">
        <v>7513</v>
      </c>
    </row>
    <row r="3202">
      <c r="A3202" s="4" t="s">
        <v>7735</v>
      </c>
      <c r="B3202" s="28" t="s">
        <v>7513</v>
      </c>
    </row>
    <row r="3203">
      <c r="A3203" s="4" t="s">
        <v>7736</v>
      </c>
      <c r="B3203" s="28" t="s">
        <v>7513</v>
      </c>
    </row>
    <row r="3204">
      <c r="A3204" s="4" t="s">
        <v>7737</v>
      </c>
      <c r="B3204" s="28" t="s">
        <v>7513</v>
      </c>
    </row>
    <row r="3205">
      <c r="A3205" s="4" t="s">
        <v>7738</v>
      </c>
      <c r="B3205" s="28" t="s">
        <v>7513</v>
      </c>
    </row>
    <row r="3206">
      <c r="A3206" s="4" t="s">
        <v>7739</v>
      </c>
      <c r="B3206" s="28" t="s">
        <v>7513</v>
      </c>
    </row>
    <row r="3207">
      <c r="A3207" s="4" t="s">
        <v>7740</v>
      </c>
      <c r="B3207" s="28" t="s">
        <v>7513</v>
      </c>
    </row>
    <row r="3208">
      <c r="A3208" s="4" t="s">
        <v>7741</v>
      </c>
      <c r="B3208" s="28" t="s">
        <v>7513</v>
      </c>
    </row>
    <row r="3209">
      <c r="A3209" s="4" t="s">
        <v>7742</v>
      </c>
      <c r="B3209" s="28" t="s">
        <v>7513</v>
      </c>
    </row>
    <row r="3210">
      <c r="A3210" s="4" t="s">
        <v>7743</v>
      </c>
      <c r="B3210" s="28" t="s">
        <v>7513</v>
      </c>
    </row>
    <row r="3211">
      <c r="A3211" s="4" t="s">
        <v>7744</v>
      </c>
      <c r="B3211" s="28" t="s">
        <v>7513</v>
      </c>
    </row>
    <row r="3212">
      <c r="A3212" s="4" t="s">
        <v>7745</v>
      </c>
      <c r="B3212" s="28" t="s">
        <v>7513</v>
      </c>
    </row>
    <row r="3213">
      <c r="A3213" s="4" t="s">
        <v>7746</v>
      </c>
      <c r="B3213" s="28" t="s">
        <v>7513</v>
      </c>
    </row>
    <row r="3214">
      <c r="A3214" s="4" t="s">
        <v>7747</v>
      </c>
      <c r="B3214" s="28" t="s">
        <v>7513</v>
      </c>
    </row>
    <row r="3215">
      <c r="A3215" s="4" t="s">
        <v>7748</v>
      </c>
      <c r="B3215" s="28" t="s">
        <v>7513</v>
      </c>
    </row>
    <row r="3216">
      <c r="A3216" s="4" t="s">
        <v>7749</v>
      </c>
      <c r="B3216" s="28" t="s">
        <v>7513</v>
      </c>
    </row>
    <row r="3217">
      <c r="A3217" s="4" t="s">
        <v>7750</v>
      </c>
      <c r="B3217" s="28" t="s">
        <v>7513</v>
      </c>
    </row>
    <row r="3218">
      <c r="A3218" s="4" t="s">
        <v>7751</v>
      </c>
      <c r="B3218" s="28" t="s">
        <v>7513</v>
      </c>
    </row>
    <row r="3219">
      <c r="A3219" s="4" t="s">
        <v>7752</v>
      </c>
      <c r="B3219" s="28" t="s">
        <v>7513</v>
      </c>
    </row>
    <row r="3220">
      <c r="A3220" s="4" t="s">
        <v>7753</v>
      </c>
      <c r="B3220" s="28" t="s">
        <v>7513</v>
      </c>
    </row>
    <row r="3221">
      <c r="A3221" s="4" t="s">
        <v>7754</v>
      </c>
      <c r="B3221" s="28" t="s">
        <v>7513</v>
      </c>
    </row>
    <row r="3222">
      <c r="A3222" s="4" t="s">
        <v>7755</v>
      </c>
      <c r="B3222" s="28" t="s">
        <v>7513</v>
      </c>
    </row>
    <row r="3223">
      <c r="A3223" s="4" t="s">
        <v>7756</v>
      </c>
      <c r="B3223" s="28" t="s">
        <v>7513</v>
      </c>
    </row>
    <row r="3224">
      <c r="A3224" s="4" t="s">
        <v>7757</v>
      </c>
      <c r="B3224" s="28" t="s">
        <v>7513</v>
      </c>
    </row>
    <row r="3225">
      <c r="A3225" s="4" t="s">
        <v>7758</v>
      </c>
      <c r="B3225" s="28" t="s">
        <v>7513</v>
      </c>
    </row>
    <row r="3226">
      <c r="A3226" s="4" t="s">
        <v>7759</v>
      </c>
      <c r="B3226" s="28" t="s">
        <v>7513</v>
      </c>
    </row>
    <row r="3227">
      <c r="A3227" s="4" t="s">
        <v>7760</v>
      </c>
      <c r="B3227" s="28" t="s">
        <v>7513</v>
      </c>
    </row>
    <row r="3228">
      <c r="A3228" s="4" t="s">
        <v>7761</v>
      </c>
      <c r="B3228" s="28" t="s">
        <v>7513</v>
      </c>
    </row>
    <row r="3229">
      <c r="A3229" s="4" t="s">
        <v>7762</v>
      </c>
      <c r="B3229" s="28" t="s">
        <v>7513</v>
      </c>
    </row>
    <row r="3230">
      <c r="A3230" s="4" t="s">
        <v>7763</v>
      </c>
      <c r="B3230" s="28" t="s">
        <v>7513</v>
      </c>
    </row>
    <row r="3231">
      <c r="A3231" s="4" t="s">
        <v>7764</v>
      </c>
      <c r="B3231" s="28" t="s">
        <v>7513</v>
      </c>
    </row>
    <row r="3232">
      <c r="A3232" s="4" t="s">
        <v>7765</v>
      </c>
      <c r="B3232" s="28" t="s">
        <v>7513</v>
      </c>
    </row>
    <row r="3233">
      <c r="A3233" s="4" t="s">
        <v>7766</v>
      </c>
      <c r="B3233" s="28" t="s">
        <v>7513</v>
      </c>
    </row>
    <row r="3234">
      <c r="A3234" s="4" t="s">
        <v>7767</v>
      </c>
      <c r="B3234" s="28" t="s">
        <v>7513</v>
      </c>
    </row>
    <row r="3235">
      <c r="A3235" s="4" t="s">
        <v>7768</v>
      </c>
      <c r="B3235" s="28" t="s">
        <v>7513</v>
      </c>
    </row>
    <row r="3236">
      <c r="A3236" s="4" t="s">
        <v>7769</v>
      </c>
      <c r="B3236" s="28" t="s">
        <v>7513</v>
      </c>
    </row>
    <row r="3237">
      <c r="A3237" s="4" t="s">
        <v>7770</v>
      </c>
      <c r="B3237" s="28" t="s">
        <v>7513</v>
      </c>
    </row>
    <row r="3238">
      <c r="A3238" s="4" t="s">
        <v>7771</v>
      </c>
      <c r="B3238" s="28" t="s">
        <v>7513</v>
      </c>
    </row>
    <row r="3239">
      <c r="A3239" s="4" t="s">
        <v>7772</v>
      </c>
      <c r="B3239" s="28" t="s">
        <v>7513</v>
      </c>
    </row>
    <row r="3240">
      <c r="A3240" s="4" t="s">
        <v>7773</v>
      </c>
      <c r="B3240" s="28" t="s">
        <v>7513</v>
      </c>
    </row>
    <row r="3241">
      <c r="A3241" s="4" t="s">
        <v>7774</v>
      </c>
      <c r="B3241" s="28" t="s">
        <v>7513</v>
      </c>
    </row>
    <row r="3242">
      <c r="A3242" s="4" t="s">
        <v>7775</v>
      </c>
      <c r="B3242" s="28" t="s">
        <v>7513</v>
      </c>
    </row>
    <row r="3243">
      <c r="A3243" s="4" t="s">
        <v>7776</v>
      </c>
      <c r="B3243" s="28" t="s">
        <v>7513</v>
      </c>
    </row>
    <row r="3244">
      <c r="A3244" s="4" t="s">
        <v>7777</v>
      </c>
      <c r="B3244" s="28" t="s">
        <v>7513</v>
      </c>
    </row>
    <row r="3245">
      <c r="A3245" s="4" t="s">
        <v>7778</v>
      </c>
      <c r="B3245" s="28" t="s">
        <v>7513</v>
      </c>
    </row>
    <row r="3246">
      <c r="A3246" s="4" t="s">
        <v>7779</v>
      </c>
      <c r="B3246" s="28" t="s">
        <v>7513</v>
      </c>
    </row>
    <row r="3247">
      <c r="A3247" s="4" t="s">
        <v>7780</v>
      </c>
      <c r="B3247" s="28" t="s">
        <v>7513</v>
      </c>
    </row>
    <row r="3248">
      <c r="A3248" s="4" t="s">
        <v>7781</v>
      </c>
      <c r="B3248" s="28" t="s">
        <v>7513</v>
      </c>
    </row>
    <row r="3249">
      <c r="A3249" s="4" t="s">
        <v>7782</v>
      </c>
      <c r="B3249" s="28" t="s">
        <v>7513</v>
      </c>
    </row>
    <row r="3250">
      <c r="A3250" s="4" t="s">
        <v>7783</v>
      </c>
      <c r="B3250" s="28" t="s">
        <v>7513</v>
      </c>
    </row>
    <row r="3251">
      <c r="A3251" s="4" t="s">
        <v>7784</v>
      </c>
      <c r="B3251" s="28" t="s">
        <v>7513</v>
      </c>
    </row>
    <row r="3252">
      <c r="A3252" s="4" t="s">
        <v>7785</v>
      </c>
      <c r="B3252" s="28" t="s">
        <v>7513</v>
      </c>
    </row>
    <row r="3253">
      <c r="A3253" s="4" t="s">
        <v>7786</v>
      </c>
      <c r="B3253" s="28" t="s">
        <v>7513</v>
      </c>
    </row>
    <row r="3254">
      <c r="A3254" s="4" t="s">
        <v>7787</v>
      </c>
      <c r="B3254" s="28" t="s">
        <v>7513</v>
      </c>
    </row>
    <row r="3255">
      <c r="A3255" s="4" t="s">
        <v>7788</v>
      </c>
      <c r="B3255" s="28" t="s">
        <v>7513</v>
      </c>
    </row>
    <row r="3256">
      <c r="A3256" s="4" t="s">
        <v>7789</v>
      </c>
      <c r="B3256" s="28" t="s">
        <v>7513</v>
      </c>
    </row>
    <row r="3257">
      <c r="A3257" s="4" t="s">
        <v>7790</v>
      </c>
      <c r="B3257" s="28" t="s">
        <v>7513</v>
      </c>
    </row>
    <row r="3258">
      <c r="A3258" s="4" t="s">
        <v>7791</v>
      </c>
      <c r="B3258" s="28" t="s">
        <v>7513</v>
      </c>
    </row>
    <row r="3259">
      <c r="A3259" s="4" t="s">
        <v>7792</v>
      </c>
      <c r="B3259" s="28" t="s">
        <v>7513</v>
      </c>
    </row>
    <row r="3260">
      <c r="A3260" s="4" t="s">
        <v>7793</v>
      </c>
      <c r="B3260" s="28" t="s">
        <v>7513</v>
      </c>
    </row>
    <row r="3261">
      <c r="A3261" s="4" t="s">
        <v>7794</v>
      </c>
      <c r="B3261" s="28" t="s">
        <v>7513</v>
      </c>
    </row>
    <row r="3262">
      <c r="A3262" s="4" t="s">
        <v>7795</v>
      </c>
      <c r="B3262" s="28" t="s">
        <v>7513</v>
      </c>
    </row>
    <row r="3263">
      <c r="A3263" s="4" t="s">
        <v>7796</v>
      </c>
      <c r="B3263" s="28" t="s">
        <v>7513</v>
      </c>
    </row>
    <row r="3264">
      <c r="A3264" s="4" t="s">
        <v>7797</v>
      </c>
      <c r="B3264" s="28" t="s">
        <v>7513</v>
      </c>
    </row>
    <row r="3265">
      <c r="A3265" s="4" t="s">
        <v>7798</v>
      </c>
      <c r="B3265" s="28" t="s">
        <v>7513</v>
      </c>
    </row>
    <row r="3266">
      <c r="A3266" s="4" t="s">
        <v>7799</v>
      </c>
      <c r="B3266" s="28" t="s">
        <v>7513</v>
      </c>
    </row>
    <row r="3267">
      <c r="A3267" s="4" t="s">
        <v>7800</v>
      </c>
      <c r="B3267" s="28" t="s">
        <v>7513</v>
      </c>
    </row>
    <row r="3268">
      <c r="A3268" s="4" t="s">
        <v>7801</v>
      </c>
      <c r="B3268" s="28" t="s">
        <v>7513</v>
      </c>
    </row>
    <row r="3269">
      <c r="A3269" s="4" t="s">
        <v>7802</v>
      </c>
      <c r="B3269" s="28" t="s">
        <v>7513</v>
      </c>
    </row>
    <row r="3270">
      <c r="A3270" s="4" t="s">
        <v>7803</v>
      </c>
      <c r="B3270" s="28" t="s">
        <v>7513</v>
      </c>
    </row>
    <row r="3271">
      <c r="A3271" s="4" t="s">
        <v>7804</v>
      </c>
      <c r="B3271" s="28" t="s">
        <v>7513</v>
      </c>
    </row>
    <row r="3272">
      <c r="A3272" s="4" t="s">
        <v>7805</v>
      </c>
      <c r="B3272" s="28" t="s">
        <v>7513</v>
      </c>
    </row>
    <row r="3273">
      <c r="A3273" s="4" t="s">
        <v>7806</v>
      </c>
      <c r="B3273" s="28" t="s">
        <v>7513</v>
      </c>
    </row>
    <row r="3274">
      <c r="A3274" s="4" t="s">
        <v>7807</v>
      </c>
      <c r="B3274" s="28" t="s">
        <v>7513</v>
      </c>
    </row>
    <row r="3275">
      <c r="A3275" s="4" t="s">
        <v>7808</v>
      </c>
      <c r="B3275" s="28" t="s">
        <v>7513</v>
      </c>
    </row>
    <row r="3276">
      <c r="A3276" s="4" t="s">
        <v>7809</v>
      </c>
      <c r="B3276" s="28" t="s">
        <v>7513</v>
      </c>
    </row>
    <row r="3277">
      <c r="A3277" s="4" t="s">
        <v>7810</v>
      </c>
      <c r="B3277" s="28" t="s">
        <v>7513</v>
      </c>
    </row>
    <row r="3278">
      <c r="A3278" s="4" t="s">
        <v>7811</v>
      </c>
      <c r="B3278" s="28" t="s">
        <v>7513</v>
      </c>
    </row>
    <row r="3279">
      <c r="A3279" s="4" t="s">
        <v>7812</v>
      </c>
      <c r="B3279" s="28" t="s">
        <v>7513</v>
      </c>
    </row>
    <row r="3280">
      <c r="A3280" s="4" t="s">
        <v>7813</v>
      </c>
      <c r="B3280" s="28" t="s">
        <v>7513</v>
      </c>
    </row>
    <row r="3281">
      <c r="A3281" s="4" t="s">
        <v>7814</v>
      </c>
      <c r="B3281" s="28" t="s">
        <v>7513</v>
      </c>
    </row>
    <row r="3282">
      <c r="A3282" s="4" t="s">
        <v>7815</v>
      </c>
      <c r="B3282" s="28" t="s">
        <v>7513</v>
      </c>
    </row>
    <row r="3283">
      <c r="A3283" s="4" t="s">
        <v>7816</v>
      </c>
      <c r="B3283" s="28" t="s">
        <v>7513</v>
      </c>
    </row>
    <row r="3284">
      <c r="A3284" s="4" t="s">
        <v>7817</v>
      </c>
      <c r="B3284" s="28" t="s">
        <v>7513</v>
      </c>
    </row>
    <row r="3285">
      <c r="A3285" s="4" t="s">
        <v>7818</v>
      </c>
      <c r="B3285" s="28" t="s">
        <v>7513</v>
      </c>
    </row>
    <row r="3286">
      <c r="A3286" s="4" t="s">
        <v>7819</v>
      </c>
      <c r="B3286" s="28" t="s">
        <v>7513</v>
      </c>
    </row>
    <row r="3287">
      <c r="A3287" s="4" t="s">
        <v>7820</v>
      </c>
      <c r="B3287" s="28" t="s">
        <v>7513</v>
      </c>
    </row>
    <row r="3288">
      <c r="A3288" s="4" t="s">
        <v>7821</v>
      </c>
      <c r="B3288" s="28" t="s">
        <v>7513</v>
      </c>
    </row>
    <row r="3289">
      <c r="A3289" s="4" t="s">
        <v>7822</v>
      </c>
      <c r="B3289" s="28" t="s">
        <v>7513</v>
      </c>
    </row>
    <row r="3290">
      <c r="A3290" s="4" t="s">
        <v>7823</v>
      </c>
      <c r="B3290" s="28" t="s">
        <v>7513</v>
      </c>
    </row>
    <row r="3291">
      <c r="A3291" s="4" t="s">
        <v>7824</v>
      </c>
      <c r="B3291" s="28" t="s">
        <v>7513</v>
      </c>
    </row>
    <row r="3292">
      <c r="A3292" s="4" t="s">
        <v>7825</v>
      </c>
      <c r="B3292" s="28" t="s">
        <v>7513</v>
      </c>
    </row>
    <row r="3293">
      <c r="A3293" s="4" t="s">
        <v>7826</v>
      </c>
      <c r="B3293" s="28" t="s">
        <v>7513</v>
      </c>
    </row>
    <row r="3294">
      <c r="A3294" s="4" t="s">
        <v>7827</v>
      </c>
      <c r="B3294" s="28" t="s">
        <v>7513</v>
      </c>
    </row>
    <row r="3295">
      <c r="A3295" s="4" t="s">
        <v>7828</v>
      </c>
      <c r="B3295" s="28" t="s">
        <v>7513</v>
      </c>
    </row>
    <row r="3296">
      <c r="A3296" s="4" t="s">
        <v>7829</v>
      </c>
      <c r="B3296" s="28" t="s">
        <v>7513</v>
      </c>
    </row>
    <row r="3297">
      <c r="A3297" s="4" t="s">
        <v>7830</v>
      </c>
      <c r="B3297" s="28" t="s">
        <v>7513</v>
      </c>
    </row>
    <row r="3298">
      <c r="A3298" s="4" t="s">
        <v>7831</v>
      </c>
      <c r="B3298" s="28" t="s">
        <v>7513</v>
      </c>
    </row>
    <row r="3299">
      <c r="A3299" s="4" t="s">
        <v>7832</v>
      </c>
      <c r="B3299" s="28" t="s">
        <v>7513</v>
      </c>
    </row>
    <row r="3300">
      <c r="A3300" s="4" t="s">
        <v>7833</v>
      </c>
      <c r="B3300" s="28" t="s">
        <v>7513</v>
      </c>
    </row>
    <row r="3301">
      <c r="A3301" s="4" t="s">
        <v>7834</v>
      </c>
      <c r="B3301" s="28" t="s">
        <v>7513</v>
      </c>
    </row>
    <row r="3302">
      <c r="A3302" s="4" t="s">
        <v>7835</v>
      </c>
      <c r="B3302" s="28" t="s">
        <v>7513</v>
      </c>
    </row>
    <row r="3303">
      <c r="A3303" s="4" t="s">
        <v>7836</v>
      </c>
      <c r="B3303" s="28" t="s">
        <v>7513</v>
      </c>
    </row>
    <row r="3304">
      <c r="A3304" s="4" t="s">
        <v>7837</v>
      </c>
      <c r="B3304" s="28" t="s">
        <v>7513</v>
      </c>
    </row>
    <row r="3305">
      <c r="A3305" s="4" t="s">
        <v>7838</v>
      </c>
      <c r="B3305" s="28" t="s">
        <v>7513</v>
      </c>
    </row>
    <row r="3306">
      <c r="A3306" s="4" t="s">
        <v>7839</v>
      </c>
      <c r="B3306" s="28" t="s">
        <v>7513</v>
      </c>
    </row>
    <row r="3307">
      <c r="A3307" s="4" t="s">
        <v>7840</v>
      </c>
      <c r="B3307" s="28" t="s">
        <v>7513</v>
      </c>
    </row>
    <row r="3308">
      <c r="A3308" s="4" t="s">
        <v>7841</v>
      </c>
      <c r="B3308" s="28" t="s">
        <v>7513</v>
      </c>
    </row>
    <row r="3309">
      <c r="A3309" s="4" t="s">
        <v>7842</v>
      </c>
      <c r="B3309" s="28" t="s">
        <v>7513</v>
      </c>
    </row>
    <row r="3310">
      <c r="A3310" s="4" t="s">
        <v>7843</v>
      </c>
      <c r="B3310" s="28" t="s">
        <v>7513</v>
      </c>
    </row>
    <row r="3311">
      <c r="A3311" s="4" t="s">
        <v>7844</v>
      </c>
      <c r="B3311" s="28" t="s">
        <v>7513</v>
      </c>
    </row>
    <row r="3312">
      <c r="A3312" s="4" t="s">
        <v>7845</v>
      </c>
      <c r="B3312" s="28" t="s">
        <v>7513</v>
      </c>
    </row>
    <row r="3313">
      <c r="A3313" s="4" t="s">
        <v>7846</v>
      </c>
      <c r="B3313" s="28" t="s">
        <v>7513</v>
      </c>
    </row>
    <row r="3314">
      <c r="A3314" s="4" t="s">
        <v>7847</v>
      </c>
      <c r="B3314" s="28" t="s">
        <v>7513</v>
      </c>
    </row>
    <row r="3315">
      <c r="A3315" s="4" t="s">
        <v>7848</v>
      </c>
      <c r="B3315" s="28" t="s">
        <v>7513</v>
      </c>
    </row>
    <row r="3316">
      <c r="A3316" s="4" t="s">
        <v>7849</v>
      </c>
      <c r="B3316" s="28" t="s">
        <v>7513</v>
      </c>
    </row>
    <row r="3317">
      <c r="A3317" s="4" t="s">
        <v>7850</v>
      </c>
      <c r="B3317" s="28" t="s">
        <v>7513</v>
      </c>
    </row>
    <row r="3318">
      <c r="A3318" s="4" t="s">
        <v>7851</v>
      </c>
      <c r="B3318" s="28" t="s">
        <v>7513</v>
      </c>
    </row>
    <row r="3319">
      <c r="A3319" s="4" t="s">
        <v>7852</v>
      </c>
      <c r="B3319" s="28" t="s">
        <v>7513</v>
      </c>
    </row>
    <row r="3320">
      <c r="A3320" s="4" t="s">
        <v>7853</v>
      </c>
      <c r="B3320" s="28" t="s">
        <v>7513</v>
      </c>
    </row>
    <row r="3321">
      <c r="A3321" s="4" t="s">
        <v>7854</v>
      </c>
      <c r="B3321" s="28" t="s">
        <v>7513</v>
      </c>
    </row>
    <row r="3322">
      <c r="A3322" s="4" t="s">
        <v>7855</v>
      </c>
      <c r="B3322" s="28" t="s">
        <v>7513</v>
      </c>
    </row>
    <row r="3323">
      <c r="A3323" s="4" t="s">
        <v>7856</v>
      </c>
      <c r="B3323" s="28" t="s">
        <v>7513</v>
      </c>
    </row>
    <row r="3324">
      <c r="A3324" s="4" t="s">
        <v>7857</v>
      </c>
      <c r="B3324" s="28" t="s">
        <v>7513</v>
      </c>
    </row>
    <row r="3325">
      <c r="A3325" s="4" t="s">
        <v>7858</v>
      </c>
      <c r="B3325" s="28" t="s">
        <v>7513</v>
      </c>
    </row>
    <row r="3326">
      <c r="A3326" s="4" t="s">
        <v>7859</v>
      </c>
      <c r="B3326" s="28" t="s">
        <v>7513</v>
      </c>
    </row>
    <row r="3327">
      <c r="A3327" s="4" t="s">
        <v>7860</v>
      </c>
      <c r="B3327" s="28" t="s">
        <v>7513</v>
      </c>
    </row>
    <row r="3328">
      <c r="A3328" s="4" t="s">
        <v>7861</v>
      </c>
      <c r="B3328" s="28" t="s">
        <v>7513</v>
      </c>
    </row>
    <row r="3329">
      <c r="A3329" s="4" t="s">
        <v>7862</v>
      </c>
      <c r="B3329" s="28" t="s">
        <v>7513</v>
      </c>
    </row>
    <row r="3330">
      <c r="A3330" s="4" t="s">
        <v>7863</v>
      </c>
      <c r="B3330" s="28" t="s">
        <v>7513</v>
      </c>
    </row>
    <row r="3331">
      <c r="A3331" s="4" t="s">
        <v>7864</v>
      </c>
      <c r="B3331" s="28" t="s">
        <v>7513</v>
      </c>
    </row>
    <row r="3332">
      <c r="A3332" s="4" t="s">
        <v>7865</v>
      </c>
      <c r="B3332" s="28" t="s">
        <v>7513</v>
      </c>
    </row>
    <row r="3333">
      <c r="A3333" s="4" t="s">
        <v>7866</v>
      </c>
      <c r="B3333" s="28" t="s">
        <v>7513</v>
      </c>
    </row>
    <row r="3334">
      <c r="A3334" s="4" t="s">
        <v>7867</v>
      </c>
      <c r="B3334" s="28" t="s">
        <v>7513</v>
      </c>
    </row>
    <row r="3335">
      <c r="A3335" s="4" t="s">
        <v>7868</v>
      </c>
      <c r="B3335" s="28" t="s">
        <v>7513</v>
      </c>
    </row>
    <row r="3336">
      <c r="A3336" s="4" t="s">
        <v>7869</v>
      </c>
      <c r="B3336" s="28" t="s">
        <v>7513</v>
      </c>
    </row>
    <row r="3337">
      <c r="A3337" s="4" t="s">
        <v>7870</v>
      </c>
      <c r="B3337" s="28" t="s">
        <v>7513</v>
      </c>
    </row>
    <row r="3338">
      <c r="A3338" s="4" t="s">
        <v>7871</v>
      </c>
      <c r="B3338" s="28" t="s">
        <v>7513</v>
      </c>
    </row>
    <row r="3339">
      <c r="A3339" s="4" t="s">
        <v>7872</v>
      </c>
      <c r="B3339" s="28" t="s">
        <v>7513</v>
      </c>
    </row>
    <row r="3340">
      <c r="A3340" s="4" t="s">
        <v>7873</v>
      </c>
      <c r="B3340" s="28" t="s">
        <v>7513</v>
      </c>
    </row>
    <row r="3341">
      <c r="A3341" s="4" t="s">
        <v>7874</v>
      </c>
      <c r="B3341" s="28" t="s">
        <v>7513</v>
      </c>
    </row>
    <row r="3342">
      <c r="A3342" s="4" t="s">
        <v>7875</v>
      </c>
      <c r="B3342" s="28" t="s">
        <v>7513</v>
      </c>
    </row>
    <row r="3343">
      <c r="A3343" s="4" t="s">
        <v>7876</v>
      </c>
      <c r="B3343" s="28" t="s">
        <v>7513</v>
      </c>
    </row>
    <row r="3344">
      <c r="A3344" s="4" t="s">
        <v>7877</v>
      </c>
      <c r="B3344" s="28" t="s">
        <v>7513</v>
      </c>
    </row>
    <row r="3345">
      <c r="A3345" s="4" t="s">
        <v>7878</v>
      </c>
      <c r="B3345" s="28" t="s">
        <v>7513</v>
      </c>
    </row>
    <row r="3346">
      <c r="A3346" s="4" t="s">
        <v>7879</v>
      </c>
      <c r="B3346" s="28" t="s">
        <v>7513</v>
      </c>
    </row>
    <row r="3347">
      <c r="A3347" s="4" t="s">
        <v>7880</v>
      </c>
      <c r="B3347" s="28" t="s">
        <v>7513</v>
      </c>
    </row>
    <row r="3348">
      <c r="A3348" s="4" t="s">
        <v>7881</v>
      </c>
      <c r="B3348" s="28" t="s">
        <v>7513</v>
      </c>
    </row>
    <row r="3349">
      <c r="A3349" s="4" t="s">
        <v>7882</v>
      </c>
      <c r="B3349" s="28" t="s">
        <v>7513</v>
      </c>
    </row>
    <row r="3350">
      <c r="A3350" s="4" t="s">
        <v>7883</v>
      </c>
      <c r="B3350" s="28" t="s">
        <v>7513</v>
      </c>
    </row>
    <row r="3351">
      <c r="A3351" s="4" t="s">
        <v>7884</v>
      </c>
      <c r="B3351" s="28" t="s">
        <v>7513</v>
      </c>
    </row>
    <row r="3352">
      <c r="A3352" s="4" t="s">
        <v>7885</v>
      </c>
      <c r="B3352" s="28" t="s">
        <v>7513</v>
      </c>
    </row>
    <row r="3353">
      <c r="A3353" s="4" t="s">
        <v>7886</v>
      </c>
      <c r="B3353" s="28" t="s">
        <v>7513</v>
      </c>
    </row>
    <row r="3354">
      <c r="A3354" s="4" t="s">
        <v>7887</v>
      </c>
      <c r="B3354" s="28" t="s">
        <v>7513</v>
      </c>
    </row>
    <row r="3355">
      <c r="A3355" s="4" t="s">
        <v>7888</v>
      </c>
      <c r="B3355" s="28" t="s">
        <v>7513</v>
      </c>
    </row>
    <row r="3356">
      <c r="A3356" s="4" t="s">
        <v>7889</v>
      </c>
      <c r="B3356" s="28" t="s">
        <v>7513</v>
      </c>
    </row>
    <row r="3357">
      <c r="A3357" s="4" t="s">
        <v>7890</v>
      </c>
      <c r="B3357" s="28" t="s">
        <v>7513</v>
      </c>
    </row>
    <row r="3358">
      <c r="A3358" s="4" t="s">
        <v>7891</v>
      </c>
      <c r="B3358" s="28" t="s">
        <v>7513</v>
      </c>
    </row>
    <row r="3359">
      <c r="A3359" s="4" t="s">
        <v>7892</v>
      </c>
      <c r="B3359" s="28" t="s">
        <v>7513</v>
      </c>
    </row>
    <row r="3360">
      <c r="A3360" s="4" t="s">
        <v>7893</v>
      </c>
      <c r="B3360" s="28" t="s">
        <v>7513</v>
      </c>
    </row>
    <row r="3361">
      <c r="A3361" s="4" t="s">
        <v>7894</v>
      </c>
      <c r="B3361" s="28" t="s">
        <v>7513</v>
      </c>
    </row>
    <row r="3362">
      <c r="A3362" s="4" t="s">
        <v>7895</v>
      </c>
      <c r="B3362" s="28" t="s">
        <v>7513</v>
      </c>
    </row>
    <row r="3363">
      <c r="A3363" s="4" t="s">
        <v>7896</v>
      </c>
      <c r="B3363" s="28" t="s">
        <v>7513</v>
      </c>
    </row>
    <row r="3364">
      <c r="A3364" s="4" t="s">
        <v>7897</v>
      </c>
      <c r="B3364" s="28" t="s">
        <v>7513</v>
      </c>
    </row>
    <row r="3365">
      <c r="A3365" s="4" t="s">
        <v>7898</v>
      </c>
      <c r="B3365" s="28" t="s">
        <v>7513</v>
      </c>
    </row>
    <row r="3366">
      <c r="A3366" s="4" t="s">
        <v>7899</v>
      </c>
      <c r="B3366" s="28" t="s">
        <v>7513</v>
      </c>
    </row>
    <row r="3367">
      <c r="A3367" s="4" t="s">
        <v>7900</v>
      </c>
      <c r="B3367" s="28" t="s">
        <v>7513</v>
      </c>
    </row>
    <row r="3368">
      <c r="A3368" s="4" t="s">
        <v>7901</v>
      </c>
      <c r="B3368" s="28" t="s">
        <v>7513</v>
      </c>
    </row>
    <row r="3369">
      <c r="A3369" s="4" t="s">
        <v>7902</v>
      </c>
      <c r="B3369" s="28" t="s">
        <v>7513</v>
      </c>
    </row>
    <row r="3370">
      <c r="A3370" s="4" t="s">
        <v>7903</v>
      </c>
      <c r="B3370" s="28" t="s">
        <v>7513</v>
      </c>
    </row>
    <row r="3371">
      <c r="A3371" s="4" t="s">
        <v>7904</v>
      </c>
      <c r="B3371" s="28" t="s">
        <v>7513</v>
      </c>
    </row>
    <row r="3372">
      <c r="A3372" s="4" t="s">
        <v>7905</v>
      </c>
      <c r="B3372" s="28" t="s">
        <v>7513</v>
      </c>
    </row>
    <row r="3373">
      <c r="A3373" s="4" t="s">
        <v>7906</v>
      </c>
      <c r="B3373" s="28" t="s">
        <v>7513</v>
      </c>
    </row>
    <row r="3374">
      <c r="A3374" s="4" t="s">
        <v>7907</v>
      </c>
      <c r="B3374" s="28" t="s">
        <v>7513</v>
      </c>
    </row>
    <row r="3375">
      <c r="A3375" s="4" t="s">
        <v>7908</v>
      </c>
      <c r="B3375" s="28" t="s">
        <v>7513</v>
      </c>
    </row>
    <row r="3376">
      <c r="A3376" s="4" t="s">
        <v>7909</v>
      </c>
      <c r="B3376" s="28" t="s">
        <v>7513</v>
      </c>
    </row>
    <row r="3377">
      <c r="A3377" s="4" t="s">
        <v>7910</v>
      </c>
      <c r="B3377" s="28" t="s">
        <v>7513</v>
      </c>
    </row>
    <row r="3378">
      <c r="A3378" s="4" t="s">
        <v>7911</v>
      </c>
      <c r="B3378" s="28" t="s">
        <v>7513</v>
      </c>
    </row>
    <row r="3379">
      <c r="A3379" s="4" t="s">
        <v>7912</v>
      </c>
      <c r="B3379" s="28" t="s">
        <v>7513</v>
      </c>
    </row>
    <row r="3380">
      <c r="A3380" s="4" t="s">
        <v>7913</v>
      </c>
      <c r="B3380" s="28" t="s">
        <v>7513</v>
      </c>
    </row>
    <row r="3381">
      <c r="A3381" s="4" t="s">
        <v>7914</v>
      </c>
      <c r="B3381" s="28" t="s">
        <v>7513</v>
      </c>
    </row>
    <row r="3382">
      <c r="A3382" s="4" t="s">
        <v>7915</v>
      </c>
      <c r="B3382" s="28" t="s">
        <v>7513</v>
      </c>
    </row>
    <row r="3383">
      <c r="A3383" s="4" t="s">
        <v>7916</v>
      </c>
      <c r="B3383" s="28" t="s">
        <v>7513</v>
      </c>
    </row>
    <row r="3384">
      <c r="A3384" s="4" t="s">
        <v>7917</v>
      </c>
      <c r="B3384" s="28" t="s">
        <v>7513</v>
      </c>
    </row>
    <row r="3385">
      <c r="A3385" s="4" t="s">
        <v>7918</v>
      </c>
      <c r="B3385" s="28" t="s">
        <v>7513</v>
      </c>
    </row>
    <row r="3386">
      <c r="A3386" s="4" t="s">
        <v>7919</v>
      </c>
      <c r="B3386" s="28" t="s">
        <v>7513</v>
      </c>
    </row>
    <row r="3387">
      <c r="A3387" s="4" t="s">
        <v>7920</v>
      </c>
      <c r="B3387" s="28" t="s">
        <v>7513</v>
      </c>
    </row>
    <row r="3388">
      <c r="A3388" s="4" t="s">
        <v>7921</v>
      </c>
      <c r="B3388" s="28" t="s">
        <v>7513</v>
      </c>
    </row>
    <row r="3389">
      <c r="A3389" s="4" t="s">
        <v>7922</v>
      </c>
      <c r="B3389" s="28" t="s">
        <v>7513</v>
      </c>
    </row>
    <row r="3390">
      <c r="A3390" s="4" t="s">
        <v>7923</v>
      </c>
      <c r="B3390" s="28" t="s">
        <v>7513</v>
      </c>
    </row>
    <row r="3391">
      <c r="A3391" s="4" t="s">
        <v>7924</v>
      </c>
      <c r="B3391" s="28" t="s">
        <v>7513</v>
      </c>
    </row>
    <row r="3392">
      <c r="A3392" s="4" t="s">
        <v>7925</v>
      </c>
      <c r="B3392" s="28" t="s">
        <v>7513</v>
      </c>
    </row>
    <row r="3393">
      <c r="A3393" s="4" t="s">
        <v>7926</v>
      </c>
      <c r="B3393" s="28" t="s">
        <v>7513</v>
      </c>
    </row>
    <row r="3394">
      <c r="A3394" s="4" t="s">
        <v>7927</v>
      </c>
      <c r="B3394" s="28" t="s">
        <v>7513</v>
      </c>
    </row>
    <row r="3395">
      <c r="A3395" s="4" t="s">
        <v>7928</v>
      </c>
      <c r="B3395" s="28" t="s">
        <v>7513</v>
      </c>
    </row>
    <row r="3396">
      <c r="A3396" s="4" t="s">
        <v>7929</v>
      </c>
      <c r="B3396" s="28" t="s">
        <v>7513</v>
      </c>
    </row>
    <row r="3397">
      <c r="A3397" s="4" t="s">
        <v>7930</v>
      </c>
      <c r="B3397" s="28" t="s">
        <v>7513</v>
      </c>
    </row>
    <row r="3398">
      <c r="A3398" s="4" t="s">
        <v>7931</v>
      </c>
      <c r="B3398" s="28" t="s">
        <v>7513</v>
      </c>
    </row>
    <row r="3399">
      <c r="A3399" s="4" t="s">
        <v>7932</v>
      </c>
      <c r="B3399" s="28" t="s">
        <v>7513</v>
      </c>
    </row>
    <row r="3400">
      <c r="A3400" s="4" t="s">
        <v>7933</v>
      </c>
      <c r="B3400" s="28" t="s">
        <v>7513</v>
      </c>
    </row>
    <row r="3401">
      <c r="A3401" s="4" t="s">
        <v>7934</v>
      </c>
      <c r="B3401" s="28" t="s">
        <v>7513</v>
      </c>
    </row>
    <row r="3402">
      <c r="A3402" s="4" t="s">
        <v>7935</v>
      </c>
      <c r="B3402" s="28" t="s">
        <v>7513</v>
      </c>
    </row>
    <row r="3403">
      <c r="A3403" s="4" t="s">
        <v>7936</v>
      </c>
      <c r="B3403" s="28" t="s">
        <v>7513</v>
      </c>
    </row>
    <row r="3404">
      <c r="A3404" s="4" t="s">
        <v>7937</v>
      </c>
      <c r="B3404" s="28" t="s">
        <v>7513</v>
      </c>
    </row>
    <row r="3405">
      <c r="A3405" s="4" t="s">
        <v>7938</v>
      </c>
      <c r="B3405" s="28" t="s">
        <v>7513</v>
      </c>
    </row>
    <row r="3406">
      <c r="A3406" s="4" t="s">
        <v>7939</v>
      </c>
      <c r="B3406" s="28" t="s">
        <v>7513</v>
      </c>
    </row>
    <row r="3407">
      <c r="A3407" s="4" t="s">
        <v>7940</v>
      </c>
      <c r="B3407" s="28" t="s">
        <v>7513</v>
      </c>
    </row>
    <row r="3408">
      <c r="A3408" s="4" t="s">
        <v>7941</v>
      </c>
      <c r="B3408" s="28" t="s">
        <v>7513</v>
      </c>
    </row>
    <row r="3409">
      <c r="A3409" s="4" t="s">
        <v>7942</v>
      </c>
      <c r="B3409" s="28" t="s">
        <v>7513</v>
      </c>
    </row>
    <row r="3410">
      <c r="A3410" s="4" t="s">
        <v>7943</v>
      </c>
      <c r="B3410" s="28" t="s">
        <v>7513</v>
      </c>
    </row>
    <row r="3411">
      <c r="A3411" s="4" t="s">
        <v>7944</v>
      </c>
      <c r="B3411" s="28" t="s">
        <v>7513</v>
      </c>
    </row>
    <row r="3412">
      <c r="A3412" s="4" t="s">
        <v>7945</v>
      </c>
      <c r="B3412" s="28" t="s">
        <v>7513</v>
      </c>
    </row>
    <row r="3413">
      <c r="A3413" s="4" t="s">
        <v>7946</v>
      </c>
      <c r="B3413" s="28" t="s">
        <v>7513</v>
      </c>
    </row>
    <row r="3414">
      <c r="A3414" s="4" t="s">
        <v>7947</v>
      </c>
      <c r="B3414" s="28" t="s">
        <v>7513</v>
      </c>
    </row>
    <row r="3415">
      <c r="A3415" s="4" t="s">
        <v>7948</v>
      </c>
      <c r="B3415" s="28" t="s">
        <v>7513</v>
      </c>
    </row>
    <row r="3416">
      <c r="A3416" s="4" t="s">
        <v>7949</v>
      </c>
      <c r="B3416" s="28" t="s">
        <v>7513</v>
      </c>
    </row>
    <row r="3417">
      <c r="A3417" s="4" t="s">
        <v>7950</v>
      </c>
      <c r="B3417" s="28" t="s">
        <v>7513</v>
      </c>
    </row>
    <row r="3418">
      <c r="A3418" s="4" t="s">
        <v>7951</v>
      </c>
      <c r="B3418" s="28" t="s">
        <v>7513</v>
      </c>
    </row>
    <row r="3419">
      <c r="A3419" s="4" t="s">
        <v>7952</v>
      </c>
      <c r="B3419" s="28" t="s">
        <v>7513</v>
      </c>
    </row>
    <row r="3420">
      <c r="A3420" s="4" t="s">
        <v>7953</v>
      </c>
      <c r="B3420" s="28" t="s">
        <v>7513</v>
      </c>
    </row>
    <row r="3421">
      <c r="A3421" s="4" t="s">
        <v>7954</v>
      </c>
      <c r="B3421" s="28" t="s">
        <v>7513</v>
      </c>
    </row>
    <row r="3422">
      <c r="A3422" s="4" t="s">
        <v>7955</v>
      </c>
      <c r="B3422" s="28" t="s">
        <v>7513</v>
      </c>
    </row>
    <row r="3423">
      <c r="A3423" s="4" t="s">
        <v>7956</v>
      </c>
      <c r="B3423" s="28" t="s">
        <v>7513</v>
      </c>
    </row>
    <row r="3424">
      <c r="A3424" s="4" t="s">
        <v>7957</v>
      </c>
      <c r="B3424" s="28" t="s">
        <v>7513</v>
      </c>
    </row>
    <row r="3425">
      <c r="A3425" s="4" t="s">
        <v>7958</v>
      </c>
      <c r="B3425" s="28" t="s">
        <v>7513</v>
      </c>
    </row>
    <row r="3426">
      <c r="A3426" s="4" t="s">
        <v>7959</v>
      </c>
      <c r="B3426" s="28" t="s">
        <v>7513</v>
      </c>
    </row>
    <row r="3427">
      <c r="A3427" s="4" t="s">
        <v>7960</v>
      </c>
      <c r="B3427" s="28" t="s">
        <v>7513</v>
      </c>
    </row>
    <row r="3428">
      <c r="A3428" s="4" t="s">
        <v>7961</v>
      </c>
      <c r="B3428" s="28" t="s">
        <v>7513</v>
      </c>
    </row>
    <row r="3429">
      <c r="A3429" s="4" t="s">
        <v>7962</v>
      </c>
      <c r="B3429" s="28" t="s">
        <v>7513</v>
      </c>
    </row>
    <row r="3430">
      <c r="A3430" s="4" t="s">
        <v>7963</v>
      </c>
      <c r="B3430" s="28" t="s">
        <v>7513</v>
      </c>
    </row>
    <row r="3431">
      <c r="A3431" s="4" t="s">
        <v>7964</v>
      </c>
      <c r="B3431" s="28" t="s">
        <v>7513</v>
      </c>
    </row>
    <row r="3432">
      <c r="A3432" s="4" t="s">
        <v>7965</v>
      </c>
      <c r="B3432" s="28" t="s">
        <v>7513</v>
      </c>
    </row>
    <row r="3433">
      <c r="A3433" s="4" t="s">
        <v>7966</v>
      </c>
      <c r="B3433" s="28" t="s">
        <v>7513</v>
      </c>
    </row>
    <row r="3434">
      <c r="A3434" s="4" t="s">
        <v>7967</v>
      </c>
      <c r="B3434" s="28" t="s">
        <v>7513</v>
      </c>
    </row>
    <row r="3435">
      <c r="A3435" s="4" t="s">
        <v>7968</v>
      </c>
      <c r="B3435" s="28" t="s">
        <v>7513</v>
      </c>
    </row>
    <row r="3436">
      <c r="A3436" s="4" t="s">
        <v>7969</v>
      </c>
      <c r="B3436" s="28" t="s">
        <v>7513</v>
      </c>
    </row>
    <row r="3437">
      <c r="A3437" s="4" t="s">
        <v>7970</v>
      </c>
      <c r="B3437" s="28" t="s">
        <v>7513</v>
      </c>
    </row>
    <row r="3438">
      <c r="A3438" s="4" t="s">
        <v>7971</v>
      </c>
      <c r="B3438" s="28" t="s">
        <v>7513</v>
      </c>
    </row>
    <row r="3439">
      <c r="A3439" s="4" t="s">
        <v>7972</v>
      </c>
      <c r="B3439" s="28" t="s">
        <v>7513</v>
      </c>
    </row>
    <row r="3440">
      <c r="A3440" s="4" t="s">
        <v>7973</v>
      </c>
      <c r="B3440" s="28" t="s">
        <v>7513</v>
      </c>
    </row>
    <row r="3441">
      <c r="A3441" s="4" t="s">
        <v>7974</v>
      </c>
      <c r="B3441" s="28" t="s">
        <v>7513</v>
      </c>
    </row>
    <row r="3442">
      <c r="A3442" s="4" t="s">
        <v>7975</v>
      </c>
      <c r="B3442" s="28" t="s">
        <v>7513</v>
      </c>
    </row>
    <row r="3443">
      <c r="A3443" s="4" t="s">
        <v>7976</v>
      </c>
      <c r="B3443" s="28" t="s">
        <v>7513</v>
      </c>
    </row>
    <row r="3444">
      <c r="A3444" s="4" t="s">
        <v>7977</v>
      </c>
      <c r="B3444" s="28" t="s">
        <v>7513</v>
      </c>
    </row>
    <row r="3445">
      <c r="A3445" s="4" t="s">
        <v>7978</v>
      </c>
      <c r="B3445" s="28" t="s">
        <v>7513</v>
      </c>
    </row>
    <row r="3446">
      <c r="A3446" s="4" t="s">
        <v>7979</v>
      </c>
      <c r="B3446" s="28" t="s">
        <v>7513</v>
      </c>
    </row>
    <row r="3447">
      <c r="A3447" s="4" t="s">
        <v>7980</v>
      </c>
      <c r="B3447" s="28" t="s">
        <v>7513</v>
      </c>
    </row>
    <row r="3448">
      <c r="A3448" s="4" t="s">
        <v>7981</v>
      </c>
      <c r="B3448" s="28" t="s">
        <v>7513</v>
      </c>
    </row>
    <row r="3449">
      <c r="A3449" s="4" t="s">
        <v>7982</v>
      </c>
      <c r="B3449" s="28" t="s">
        <v>7513</v>
      </c>
    </row>
    <row r="3450">
      <c r="A3450" s="4" t="s">
        <v>7983</v>
      </c>
      <c r="B3450" s="28" t="s">
        <v>7513</v>
      </c>
    </row>
    <row r="3451">
      <c r="A3451" s="4" t="s">
        <v>7984</v>
      </c>
      <c r="B3451" s="28" t="s">
        <v>7513</v>
      </c>
    </row>
    <row r="3452">
      <c r="A3452" s="4" t="s">
        <v>7985</v>
      </c>
      <c r="B3452" s="28" t="s">
        <v>7513</v>
      </c>
    </row>
    <row r="3453">
      <c r="A3453" s="4" t="s">
        <v>7986</v>
      </c>
      <c r="B3453" s="28" t="s">
        <v>7513</v>
      </c>
    </row>
    <row r="3454">
      <c r="A3454" s="4" t="s">
        <v>7987</v>
      </c>
      <c r="B3454" s="28" t="s">
        <v>7513</v>
      </c>
    </row>
    <row r="3455">
      <c r="A3455" s="4" t="s">
        <v>7988</v>
      </c>
      <c r="B3455" s="28" t="s">
        <v>7513</v>
      </c>
    </row>
    <row r="3456">
      <c r="A3456" s="4" t="s">
        <v>7989</v>
      </c>
      <c r="B3456" s="28" t="s">
        <v>7513</v>
      </c>
    </row>
    <row r="3457">
      <c r="A3457" s="4" t="s">
        <v>7990</v>
      </c>
      <c r="B3457" s="28" t="s">
        <v>7513</v>
      </c>
    </row>
    <row r="3458">
      <c r="A3458" s="4" t="s">
        <v>7991</v>
      </c>
      <c r="B3458" s="28" t="s">
        <v>7513</v>
      </c>
    </row>
    <row r="3459">
      <c r="A3459" s="4" t="s">
        <v>7992</v>
      </c>
      <c r="B3459" s="28" t="s">
        <v>7513</v>
      </c>
    </row>
    <row r="3460">
      <c r="A3460" s="4" t="s">
        <v>7993</v>
      </c>
      <c r="B3460" s="28" t="s">
        <v>7513</v>
      </c>
    </row>
    <row r="3461">
      <c r="A3461" s="4" t="s">
        <v>7994</v>
      </c>
      <c r="B3461" s="28" t="s">
        <v>7513</v>
      </c>
    </row>
    <row r="3462">
      <c r="A3462" s="4" t="s">
        <v>7995</v>
      </c>
      <c r="B3462" s="28" t="s">
        <v>7513</v>
      </c>
    </row>
    <row r="3463">
      <c r="A3463" s="4" t="s">
        <v>7996</v>
      </c>
      <c r="B3463" s="28" t="s">
        <v>7513</v>
      </c>
    </row>
    <row r="3464">
      <c r="A3464" s="4" t="s">
        <v>7997</v>
      </c>
      <c r="B3464" s="28" t="s">
        <v>7513</v>
      </c>
    </row>
    <row r="3465">
      <c r="A3465" s="4" t="s">
        <v>7998</v>
      </c>
      <c r="B3465" s="28" t="s">
        <v>7513</v>
      </c>
    </row>
    <row r="3466">
      <c r="A3466" s="4" t="s">
        <v>7999</v>
      </c>
      <c r="B3466" s="28" t="s">
        <v>7513</v>
      </c>
    </row>
    <row r="3467">
      <c r="A3467" s="4" t="s">
        <v>8000</v>
      </c>
      <c r="B3467" s="28" t="s">
        <v>7513</v>
      </c>
    </row>
    <row r="3468">
      <c r="A3468" s="4" t="s">
        <v>8001</v>
      </c>
      <c r="B3468" s="28" t="s">
        <v>7513</v>
      </c>
    </row>
    <row r="3469">
      <c r="A3469" s="4" t="s">
        <v>8002</v>
      </c>
      <c r="B3469" s="28" t="s">
        <v>7513</v>
      </c>
    </row>
    <row r="3470">
      <c r="A3470" s="4" t="s">
        <v>8003</v>
      </c>
      <c r="B3470" s="28" t="s">
        <v>7513</v>
      </c>
    </row>
    <row r="3471">
      <c r="A3471" s="4" t="s">
        <v>8004</v>
      </c>
      <c r="B3471" s="28" t="s">
        <v>7513</v>
      </c>
    </row>
    <row r="3472">
      <c r="A3472" s="4" t="s">
        <v>8005</v>
      </c>
      <c r="B3472" s="28" t="s">
        <v>7513</v>
      </c>
    </row>
    <row r="3473">
      <c r="A3473" s="4" t="s">
        <v>8006</v>
      </c>
      <c r="B3473" s="28" t="s">
        <v>7513</v>
      </c>
    </row>
    <row r="3474">
      <c r="A3474" s="4" t="s">
        <v>8007</v>
      </c>
      <c r="B3474" s="28" t="s">
        <v>7513</v>
      </c>
    </row>
    <row r="3475">
      <c r="A3475" s="4" t="s">
        <v>8008</v>
      </c>
      <c r="B3475" s="28" t="s">
        <v>7513</v>
      </c>
    </row>
    <row r="3476">
      <c r="A3476" s="4" t="s">
        <v>8009</v>
      </c>
      <c r="B3476" s="28" t="s">
        <v>7513</v>
      </c>
    </row>
    <row r="3477">
      <c r="A3477" s="4" t="s">
        <v>8010</v>
      </c>
      <c r="B3477" s="28" t="s">
        <v>7513</v>
      </c>
    </row>
    <row r="3478">
      <c r="A3478" s="4" t="s">
        <v>8011</v>
      </c>
      <c r="B3478" s="28" t="s">
        <v>7513</v>
      </c>
    </row>
    <row r="3479">
      <c r="A3479" s="4" t="s">
        <v>8012</v>
      </c>
      <c r="B3479" s="28" t="s">
        <v>7513</v>
      </c>
    </row>
    <row r="3480">
      <c r="A3480" s="4" t="s">
        <v>8013</v>
      </c>
      <c r="B3480" s="28" t="s">
        <v>7513</v>
      </c>
    </row>
    <row r="3481">
      <c r="A3481" s="4" t="s">
        <v>8014</v>
      </c>
      <c r="B3481" s="28" t="s">
        <v>7513</v>
      </c>
    </row>
    <row r="3482">
      <c r="A3482" s="4" t="s">
        <v>8015</v>
      </c>
      <c r="B3482" s="28" t="s">
        <v>7513</v>
      </c>
    </row>
    <row r="3483">
      <c r="A3483" s="4" t="s">
        <v>8016</v>
      </c>
      <c r="B3483" s="28" t="s">
        <v>7513</v>
      </c>
    </row>
    <row r="3484">
      <c r="A3484" s="4" t="s">
        <v>8017</v>
      </c>
      <c r="B3484" s="28" t="s">
        <v>7513</v>
      </c>
    </row>
    <row r="3485">
      <c r="A3485" s="4" t="s">
        <v>8018</v>
      </c>
      <c r="B3485" s="28" t="s">
        <v>7513</v>
      </c>
    </row>
    <row r="3486">
      <c r="A3486" s="4" t="s">
        <v>8019</v>
      </c>
      <c r="B3486" s="28" t="s">
        <v>7513</v>
      </c>
    </row>
    <row r="3487">
      <c r="A3487" s="4" t="s">
        <v>8020</v>
      </c>
      <c r="B3487" s="28" t="s">
        <v>7513</v>
      </c>
    </row>
    <row r="3488">
      <c r="A3488" s="4" t="s">
        <v>8021</v>
      </c>
      <c r="B3488" s="28" t="s">
        <v>7513</v>
      </c>
    </row>
    <row r="3489">
      <c r="A3489" s="4" t="s">
        <v>8022</v>
      </c>
      <c r="B3489" s="28" t="s">
        <v>7513</v>
      </c>
    </row>
    <row r="3490">
      <c r="A3490" s="4" t="s">
        <v>8023</v>
      </c>
      <c r="B3490" s="28" t="s">
        <v>7513</v>
      </c>
    </row>
    <row r="3491">
      <c r="A3491" s="4" t="s">
        <v>8024</v>
      </c>
      <c r="B3491" s="28" t="s">
        <v>7513</v>
      </c>
    </row>
    <row r="3492">
      <c r="A3492" s="4" t="s">
        <v>8025</v>
      </c>
      <c r="B3492" s="28" t="s">
        <v>7513</v>
      </c>
    </row>
    <row r="3493">
      <c r="A3493" s="4" t="s">
        <v>8026</v>
      </c>
      <c r="B3493" s="28" t="s">
        <v>7513</v>
      </c>
    </row>
    <row r="3494">
      <c r="A3494" s="4" t="s">
        <v>8027</v>
      </c>
      <c r="B3494" s="28" t="s">
        <v>7513</v>
      </c>
    </row>
    <row r="3495">
      <c r="A3495" s="4" t="s">
        <v>8028</v>
      </c>
      <c r="B3495" s="28" t="s">
        <v>7513</v>
      </c>
    </row>
    <row r="3496">
      <c r="A3496" s="4" t="s">
        <v>8029</v>
      </c>
      <c r="B3496" s="28" t="s">
        <v>7513</v>
      </c>
    </row>
    <row r="3497">
      <c r="A3497" s="4" t="s">
        <v>8030</v>
      </c>
      <c r="B3497" s="28" t="s">
        <v>7513</v>
      </c>
    </row>
    <row r="3498">
      <c r="A3498" s="4" t="s">
        <v>8031</v>
      </c>
      <c r="B3498" s="28" t="s">
        <v>7513</v>
      </c>
    </row>
    <row r="3499">
      <c r="A3499" s="4" t="s">
        <v>8032</v>
      </c>
      <c r="B3499" s="28" t="s">
        <v>7513</v>
      </c>
    </row>
    <row r="3500">
      <c r="A3500" s="4" t="s">
        <v>8033</v>
      </c>
      <c r="B3500" s="28" t="s">
        <v>7513</v>
      </c>
    </row>
    <row r="3501">
      <c r="A3501" s="4" t="s">
        <v>8034</v>
      </c>
      <c r="B3501" s="28" t="s">
        <v>7513</v>
      </c>
    </row>
    <row r="3502">
      <c r="A3502" s="4" t="s">
        <v>8035</v>
      </c>
      <c r="B3502" s="28" t="s">
        <v>7513</v>
      </c>
    </row>
    <row r="3503">
      <c r="A3503" s="4" t="s">
        <v>8036</v>
      </c>
      <c r="B3503" s="28" t="s">
        <v>7513</v>
      </c>
    </row>
    <row r="3504">
      <c r="A3504" s="4" t="s">
        <v>8037</v>
      </c>
      <c r="B3504" s="28" t="s">
        <v>7513</v>
      </c>
    </row>
    <row r="3505">
      <c r="A3505" s="4" t="s">
        <v>8038</v>
      </c>
      <c r="B3505" s="28" t="s">
        <v>7513</v>
      </c>
    </row>
    <row r="3506">
      <c r="A3506" s="4" t="s">
        <v>8039</v>
      </c>
      <c r="B3506" s="28" t="s">
        <v>7513</v>
      </c>
    </row>
    <row r="3507">
      <c r="A3507" s="4" t="s">
        <v>8040</v>
      </c>
      <c r="B3507" s="28" t="s">
        <v>7513</v>
      </c>
    </row>
    <row r="3508">
      <c r="A3508" s="4" t="s">
        <v>8041</v>
      </c>
      <c r="B3508" s="28" t="s">
        <v>7513</v>
      </c>
    </row>
    <row r="3509">
      <c r="A3509" s="4" t="s">
        <v>8042</v>
      </c>
      <c r="B3509" s="28" t="s">
        <v>7513</v>
      </c>
    </row>
    <row r="3510">
      <c r="A3510" s="4" t="s">
        <v>8043</v>
      </c>
      <c r="B3510" s="28" t="s">
        <v>7513</v>
      </c>
    </row>
    <row r="3511">
      <c r="A3511" s="4" t="s">
        <v>8044</v>
      </c>
      <c r="B3511" s="28" t="s">
        <v>7513</v>
      </c>
    </row>
    <row r="3512">
      <c r="A3512" s="4" t="s">
        <v>8045</v>
      </c>
      <c r="B3512" s="28" t="s">
        <v>7513</v>
      </c>
    </row>
    <row r="3513">
      <c r="A3513" s="4" t="s">
        <v>8046</v>
      </c>
      <c r="B3513" s="28" t="s">
        <v>7513</v>
      </c>
    </row>
    <row r="3514">
      <c r="A3514" s="4" t="s">
        <v>8047</v>
      </c>
      <c r="B3514" s="28" t="s">
        <v>7513</v>
      </c>
    </row>
    <row r="3515">
      <c r="A3515" s="4" t="s">
        <v>8048</v>
      </c>
      <c r="B3515" s="28" t="s">
        <v>7513</v>
      </c>
    </row>
    <row r="3516">
      <c r="A3516" s="4" t="s">
        <v>8049</v>
      </c>
      <c r="B3516" s="28" t="s">
        <v>7513</v>
      </c>
    </row>
    <row r="3517">
      <c r="A3517" s="4" t="s">
        <v>8050</v>
      </c>
      <c r="B3517" s="28" t="s">
        <v>7513</v>
      </c>
    </row>
    <row r="3518">
      <c r="A3518" s="4" t="s">
        <v>8051</v>
      </c>
      <c r="B3518" s="28" t="s">
        <v>7513</v>
      </c>
    </row>
    <row r="3519">
      <c r="A3519" s="4" t="s">
        <v>8052</v>
      </c>
      <c r="B3519" s="28" t="s">
        <v>7513</v>
      </c>
    </row>
    <row r="3520">
      <c r="A3520" s="4" t="s">
        <v>8053</v>
      </c>
      <c r="B3520" s="28" t="s">
        <v>7513</v>
      </c>
    </row>
    <row r="3521">
      <c r="A3521" s="4" t="s">
        <v>8054</v>
      </c>
      <c r="B3521" s="28" t="s">
        <v>7513</v>
      </c>
    </row>
    <row r="3522">
      <c r="A3522" s="4" t="s">
        <v>8055</v>
      </c>
      <c r="B3522" s="28" t="s">
        <v>7513</v>
      </c>
    </row>
    <row r="3523">
      <c r="A3523" s="4" t="s">
        <v>8056</v>
      </c>
      <c r="B3523" s="28" t="s">
        <v>7513</v>
      </c>
    </row>
    <row r="3524">
      <c r="A3524" s="4" t="s">
        <v>8057</v>
      </c>
      <c r="B3524" s="28" t="s">
        <v>7513</v>
      </c>
    </row>
    <row r="3525">
      <c r="A3525" s="4" t="s">
        <v>8058</v>
      </c>
      <c r="B3525" s="28" t="s">
        <v>7513</v>
      </c>
    </row>
    <row r="3526">
      <c r="A3526" s="4" t="s">
        <v>8059</v>
      </c>
      <c r="B3526" s="28" t="s">
        <v>7513</v>
      </c>
    </row>
    <row r="3527">
      <c r="A3527" s="4" t="s">
        <v>8060</v>
      </c>
      <c r="B3527" s="28" t="s">
        <v>7513</v>
      </c>
    </row>
    <row r="3528">
      <c r="A3528" s="4" t="s">
        <v>8061</v>
      </c>
      <c r="B3528" s="28" t="s">
        <v>7513</v>
      </c>
    </row>
    <row r="3529">
      <c r="A3529" s="4" t="s">
        <v>8062</v>
      </c>
      <c r="B3529" s="28" t="s">
        <v>7513</v>
      </c>
    </row>
    <row r="3530">
      <c r="A3530" s="4" t="s">
        <v>8063</v>
      </c>
      <c r="B3530" s="28" t="s">
        <v>7513</v>
      </c>
    </row>
    <row r="3531">
      <c r="A3531" s="4" t="s">
        <v>8064</v>
      </c>
      <c r="B3531" s="28" t="s">
        <v>7513</v>
      </c>
    </row>
    <row r="3532">
      <c r="A3532" s="4" t="s">
        <v>8065</v>
      </c>
      <c r="B3532" s="28" t="s">
        <v>7513</v>
      </c>
    </row>
    <row r="3533">
      <c r="A3533" s="4" t="s">
        <v>8066</v>
      </c>
      <c r="B3533" s="28" t="s">
        <v>7513</v>
      </c>
    </row>
    <row r="3534">
      <c r="A3534" s="4" t="s">
        <v>8067</v>
      </c>
      <c r="B3534" s="28" t="s">
        <v>7513</v>
      </c>
    </row>
    <row r="3535">
      <c r="A3535" s="4" t="s">
        <v>8068</v>
      </c>
      <c r="B3535" s="28" t="s">
        <v>7513</v>
      </c>
    </row>
    <row r="3536">
      <c r="A3536" s="4" t="s">
        <v>8069</v>
      </c>
      <c r="B3536" s="28" t="s">
        <v>7513</v>
      </c>
    </row>
    <row r="3537">
      <c r="A3537" s="4" t="s">
        <v>8070</v>
      </c>
      <c r="B3537" s="28" t="s">
        <v>7513</v>
      </c>
    </row>
    <row r="3538">
      <c r="A3538" s="4" t="s">
        <v>8071</v>
      </c>
      <c r="B3538" s="28" t="s">
        <v>7513</v>
      </c>
    </row>
    <row r="3539">
      <c r="A3539" s="4" t="s">
        <v>8072</v>
      </c>
      <c r="B3539" s="28" t="s">
        <v>7513</v>
      </c>
    </row>
    <row r="3540">
      <c r="A3540" s="4" t="s">
        <v>8073</v>
      </c>
      <c r="B3540" s="28" t="s">
        <v>7513</v>
      </c>
    </row>
    <row r="3541">
      <c r="A3541" s="4" t="s">
        <v>8074</v>
      </c>
      <c r="B3541" s="28" t="s">
        <v>7513</v>
      </c>
    </row>
    <row r="3542">
      <c r="A3542" s="4" t="s">
        <v>8075</v>
      </c>
      <c r="B3542" s="28" t="s">
        <v>7513</v>
      </c>
    </row>
    <row r="3543">
      <c r="A3543" s="4" t="s">
        <v>8076</v>
      </c>
      <c r="B3543" s="28" t="s">
        <v>7513</v>
      </c>
    </row>
    <row r="3544">
      <c r="A3544" s="4" t="s">
        <v>8077</v>
      </c>
      <c r="B3544" s="28" t="s">
        <v>7513</v>
      </c>
    </row>
    <row r="3545">
      <c r="A3545" s="4" t="s">
        <v>8078</v>
      </c>
      <c r="B3545" s="28" t="s">
        <v>7513</v>
      </c>
    </row>
    <row r="3546">
      <c r="A3546" s="4" t="s">
        <v>8079</v>
      </c>
      <c r="B3546" s="28" t="s">
        <v>7513</v>
      </c>
    </row>
    <row r="3547">
      <c r="A3547" s="4" t="s">
        <v>8080</v>
      </c>
      <c r="B3547" s="28" t="s">
        <v>7513</v>
      </c>
    </row>
    <row r="3548">
      <c r="A3548" s="4" t="s">
        <v>8081</v>
      </c>
      <c r="B3548" s="28" t="s">
        <v>7513</v>
      </c>
    </row>
    <row r="3549">
      <c r="A3549" s="4" t="s">
        <v>8082</v>
      </c>
      <c r="B3549" s="28" t="s">
        <v>7513</v>
      </c>
    </row>
    <row r="3550">
      <c r="A3550" s="4" t="s">
        <v>8083</v>
      </c>
      <c r="B3550" s="28" t="s">
        <v>7513</v>
      </c>
    </row>
    <row r="3551">
      <c r="A3551" s="4" t="s">
        <v>8084</v>
      </c>
      <c r="B3551" s="28" t="s">
        <v>7513</v>
      </c>
    </row>
    <row r="3552">
      <c r="A3552" s="4" t="s">
        <v>8085</v>
      </c>
      <c r="B3552" s="28" t="s">
        <v>7513</v>
      </c>
    </row>
    <row r="3553">
      <c r="A3553" s="4" t="s">
        <v>8086</v>
      </c>
      <c r="B3553" s="28" t="s">
        <v>7513</v>
      </c>
    </row>
    <row r="3554">
      <c r="A3554" s="4" t="s">
        <v>8087</v>
      </c>
      <c r="B3554" s="28" t="s">
        <v>7513</v>
      </c>
    </row>
    <row r="3555">
      <c r="A3555" s="4" t="s">
        <v>8088</v>
      </c>
      <c r="B3555" s="28" t="s">
        <v>7513</v>
      </c>
    </row>
    <row r="3556">
      <c r="A3556" s="4" t="s">
        <v>8089</v>
      </c>
      <c r="B3556" s="28" t="s">
        <v>7513</v>
      </c>
    </row>
    <row r="3557">
      <c r="A3557" s="4" t="s">
        <v>8090</v>
      </c>
      <c r="B3557" s="28" t="s">
        <v>7513</v>
      </c>
    </row>
    <row r="3558">
      <c r="A3558" s="4" t="s">
        <v>8091</v>
      </c>
      <c r="B3558" s="28" t="s">
        <v>7513</v>
      </c>
    </row>
    <row r="3559">
      <c r="A3559" s="4" t="s">
        <v>8092</v>
      </c>
      <c r="B3559" s="28" t="s">
        <v>7513</v>
      </c>
    </row>
    <row r="3560">
      <c r="A3560" s="4" t="s">
        <v>8093</v>
      </c>
      <c r="B3560" s="28" t="s">
        <v>7513</v>
      </c>
    </row>
    <row r="3561">
      <c r="A3561" s="4" t="s">
        <v>8094</v>
      </c>
      <c r="B3561" s="28" t="s">
        <v>7513</v>
      </c>
    </row>
    <row r="3562">
      <c r="A3562" s="4" t="s">
        <v>8095</v>
      </c>
      <c r="B3562" s="28" t="s">
        <v>7513</v>
      </c>
    </row>
    <row r="3563">
      <c r="A3563" s="4" t="s">
        <v>8096</v>
      </c>
      <c r="B3563" s="28" t="s">
        <v>7513</v>
      </c>
    </row>
    <row r="3564">
      <c r="A3564" s="4" t="s">
        <v>8097</v>
      </c>
      <c r="B3564" s="28" t="s">
        <v>7513</v>
      </c>
    </row>
    <row r="3565">
      <c r="A3565" s="4" t="s">
        <v>8098</v>
      </c>
      <c r="B3565" s="28" t="s">
        <v>7513</v>
      </c>
    </row>
    <row r="3566">
      <c r="A3566" s="4" t="s">
        <v>8099</v>
      </c>
      <c r="B3566" s="28" t="s">
        <v>7513</v>
      </c>
    </row>
    <row r="3567">
      <c r="A3567" s="4" t="s">
        <v>8100</v>
      </c>
      <c r="B3567" s="28" t="s">
        <v>7513</v>
      </c>
    </row>
    <row r="3568">
      <c r="A3568" s="4" t="s">
        <v>8101</v>
      </c>
      <c r="B3568" s="28" t="s">
        <v>7513</v>
      </c>
    </row>
    <row r="3569">
      <c r="A3569" s="4" t="s">
        <v>8102</v>
      </c>
      <c r="B3569" s="28" t="s">
        <v>7513</v>
      </c>
    </row>
    <row r="3570">
      <c r="A3570" s="4" t="s">
        <v>8103</v>
      </c>
      <c r="B3570" s="28" t="s">
        <v>7513</v>
      </c>
    </row>
    <row r="3571">
      <c r="A3571" s="4" t="s">
        <v>8104</v>
      </c>
      <c r="B3571" s="28" t="s">
        <v>7513</v>
      </c>
    </row>
    <row r="3572">
      <c r="A3572" s="4" t="s">
        <v>8105</v>
      </c>
      <c r="B3572" s="28" t="s">
        <v>7513</v>
      </c>
    </row>
    <row r="3573">
      <c r="A3573" s="4" t="s">
        <v>8106</v>
      </c>
      <c r="B3573" s="28" t="s">
        <v>7513</v>
      </c>
    </row>
    <row r="3574">
      <c r="A3574" s="4" t="s">
        <v>8107</v>
      </c>
      <c r="B3574" s="28" t="s">
        <v>7513</v>
      </c>
    </row>
    <row r="3575">
      <c r="A3575" s="4" t="s">
        <v>8108</v>
      </c>
      <c r="B3575" s="28" t="s">
        <v>7513</v>
      </c>
    </row>
    <row r="3576">
      <c r="A3576" s="4" t="s">
        <v>8109</v>
      </c>
      <c r="B3576" s="28" t="s">
        <v>7513</v>
      </c>
    </row>
    <row r="3577">
      <c r="A3577" s="4" t="s">
        <v>8110</v>
      </c>
      <c r="B3577" s="28" t="s">
        <v>7513</v>
      </c>
    </row>
    <row r="3578">
      <c r="A3578" s="4" t="s">
        <v>8111</v>
      </c>
      <c r="B3578" s="28" t="s">
        <v>7513</v>
      </c>
    </row>
    <row r="3579">
      <c r="A3579" s="4" t="s">
        <v>8112</v>
      </c>
      <c r="B3579" s="28" t="s">
        <v>7513</v>
      </c>
    </row>
    <row r="3580">
      <c r="A3580" s="4" t="s">
        <v>8113</v>
      </c>
      <c r="B3580" s="28" t="s">
        <v>7513</v>
      </c>
    </row>
    <row r="3581">
      <c r="A3581" s="4" t="s">
        <v>8114</v>
      </c>
      <c r="B3581" s="28" t="s">
        <v>7513</v>
      </c>
    </row>
    <row r="3582">
      <c r="A3582" s="4" t="s">
        <v>8115</v>
      </c>
      <c r="B3582" s="28" t="s">
        <v>7513</v>
      </c>
    </row>
    <row r="3583">
      <c r="A3583" s="4" t="s">
        <v>8116</v>
      </c>
      <c r="B3583" s="28" t="s">
        <v>7513</v>
      </c>
    </row>
    <row r="3584">
      <c r="A3584" s="4" t="s">
        <v>8117</v>
      </c>
      <c r="B3584" s="28" t="s">
        <v>7513</v>
      </c>
    </row>
    <row r="3585">
      <c r="A3585" s="4" t="s">
        <v>8118</v>
      </c>
      <c r="B3585" s="28" t="s">
        <v>7513</v>
      </c>
    </row>
    <row r="3586">
      <c r="A3586" s="4" t="s">
        <v>8119</v>
      </c>
      <c r="B3586" s="28" t="s">
        <v>7513</v>
      </c>
    </row>
    <row r="3587">
      <c r="A3587" s="4" t="s">
        <v>8120</v>
      </c>
      <c r="B3587" s="28" t="s">
        <v>7513</v>
      </c>
    </row>
    <row r="3588">
      <c r="A3588" s="4" t="s">
        <v>8121</v>
      </c>
      <c r="B3588" s="28" t="s">
        <v>7513</v>
      </c>
    </row>
    <row r="3589">
      <c r="A3589" s="4" t="s">
        <v>8122</v>
      </c>
      <c r="B3589" s="28" t="s">
        <v>7513</v>
      </c>
    </row>
    <row r="3590">
      <c r="A3590" s="4" t="s">
        <v>8123</v>
      </c>
      <c r="B3590" s="28" t="s">
        <v>7513</v>
      </c>
    </row>
    <row r="3591">
      <c r="A3591" s="4" t="s">
        <v>8124</v>
      </c>
      <c r="B3591" s="28" t="s">
        <v>7513</v>
      </c>
    </row>
    <row r="3592">
      <c r="A3592" s="4" t="s">
        <v>8125</v>
      </c>
      <c r="B3592" s="28" t="s">
        <v>7513</v>
      </c>
    </row>
    <row r="3593">
      <c r="A3593" s="4" t="s">
        <v>8126</v>
      </c>
      <c r="B3593" s="28" t="s">
        <v>7513</v>
      </c>
    </row>
    <row r="3594">
      <c r="A3594" s="4" t="s">
        <v>8127</v>
      </c>
      <c r="B3594" s="28" t="s">
        <v>7513</v>
      </c>
    </row>
    <row r="3595">
      <c r="A3595" s="4" t="s">
        <v>8128</v>
      </c>
      <c r="B3595" s="28" t="s">
        <v>7513</v>
      </c>
    </row>
    <row r="3596">
      <c r="A3596" s="4" t="s">
        <v>8129</v>
      </c>
      <c r="B3596" s="28" t="s">
        <v>7513</v>
      </c>
    </row>
    <row r="3597">
      <c r="A3597" s="4" t="s">
        <v>8130</v>
      </c>
      <c r="B3597" s="28" t="s">
        <v>7513</v>
      </c>
    </row>
    <row r="3598">
      <c r="A3598" s="4" t="s">
        <v>8131</v>
      </c>
      <c r="B3598" s="28" t="s">
        <v>7513</v>
      </c>
    </row>
    <row r="3599">
      <c r="A3599" s="4" t="s">
        <v>8132</v>
      </c>
      <c r="B3599" s="28" t="s">
        <v>7513</v>
      </c>
    </row>
    <row r="3600">
      <c r="A3600" s="4" t="s">
        <v>8133</v>
      </c>
      <c r="B3600" s="28" t="s">
        <v>7513</v>
      </c>
    </row>
    <row r="3601">
      <c r="A3601" s="4" t="s">
        <v>8134</v>
      </c>
      <c r="B3601" s="28" t="s">
        <v>7513</v>
      </c>
    </row>
    <row r="3602">
      <c r="A3602" s="4" t="s">
        <v>8135</v>
      </c>
      <c r="B3602" s="28" t="s">
        <v>7513</v>
      </c>
    </row>
    <row r="3603">
      <c r="A3603" s="4" t="s">
        <v>8136</v>
      </c>
      <c r="B3603" s="28" t="s">
        <v>7513</v>
      </c>
    </row>
    <row r="3604">
      <c r="A3604" s="4" t="s">
        <v>8137</v>
      </c>
      <c r="B3604" s="28" t="s">
        <v>7513</v>
      </c>
    </row>
    <row r="3605">
      <c r="A3605" s="4" t="s">
        <v>8138</v>
      </c>
      <c r="B3605" s="28" t="s">
        <v>7513</v>
      </c>
    </row>
    <row r="3606">
      <c r="A3606" s="4" t="s">
        <v>8139</v>
      </c>
      <c r="B3606" s="28" t="s">
        <v>7513</v>
      </c>
    </row>
    <row r="3607">
      <c r="A3607" s="4" t="s">
        <v>8140</v>
      </c>
      <c r="B3607" s="28" t="s">
        <v>7513</v>
      </c>
    </row>
    <row r="3608">
      <c r="A3608" s="4" t="s">
        <v>8141</v>
      </c>
      <c r="B3608" s="28" t="s">
        <v>7513</v>
      </c>
    </row>
    <row r="3609">
      <c r="A3609" s="4" t="s">
        <v>8142</v>
      </c>
      <c r="B3609" s="28" t="s">
        <v>7513</v>
      </c>
    </row>
    <row r="3610">
      <c r="A3610" s="4" t="s">
        <v>8143</v>
      </c>
      <c r="B3610" s="28" t="s">
        <v>7513</v>
      </c>
    </row>
    <row r="3611">
      <c r="A3611" s="4" t="s">
        <v>8144</v>
      </c>
      <c r="B3611" s="28" t="s">
        <v>7513</v>
      </c>
    </row>
    <row r="3612">
      <c r="A3612" s="4" t="s">
        <v>8145</v>
      </c>
      <c r="B3612" s="28" t="s">
        <v>7513</v>
      </c>
    </row>
    <row r="3613">
      <c r="A3613" s="4" t="s">
        <v>8146</v>
      </c>
      <c r="B3613" s="28" t="s">
        <v>7513</v>
      </c>
    </row>
    <row r="3614">
      <c r="A3614" s="4" t="s">
        <v>8147</v>
      </c>
      <c r="B3614" s="28" t="s">
        <v>7513</v>
      </c>
    </row>
    <row r="3615">
      <c r="A3615" s="4" t="s">
        <v>8148</v>
      </c>
      <c r="B3615" s="28" t="s">
        <v>7513</v>
      </c>
    </row>
    <row r="3616">
      <c r="A3616" s="4" t="s">
        <v>8149</v>
      </c>
      <c r="B3616" s="28" t="s">
        <v>7513</v>
      </c>
    </row>
    <row r="3617">
      <c r="A3617" s="4" t="s">
        <v>8150</v>
      </c>
      <c r="B3617" s="28" t="s">
        <v>7513</v>
      </c>
    </row>
    <row r="3618">
      <c r="A3618" s="4" t="s">
        <v>8151</v>
      </c>
      <c r="B3618" s="28" t="s">
        <v>7513</v>
      </c>
    </row>
    <row r="3619">
      <c r="A3619" s="4" t="s">
        <v>8152</v>
      </c>
      <c r="B3619" s="28" t="s">
        <v>7513</v>
      </c>
    </row>
    <row r="3620">
      <c r="A3620" s="4" t="s">
        <v>8153</v>
      </c>
      <c r="B3620" s="28" t="s">
        <v>7513</v>
      </c>
    </row>
    <row r="3621">
      <c r="A3621" s="4" t="s">
        <v>8154</v>
      </c>
      <c r="B3621" s="28" t="s">
        <v>7513</v>
      </c>
    </row>
    <row r="3622">
      <c r="A3622" s="4" t="s">
        <v>8155</v>
      </c>
      <c r="B3622" s="28" t="s">
        <v>7513</v>
      </c>
    </row>
    <row r="3623">
      <c r="A3623" s="4" t="s">
        <v>8156</v>
      </c>
      <c r="B3623" s="28" t="s">
        <v>7513</v>
      </c>
    </row>
    <row r="3624">
      <c r="A3624" s="4" t="s">
        <v>8157</v>
      </c>
      <c r="B3624" s="28" t="s">
        <v>7513</v>
      </c>
    </row>
    <row r="3625">
      <c r="A3625" s="4" t="s">
        <v>8158</v>
      </c>
      <c r="B3625" s="28" t="s">
        <v>7513</v>
      </c>
    </row>
    <row r="3626">
      <c r="A3626" s="4" t="s">
        <v>8159</v>
      </c>
      <c r="B3626" s="28" t="s">
        <v>7513</v>
      </c>
    </row>
    <row r="3627">
      <c r="A3627" s="4" t="s">
        <v>8160</v>
      </c>
      <c r="B3627" s="28" t="s">
        <v>7513</v>
      </c>
    </row>
    <row r="3628">
      <c r="A3628" s="4" t="s">
        <v>8161</v>
      </c>
      <c r="B3628" s="28" t="s">
        <v>7513</v>
      </c>
    </row>
    <row r="3629">
      <c r="A3629" s="4" t="s">
        <v>8162</v>
      </c>
      <c r="B3629" s="28" t="s">
        <v>7513</v>
      </c>
    </row>
    <row r="3630">
      <c r="A3630" s="4" t="s">
        <v>8163</v>
      </c>
      <c r="B3630" s="28" t="s">
        <v>7513</v>
      </c>
    </row>
    <row r="3631">
      <c r="A3631" s="4" t="s">
        <v>8164</v>
      </c>
      <c r="B3631" s="28" t="s">
        <v>7513</v>
      </c>
    </row>
    <row r="3632">
      <c r="A3632" s="4" t="s">
        <v>8165</v>
      </c>
      <c r="B3632" s="28" t="s">
        <v>7513</v>
      </c>
    </row>
    <row r="3633">
      <c r="A3633" s="4" t="s">
        <v>8166</v>
      </c>
      <c r="B3633" s="28" t="s">
        <v>7513</v>
      </c>
    </row>
    <row r="3634">
      <c r="A3634" s="4" t="s">
        <v>8167</v>
      </c>
      <c r="B3634" s="28" t="s">
        <v>7513</v>
      </c>
    </row>
    <row r="3635">
      <c r="A3635" s="4" t="s">
        <v>8168</v>
      </c>
      <c r="B3635" s="28" t="s">
        <v>7513</v>
      </c>
    </row>
    <row r="3636">
      <c r="A3636" s="4" t="s">
        <v>8169</v>
      </c>
      <c r="B3636" s="28" t="s">
        <v>7513</v>
      </c>
    </row>
    <row r="3637">
      <c r="A3637" s="4" t="s">
        <v>8170</v>
      </c>
      <c r="B3637" s="28" t="s">
        <v>7513</v>
      </c>
    </row>
    <row r="3638">
      <c r="A3638" s="4" t="s">
        <v>8171</v>
      </c>
      <c r="B3638" s="28" t="s">
        <v>7513</v>
      </c>
    </row>
    <row r="3639">
      <c r="A3639" s="4" t="s">
        <v>8172</v>
      </c>
      <c r="B3639" s="28" t="s">
        <v>7513</v>
      </c>
    </row>
    <row r="3640">
      <c r="A3640" s="4" t="s">
        <v>8173</v>
      </c>
      <c r="B3640" s="28" t="s">
        <v>7513</v>
      </c>
    </row>
    <row r="3641">
      <c r="A3641" s="4" t="s">
        <v>8174</v>
      </c>
      <c r="B3641" s="28" t="s">
        <v>7513</v>
      </c>
    </row>
    <row r="3642">
      <c r="A3642" s="4" t="s">
        <v>8175</v>
      </c>
      <c r="B3642" s="28" t="s">
        <v>7513</v>
      </c>
    </row>
    <row r="3643">
      <c r="A3643" s="4" t="s">
        <v>8176</v>
      </c>
      <c r="B3643" s="28" t="s">
        <v>7513</v>
      </c>
    </row>
    <row r="3644">
      <c r="A3644" s="4" t="s">
        <v>8177</v>
      </c>
      <c r="B3644" s="28" t="s">
        <v>7513</v>
      </c>
    </row>
    <row r="3645">
      <c r="A3645" s="4" t="s">
        <v>8178</v>
      </c>
      <c r="B3645" s="28" t="s">
        <v>7513</v>
      </c>
    </row>
    <row r="3646">
      <c r="A3646" s="4" t="s">
        <v>8179</v>
      </c>
      <c r="B3646" s="28" t="s">
        <v>7513</v>
      </c>
    </row>
    <row r="3647">
      <c r="A3647" s="4" t="s">
        <v>8180</v>
      </c>
      <c r="B3647" s="28" t="s">
        <v>7513</v>
      </c>
    </row>
    <row r="3648">
      <c r="A3648" s="4" t="s">
        <v>8181</v>
      </c>
      <c r="B3648" s="28" t="s">
        <v>7513</v>
      </c>
    </row>
    <row r="3649">
      <c r="A3649" s="4" t="s">
        <v>8182</v>
      </c>
      <c r="B3649" s="28" t="s">
        <v>7513</v>
      </c>
    </row>
    <row r="3650">
      <c r="A3650" s="4" t="s">
        <v>8183</v>
      </c>
      <c r="B3650" s="28" t="s">
        <v>7513</v>
      </c>
    </row>
    <row r="3651">
      <c r="A3651" s="4" t="s">
        <v>8184</v>
      </c>
      <c r="B3651" s="28" t="s">
        <v>7513</v>
      </c>
    </row>
    <row r="3652">
      <c r="A3652" s="4" t="s">
        <v>8185</v>
      </c>
      <c r="B3652" s="28" t="s">
        <v>7513</v>
      </c>
    </row>
    <row r="3653">
      <c r="A3653" s="4" t="s">
        <v>8186</v>
      </c>
      <c r="B3653" s="28" t="s">
        <v>7513</v>
      </c>
    </row>
    <row r="3654">
      <c r="A3654" s="4" t="s">
        <v>8187</v>
      </c>
      <c r="B3654" s="28" t="s">
        <v>7513</v>
      </c>
    </row>
    <row r="3655">
      <c r="A3655" s="4" t="s">
        <v>8188</v>
      </c>
      <c r="B3655" s="28" t="s">
        <v>7513</v>
      </c>
    </row>
    <row r="3656">
      <c r="A3656" s="4" t="s">
        <v>8189</v>
      </c>
      <c r="B3656" s="28" t="s">
        <v>7513</v>
      </c>
    </row>
    <row r="3657">
      <c r="A3657" s="4" t="s">
        <v>8190</v>
      </c>
      <c r="B3657" s="28" t="s">
        <v>7513</v>
      </c>
    </row>
    <row r="3658">
      <c r="A3658" s="4" t="s">
        <v>8191</v>
      </c>
      <c r="B3658" s="28" t="s">
        <v>7513</v>
      </c>
    </row>
    <row r="3659">
      <c r="A3659" s="4" t="s">
        <v>8192</v>
      </c>
      <c r="B3659" s="28" t="s">
        <v>7513</v>
      </c>
    </row>
    <row r="3660">
      <c r="A3660" s="4" t="s">
        <v>8193</v>
      </c>
      <c r="B3660" s="28" t="s">
        <v>7513</v>
      </c>
    </row>
    <row r="3661">
      <c r="A3661" s="4" t="s">
        <v>8194</v>
      </c>
      <c r="B3661" s="28" t="s">
        <v>7513</v>
      </c>
    </row>
    <row r="3662">
      <c r="A3662" s="4" t="s">
        <v>8195</v>
      </c>
      <c r="B3662" s="28" t="s">
        <v>7513</v>
      </c>
    </row>
    <row r="3663">
      <c r="A3663" s="4" t="s">
        <v>8196</v>
      </c>
      <c r="B3663" s="28" t="s">
        <v>7513</v>
      </c>
    </row>
    <row r="3664">
      <c r="A3664" s="4" t="s">
        <v>8197</v>
      </c>
      <c r="B3664" s="28" t="s">
        <v>7513</v>
      </c>
    </row>
    <row r="3665">
      <c r="A3665" s="4" t="s">
        <v>8198</v>
      </c>
      <c r="B3665" s="28" t="s">
        <v>7513</v>
      </c>
    </row>
    <row r="3666">
      <c r="A3666" s="4" t="s">
        <v>8199</v>
      </c>
      <c r="B3666" s="28" t="s">
        <v>7513</v>
      </c>
    </row>
    <row r="3667">
      <c r="A3667" s="4" t="s">
        <v>8200</v>
      </c>
      <c r="B3667" s="28" t="s">
        <v>7513</v>
      </c>
    </row>
    <row r="3668">
      <c r="A3668" s="4" t="s">
        <v>8201</v>
      </c>
      <c r="B3668" s="28" t="s">
        <v>7513</v>
      </c>
    </row>
    <row r="3669">
      <c r="A3669" s="4" t="s">
        <v>8202</v>
      </c>
      <c r="B3669" s="28" t="s">
        <v>7513</v>
      </c>
    </row>
    <row r="3670">
      <c r="A3670" s="4" t="s">
        <v>8203</v>
      </c>
      <c r="B3670" s="28" t="s">
        <v>7513</v>
      </c>
    </row>
    <row r="3671">
      <c r="A3671" s="4" t="s">
        <v>8204</v>
      </c>
      <c r="B3671" s="28" t="s">
        <v>7513</v>
      </c>
    </row>
    <row r="3672">
      <c r="A3672" s="4" t="s">
        <v>8205</v>
      </c>
      <c r="B3672" s="28" t="s">
        <v>7513</v>
      </c>
    </row>
    <row r="3673">
      <c r="A3673" s="4" t="s">
        <v>8206</v>
      </c>
      <c r="B3673" s="28" t="s">
        <v>7513</v>
      </c>
    </row>
    <row r="3674">
      <c r="A3674" s="4" t="s">
        <v>8207</v>
      </c>
      <c r="B3674" s="28" t="s">
        <v>7513</v>
      </c>
    </row>
    <row r="3675">
      <c r="A3675" s="4" t="s">
        <v>8208</v>
      </c>
      <c r="B3675" s="28" t="s">
        <v>7513</v>
      </c>
    </row>
    <row r="3676">
      <c r="A3676" s="4" t="s">
        <v>8209</v>
      </c>
      <c r="B3676" s="28" t="s">
        <v>7513</v>
      </c>
    </row>
    <row r="3677">
      <c r="A3677" s="4" t="s">
        <v>8210</v>
      </c>
      <c r="B3677" s="28" t="s">
        <v>7513</v>
      </c>
    </row>
    <row r="3678">
      <c r="A3678" s="4" t="s">
        <v>8211</v>
      </c>
      <c r="B3678" s="28" t="s">
        <v>7513</v>
      </c>
    </row>
    <row r="3679">
      <c r="A3679" s="4" t="s">
        <v>8212</v>
      </c>
      <c r="B3679" s="28" t="s">
        <v>7513</v>
      </c>
    </row>
    <row r="3680">
      <c r="A3680" s="4" t="s">
        <v>8213</v>
      </c>
      <c r="B3680" s="28" t="s">
        <v>7513</v>
      </c>
    </row>
    <row r="3681">
      <c r="A3681" s="4" t="s">
        <v>8214</v>
      </c>
      <c r="B3681" s="28" t="s">
        <v>7513</v>
      </c>
    </row>
    <row r="3682">
      <c r="A3682" s="4" t="s">
        <v>8215</v>
      </c>
      <c r="B3682" s="28" t="s">
        <v>7513</v>
      </c>
    </row>
    <row r="3683">
      <c r="A3683" s="4" t="s">
        <v>8216</v>
      </c>
      <c r="B3683" s="28" t="s">
        <v>7513</v>
      </c>
    </row>
    <row r="3684">
      <c r="A3684" s="4" t="s">
        <v>8217</v>
      </c>
      <c r="B3684" s="28" t="s">
        <v>7513</v>
      </c>
    </row>
    <row r="3685">
      <c r="A3685" s="4" t="s">
        <v>8218</v>
      </c>
      <c r="B3685" s="28" t="s">
        <v>7513</v>
      </c>
    </row>
    <row r="3686">
      <c r="A3686" s="4" t="s">
        <v>8219</v>
      </c>
      <c r="B3686" s="28" t="s">
        <v>7513</v>
      </c>
    </row>
    <row r="3687">
      <c r="A3687" s="4" t="s">
        <v>8220</v>
      </c>
      <c r="B3687" s="28" t="s">
        <v>7513</v>
      </c>
    </row>
    <row r="3688">
      <c r="A3688" s="4" t="s">
        <v>8221</v>
      </c>
      <c r="B3688" s="28" t="s">
        <v>7513</v>
      </c>
    </row>
    <row r="3689">
      <c r="A3689" s="4" t="s">
        <v>8222</v>
      </c>
      <c r="B3689" s="28" t="s">
        <v>7513</v>
      </c>
    </row>
    <row r="3690">
      <c r="A3690" s="4" t="s">
        <v>8223</v>
      </c>
      <c r="B3690" s="28" t="s">
        <v>7513</v>
      </c>
    </row>
    <row r="3691">
      <c r="A3691" s="4" t="s">
        <v>8224</v>
      </c>
      <c r="B3691" s="28" t="s">
        <v>7513</v>
      </c>
    </row>
    <row r="3692">
      <c r="A3692" s="4" t="s">
        <v>8225</v>
      </c>
      <c r="B3692" s="28" t="s">
        <v>7513</v>
      </c>
    </row>
    <row r="3693">
      <c r="A3693" s="4" t="s">
        <v>8226</v>
      </c>
      <c r="B3693" s="28" t="s">
        <v>7513</v>
      </c>
    </row>
    <row r="3694">
      <c r="A3694" s="4" t="s">
        <v>8227</v>
      </c>
      <c r="B3694" s="28" t="s">
        <v>7513</v>
      </c>
    </row>
    <row r="3695">
      <c r="A3695" s="4" t="s">
        <v>8228</v>
      </c>
      <c r="B3695" s="28" t="s">
        <v>7513</v>
      </c>
    </row>
    <row r="3696">
      <c r="A3696" s="4" t="s">
        <v>8229</v>
      </c>
      <c r="B3696" s="28" t="s">
        <v>7513</v>
      </c>
    </row>
    <row r="3697">
      <c r="A3697" s="4" t="s">
        <v>8230</v>
      </c>
      <c r="B3697" s="28" t="s">
        <v>7513</v>
      </c>
    </row>
    <row r="3698">
      <c r="A3698" s="4" t="s">
        <v>8231</v>
      </c>
      <c r="B3698" s="28" t="s">
        <v>7513</v>
      </c>
    </row>
    <row r="3699">
      <c r="A3699" s="4" t="s">
        <v>8232</v>
      </c>
      <c r="B3699" s="28" t="s">
        <v>7513</v>
      </c>
    </row>
    <row r="3700">
      <c r="A3700" s="4" t="s">
        <v>8233</v>
      </c>
      <c r="B3700" s="28" t="s">
        <v>7513</v>
      </c>
    </row>
    <row r="3701">
      <c r="A3701" s="4" t="s">
        <v>8234</v>
      </c>
      <c r="B3701" s="28" t="s">
        <v>7513</v>
      </c>
    </row>
    <row r="3702">
      <c r="A3702" s="4" t="s">
        <v>8235</v>
      </c>
      <c r="B3702" s="28" t="s">
        <v>7513</v>
      </c>
    </row>
    <row r="3703">
      <c r="A3703" s="4" t="s">
        <v>8236</v>
      </c>
      <c r="B3703" s="28" t="s">
        <v>7513</v>
      </c>
    </row>
    <row r="3704">
      <c r="A3704" s="4" t="s">
        <v>8237</v>
      </c>
      <c r="B3704" s="28" t="s">
        <v>7513</v>
      </c>
    </row>
    <row r="3705">
      <c r="A3705" s="4" t="s">
        <v>8238</v>
      </c>
      <c r="B3705" s="28" t="s">
        <v>7513</v>
      </c>
    </row>
    <row r="3706">
      <c r="A3706" s="4" t="s">
        <v>8239</v>
      </c>
      <c r="B3706" s="28" t="s">
        <v>7513</v>
      </c>
    </row>
    <row r="3707">
      <c r="A3707" s="4" t="s">
        <v>8240</v>
      </c>
      <c r="B3707" s="28" t="s">
        <v>7513</v>
      </c>
    </row>
    <row r="3708">
      <c r="A3708" s="4" t="s">
        <v>8241</v>
      </c>
      <c r="B3708" s="28" t="s">
        <v>7513</v>
      </c>
    </row>
    <row r="3709">
      <c r="A3709" s="4" t="s">
        <v>8242</v>
      </c>
      <c r="B3709" s="28" t="s">
        <v>7513</v>
      </c>
    </row>
    <row r="3710">
      <c r="A3710" s="4" t="s">
        <v>8243</v>
      </c>
      <c r="B3710" s="28" t="s">
        <v>7513</v>
      </c>
    </row>
    <row r="3711">
      <c r="A3711" s="4" t="s">
        <v>8244</v>
      </c>
      <c r="B3711" s="28" t="s">
        <v>7513</v>
      </c>
    </row>
    <row r="3712">
      <c r="A3712" s="4" t="s">
        <v>8245</v>
      </c>
      <c r="B3712" s="28" t="s">
        <v>7513</v>
      </c>
    </row>
    <row r="3713">
      <c r="A3713" s="4" t="s">
        <v>8246</v>
      </c>
      <c r="B3713" s="28" t="s">
        <v>7513</v>
      </c>
    </row>
    <row r="3714">
      <c r="A3714" s="4" t="s">
        <v>8247</v>
      </c>
      <c r="B3714" s="28" t="s">
        <v>7513</v>
      </c>
    </row>
    <row r="3715">
      <c r="A3715" s="4" t="s">
        <v>8248</v>
      </c>
      <c r="B3715" s="28" t="s">
        <v>7513</v>
      </c>
    </row>
    <row r="3716">
      <c r="A3716" s="4" t="s">
        <v>8249</v>
      </c>
      <c r="B3716" s="28" t="s">
        <v>7513</v>
      </c>
    </row>
    <row r="3717">
      <c r="A3717" s="4" t="s">
        <v>8250</v>
      </c>
      <c r="B3717" s="28" t="s">
        <v>7513</v>
      </c>
    </row>
    <row r="3718">
      <c r="A3718" s="4" t="s">
        <v>8251</v>
      </c>
      <c r="B3718" s="28" t="s">
        <v>7513</v>
      </c>
    </row>
    <row r="3719">
      <c r="A3719" s="4" t="s">
        <v>8252</v>
      </c>
      <c r="B3719" s="28" t="s">
        <v>7513</v>
      </c>
    </row>
    <row r="3720">
      <c r="A3720" s="4" t="s">
        <v>8253</v>
      </c>
      <c r="B3720" s="28" t="s">
        <v>7513</v>
      </c>
    </row>
    <row r="3721">
      <c r="A3721" s="4" t="s">
        <v>8254</v>
      </c>
      <c r="B3721" s="28" t="s">
        <v>7513</v>
      </c>
    </row>
    <row r="3722">
      <c r="A3722" s="4" t="s">
        <v>8255</v>
      </c>
      <c r="B3722" s="28" t="s">
        <v>7513</v>
      </c>
    </row>
    <row r="3723">
      <c r="A3723" s="4" t="s">
        <v>8256</v>
      </c>
      <c r="B3723" s="28" t="s">
        <v>7513</v>
      </c>
    </row>
    <row r="3724">
      <c r="A3724" s="4" t="s">
        <v>8257</v>
      </c>
      <c r="B3724" s="28" t="s">
        <v>7513</v>
      </c>
    </row>
    <row r="3725">
      <c r="A3725" s="4" t="s">
        <v>8258</v>
      </c>
      <c r="B3725" s="28" t="s">
        <v>7513</v>
      </c>
    </row>
    <row r="3726">
      <c r="A3726" s="4" t="s">
        <v>8259</v>
      </c>
      <c r="B3726" s="28" t="s">
        <v>7513</v>
      </c>
    </row>
    <row r="3727">
      <c r="A3727" s="4" t="s">
        <v>8260</v>
      </c>
      <c r="B3727" s="28" t="s">
        <v>7513</v>
      </c>
    </row>
    <row r="3728">
      <c r="A3728" s="4" t="s">
        <v>8261</v>
      </c>
      <c r="B3728" s="28" t="s">
        <v>7513</v>
      </c>
    </row>
    <row r="3729">
      <c r="A3729" s="4" t="s">
        <v>8262</v>
      </c>
      <c r="B3729" s="28" t="s">
        <v>7513</v>
      </c>
    </row>
    <row r="3730">
      <c r="A3730" s="4" t="s">
        <v>8263</v>
      </c>
      <c r="B3730" s="28" t="s">
        <v>7513</v>
      </c>
    </row>
    <row r="3731">
      <c r="A3731" s="4" t="s">
        <v>8264</v>
      </c>
      <c r="B3731" s="28" t="s">
        <v>7513</v>
      </c>
    </row>
    <row r="3732">
      <c r="A3732" s="4" t="s">
        <v>8265</v>
      </c>
      <c r="B3732" s="28" t="s">
        <v>7513</v>
      </c>
    </row>
    <row r="3733">
      <c r="A3733" s="4" t="s">
        <v>8266</v>
      </c>
      <c r="B3733" s="28" t="s">
        <v>7513</v>
      </c>
    </row>
    <row r="3734">
      <c r="A3734" s="4" t="s">
        <v>8267</v>
      </c>
      <c r="B3734" s="28" t="s">
        <v>7513</v>
      </c>
    </row>
    <row r="3735">
      <c r="A3735" s="4" t="s">
        <v>8268</v>
      </c>
      <c r="B3735" s="28" t="s">
        <v>7513</v>
      </c>
    </row>
    <row r="3736">
      <c r="A3736" s="4" t="s">
        <v>8269</v>
      </c>
      <c r="B3736" s="28" t="s">
        <v>7513</v>
      </c>
    </row>
    <row r="3737">
      <c r="A3737" s="4" t="s">
        <v>8270</v>
      </c>
      <c r="B3737" s="28" t="s">
        <v>7513</v>
      </c>
    </row>
    <row r="3738">
      <c r="A3738" s="4" t="s">
        <v>8271</v>
      </c>
      <c r="B3738" s="28" t="s">
        <v>7513</v>
      </c>
    </row>
    <row r="3739">
      <c r="A3739" s="4" t="s">
        <v>8272</v>
      </c>
      <c r="B3739" s="28" t="s">
        <v>7513</v>
      </c>
    </row>
    <row r="3740">
      <c r="A3740" s="4" t="s">
        <v>8273</v>
      </c>
      <c r="B3740" s="28" t="s">
        <v>7513</v>
      </c>
    </row>
    <row r="3741">
      <c r="A3741" s="4" t="s">
        <v>8274</v>
      </c>
      <c r="B3741" s="28" t="s">
        <v>7513</v>
      </c>
    </row>
    <row r="3742">
      <c r="A3742" s="4" t="s">
        <v>8275</v>
      </c>
      <c r="B3742" s="28" t="s">
        <v>7513</v>
      </c>
    </row>
    <row r="3743">
      <c r="A3743" s="4" t="s">
        <v>8276</v>
      </c>
      <c r="B3743" s="28" t="s">
        <v>7513</v>
      </c>
    </row>
    <row r="3744">
      <c r="A3744" s="4" t="s">
        <v>8277</v>
      </c>
      <c r="B3744" s="28" t="s">
        <v>7513</v>
      </c>
    </row>
    <row r="3745">
      <c r="A3745" s="4" t="s">
        <v>8278</v>
      </c>
      <c r="B3745" s="28" t="s">
        <v>7513</v>
      </c>
    </row>
    <row r="3746">
      <c r="A3746" s="4" t="s">
        <v>8279</v>
      </c>
      <c r="B3746" s="28" t="s">
        <v>7513</v>
      </c>
    </row>
    <row r="3747">
      <c r="A3747" s="4" t="s">
        <v>8280</v>
      </c>
      <c r="B3747" s="28" t="s">
        <v>7513</v>
      </c>
    </row>
    <row r="3748">
      <c r="A3748" s="4" t="s">
        <v>8281</v>
      </c>
      <c r="B3748" s="28" t="s">
        <v>7513</v>
      </c>
    </row>
    <row r="3749">
      <c r="A3749" s="4" t="s">
        <v>8282</v>
      </c>
      <c r="B3749" s="28" t="s">
        <v>7513</v>
      </c>
    </row>
    <row r="3750">
      <c r="A3750" s="4" t="s">
        <v>8283</v>
      </c>
      <c r="B3750" s="28" t="s">
        <v>7513</v>
      </c>
    </row>
    <row r="3751">
      <c r="A3751" s="4" t="s">
        <v>8284</v>
      </c>
      <c r="B3751" s="28" t="s">
        <v>7513</v>
      </c>
    </row>
    <row r="3752">
      <c r="A3752" s="4" t="s">
        <v>8285</v>
      </c>
      <c r="B3752" s="28" t="s">
        <v>7513</v>
      </c>
    </row>
    <row r="3753">
      <c r="A3753" s="4" t="s">
        <v>8286</v>
      </c>
      <c r="B3753" s="28" t="s">
        <v>7513</v>
      </c>
    </row>
    <row r="3754">
      <c r="A3754" s="4" t="s">
        <v>8287</v>
      </c>
      <c r="B3754" s="28" t="s">
        <v>7513</v>
      </c>
    </row>
    <row r="3755">
      <c r="A3755" s="4" t="s">
        <v>8288</v>
      </c>
      <c r="B3755" s="28" t="s">
        <v>7513</v>
      </c>
    </row>
    <row r="3756">
      <c r="A3756" s="4" t="s">
        <v>8289</v>
      </c>
      <c r="B3756" s="28" t="s">
        <v>7513</v>
      </c>
    </row>
    <row r="3757">
      <c r="A3757" s="4" t="s">
        <v>8290</v>
      </c>
      <c r="B3757" s="28" t="s">
        <v>7513</v>
      </c>
    </row>
    <row r="3758">
      <c r="A3758" s="4" t="s">
        <v>8291</v>
      </c>
      <c r="B3758" s="28" t="s">
        <v>7513</v>
      </c>
    </row>
    <row r="3759">
      <c r="A3759" s="4" t="s">
        <v>8292</v>
      </c>
      <c r="B3759" s="28" t="s">
        <v>7513</v>
      </c>
    </row>
    <row r="3760">
      <c r="A3760" s="4" t="s">
        <v>8293</v>
      </c>
      <c r="B3760" s="28" t="s">
        <v>7513</v>
      </c>
    </row>
    <row r="3761">
      <c r="A3761" s="4" t="s">
        <v>8294</v>
      </c>
      <c r="B3761" s="28" t="s">
        <v>7513</v>
      </c>
    </row>
    <row r="3762">
      <c r="A3762" s="4" t="s">
        <v>8295</v>
      </c>
      <c r="B3762" s="28" t="s">
        <v>7513</v>
      </c>
    </row>
    <row r="3763">
      <c r="A3763" s="4" t="s">
        <v>8296</v>
      </c>
      <c r="B3763" s="28" t="s">
        <v>7513</v>
      </c>
    </row>
    <row r="3764">
      <c r="A3764" s="4" t="s">
        <v>8297</v>
      </c>
      <c r="B3764" s="28" t="s">
        <v>7513</v>
      </c>
    </row>
    <row r="3765">
      <c r="A3765" s="4" t="s">
        <v>8298</v>
      </c>
      <c r="B3765" s="28" t="s">
        <v>7513</v>
      </c>
    </row>
    <row r="3766">
      <c r="A3766" s="4" t="s">
        <v>8299</v>
      </c>
      <c r="B3766" s="28" t="s">
        <v>7513</v>
      </c>
    </row>
    <row r="3767">
      <c r="A3767" s="4" t="s">
        <v>8300</v>
      </c>
      <c r="B3767" s="28" t="s">
        <v>7513</v>
      </c>
    </row>
    <row r="3768">
      <c r="A3768" s="4" t="s">
        <v>8301</v>
      </c>
      <c r="B3768" s="28" t="s">
        <v>7513</v>
      </c>
    </row>
    <row r="3769">
      <c r="A3769" s="4" t="s">
        <v>8302</v>
      </c>
      <c r="B3769" s="28" t="s">
        <v>7513</v>
      </c>
    </row>
    <row r="3770">
      <c r="A3770" s="4" t="s">
        <v>8303</v>
      </c>
      <c r="B3770" s="28" t="s">
        <v>7513</v>
      </c>
    </row>
    <row r="3771">
      <c r="A3771" s="4" t="s">
        <v>8304</v>
      </c>
      <c r="B3771" s="28" t="s">
        <v>7513</v>
      </c>
    </row>
    <row r="3772">
      <c r="A3772" s="4" t="s">
        <v>8305</v>
      </c>
      <c r="B3772" s="28" t="s">
        <v>7513</v>
      </c>
    </row>
    <row r="3773">
      <c r="A3773" s="4" t="s">
        <v>8306</v>
      </c>
      <c r="B3773" s="28" t="s">
        <v>7513</v>
      </c>
    </row>
    <row r="3774">
      <c r="A3774" s="4" t="s">
        <v>8307</v>
      </c>
      <c r="B3774" s="28" t="s">
        <v>7513</v>
      </c>
    </row>
    <row r="3775">
      <c r="A3775" s="4" t="s">
        <v>8308</v>
      </c>
      <c r="B3775" s="28" t="s">
        <v>7513</v>
      </c>
    </row>
    <row r="3776">
      <c r="A3776" s="4" t="s">
        <v>8309</v>
      </c>
      <c r="B3776" s="28" t="s">
        <v>7513</v>
      </c>
    </row>
    <row r="3777">
      <c r="A3777" s="4" t="s">
        <v>8310</v>
      </c>
      <c r="B3777" s="28" t="s">
        <v>7513</v>
      </c>
    </row>
    <row r="3778">
      <c r="A3778" s="4" t="s">
        <v>8311</v>
      </c>
      <c r="B3778" s="28" t="s">
        <v>7513</v>
      </c>
    </row>
    <row r="3779">
      <c r="A3779" s="4" t="s">
        <v>8312</v>
      </c>
      <c r="B3779" s="28" t="s">
        <v>7513</v>
      </c>
    </row>
    <row r="3780">
      <c r="A3780" s="4" t="s">
        <v>8313</v>
      </c>
      <c r="B3780" s="28" t="s">
        <v>7513</v>
      </c>
    </row>
    <row r="3781">
      <c r="A3781" s="4" t="s">
        <v>8314</v>
      </c>
      <c r="B3781" s="28" t="s">
        <v>7513</v>
      </c>
    </row>
    <row r="3782">
      <c r="A3782" s="4" t="s">
        <v>8315</v>
      </c>
      <c r="B3782" s="28" t="s">
        <v>7513</v>
      </c>
    </row>
    <row r="3783">
      <c r="A3783" s="4" t="s">
        <v>8316</v>
      </c>
      <c r="B3783" s="28" t="s">
        <v>7513</v>
      </c>
    </row>
    <row r="3784">
      <c r="A3784" s="4" t="s">
        <v>8317</v>
      </c>
      <c r="B3784" s="28" t="s">
        <v>7513</v>
      </c>
    </row>
    <row r="3785">
      <c r="A3785" s="4" t="s">
        <v>8318</v>
      </c>
      <c r="B3785" s="28" t="s">
        <v>7513</v>
      </c>
    </row>
    <row r="3786">
      <c r="A3786" s="4" t="s">
        <v>8319</v>
      </c>
      <c r="B3786" s="28" t="s">
        <v>7513</v>
      </c>
    </row>
    <row r="3787">
      <c r="A3787" s="4" t="s">
        <v>8320</v>
      </c>
      <c r="B3787" s="28" t="s">
        <v>7513</v>
      </c>
    </row>
    <row r="3788">
      <c r="A3788" s="4" t="s">
        <v>8321</v>
      </c>
      <c r="B3788" s="28" t="s">
        <v>7513</v>
      </c>
    </row>
    <row r="3789">
      <c r="A3789" s="4" t="s">
        <v>8322</v>
      </c>
      <c r="B3789" s="28" t="s">
        <v>7513</v>
      </c>
    </row>
    <row r="3790">
      <c r="A3790" s="4" t="s">
        <v>8323</v>
      </c>
      <c r="B3790" s="28" t="s">
        <v>7513</v>
      </c>
    </row>
    <row r="3791">
      <c r="A3791" s="4" t="s">
        <v>8324</v>
      </c>
      <c r="B3791" s="28" t="s">
        <v>7513</v>
      </c>
    </row>
    <row r="3792">
      <c r="A3792" s="4" t="s">
        <v>8325</v>
      </c>
      <c r="B3792" s="28" t="s">
        <v>7513</v>
      </c>
    </row>
    <row r="3793">
      <c r="A3793" s="4" t="s">
        <v>8326</v>
      </c>
      <c r="B3793" s="28" t="s">
        <v>7513</v>
      </c>
    </row>
    <row r="3794">
      <c r="A3794" s="4" t="s">
        <v>8327</v>
      </c>
      <c r="B3794" s="28" t="s">
        <v>7513</v>
      </c>
    </row>
    <row r="3795">
      <c r="A3795" s="4" t="s">
        <v>8328</v>
      </c>
      <c r="B3795" s="28" t="s">
        <v>7513</v>
      </c>
    </row>
    <row r="3796">
      <c r="A3796" s="4" t="s">
        <v>8329</v>
      </c>
      <c r="B3796" s="28" t="s">
        <v>7513</v>
      </c>
    </row>
    <row r="3797">
      <c r="A3797" s="4" t="s">
        <v>8330</v>
      </c>
      <c r="B3797" s="28" t="s">
        <v>7513</v>
      </c>
    </row>
    <row r="3798">
      <c r="A3798" s="4" t="s">
        <v>8331</v>
      </c>
      <c r="B3798" s="28" t="s">
        <v>7513</v>
      </c>
    </row>
    <row r="3799">
      <c r="A3799" s="4" t="s">
        <v>8332</v>
      </c>
      <c r="B3799" s="28" t="s">
        <v>7513</v>
      </c>
    </row>
    <row r="3800">
      <c r="A3800" s="4" t="s">
        <v>8333</v>
      </c>
      <c r="B3800" s="28" t="s">
        <v>7513</v>
      </c>
    </row>
    <row r="3801">
      <c r="A3801" s="4" t="s">
        <v>8334</v>
      </c>
      <c r="B3801" s="28" t="s">
        <v>7513</v>
      </c>
    </row>
    <row r="3802">
      <c r="A3802" s="4" t="s">
        <v>8335</v>
      </c>
      <c r="B3802" s="28" t="s">
        <v>7513</v>
      </c>
    </row>
    <row r="3803">
      <c r="A3803" s="4" t="s">
        <v>8336</v>
      </c>
      <c r="B3803" s="28" t="s">
        <v>7513</v>
      </c>
    </row>
    <row r="3804">
      <c r="A3804" s="4" t="s">
        <v>8337</v>
      </c>
      <c r="B3804" s="28" t="s">
        <v>7513</v>
      </c>
    </row>
    <row r="3805">
      <c r="A3805" s="4" t="s">
        <v>8338</v>
      </c>
      <c r="B3805" s="28" t="s">
        <v>7513</v>
      </c>
    </row>
    <row r="3806">
      <c r="A3806" s="4" t="s">
        <v>8339</v>
      </c>
      <c r="B3806" s="28" t="s">
        <v>7513</v>
      </c>
    </row>
    <row r="3807">
      <c r="A3807" s="4" t="s">
        <v>8340</v>
      </c>
      <c r="B3807" s="28" t="s">
        <v>7513</v>
      </c>
    </row>
    <row r="3808">
      <c r="A3808" s="4" t="s">
        <v>8341</v>
      </c>
      <c r="B3808" s="28" t="s">
        <v>7513</v>
      </c>
    </row>
    <row r="3809">
      <c r="A3809" s="4" t="s">
        <v>8342</v>
      </c>
      <c r="B3809" s="28" t="s">
        <v>7513</v>
      </c>
    </row>
    <row r="3810">
      <c r="A3810" s="4" t="s">
        <v>8343</v>
      </c>
      <c r="B3810" s="28" t="s">
        <v>7513</v>
      </c>
    </row>
    <row r="3811">
      <c r="A3811" s="4" t="s">
        <v>8344</v>
      </c>
      <c r="B3811" s="28" t="s">
        <v>7513</v>
      </c>
    </row>
    <row r="3812">
      <c r="A3812" s="4" t="s">
        <v>8345</v>
      </c>
      <c r="B3812" s="28" t="s">
        <v>7513</v>
      </c>
    </row>
    <row r="3813">
      <c r="A3813" s="4" t="s">
        <v>8346</v>
      </c>
      <c r="B3813" s="28" t="s">
        <v>7513</v>
      </c>
    </row>
    <row r="3814">
      <c r="A3814" s="4" t="s">
        <v>8347</v>
      </c>
      <c r="B3814" s="28" t="s">
        <v>7513</v>
      </c>
    </row>
    <row r="3815">
      <c r="A3815" s="4" t="s">
        <v>8348</v>
      </c>
      <c r="B3815" s="28" t="s">
        <v>7513</v>
      </c>
    </row>
    <row r="3816">
      <c r="A3816" s="4" t="s">
        <v>8349</v>
      </c>
      <c r="B3816" s="28" t="s">
        <v>7513</v>
      </c>
    </row>
    <row r="3817">
      <c r="A3817" s="4" t="s">
        <v>8350</v>
      </c>
      <c r="B3817" s="28" t="s">
        <v>7513</v>
      </c>
    </row>
    <row r="3818">
      <c r="A3818" s="4" t="s">
        <v>8351</v>
      </c>
      <c r="B3818" s="28" t="s">
        <v>7513</v>
      </c>
    </row>
    <row r="3819">
      <c r="A3819" s="4" t="s">
        <v>8352</v>
      </c>
      <c r="B3819" s="28" t="s">
        <v>7513</v>
      </c>
    </row>
    <row r="3820">
      <c r="A3820" s="4" t="s">
        <v>8353</v>
      </c>
      <c r="B3820" s="28" t="s">
        <v>7513</v>
      </c>
    </row>
    <row r="3821">
      <c r="A3821" s="4" t="s">
        <v>8354</v>
      </c>
      <c r="B3821" s="28" t="s">
        <v>7513</v>
      </c>
    </row>
    <row r="3822">
      <c r="A3822" s="4" t="s">
        <v>8355</v>
      </c>
      <c r="B3822" s="28" t="s">
        <v>7513</v>
      </c>
    </row>
    <row r="3823">
      <c r="A3823" s="4" t="s">
        <v>8356</v>
      </c>
      <c r="B3823" s="28" t="s">
        <v>7513</v>
      </c>
    </row>
    <row r="3824">
      <c r="A3824" s="4" t="s">
        <v>8357</v>
      </c>
      <c r="B3824" s="28" t="s">
        <v>7513</v>
      </c>
    </row>
    <row r="3825">
      <c r="A3825" s="4" t="s">
        <v>8358</v>
      </c>
      <c r="B3825" s="28" t="s">
        <v>7513</v>
      </c>
    </row>
    <row r="3826">
      <c r="A3826" s="4" t="s">
        <v>8359</v>
      </c>
      <c r="B3826" s="28" t="s">
        <v>7513</v>
      </c>
    </row>
    <row r="3827">
      <c r="A3827" s="4" t="s">
        <v>8360</v>
      </c>
      <c r="B3827" s="28" t="s">
        <v>7513</v>
      </c>
    </row>
    <row r="3828">
      <c r="A3828" s="4" t="s">
        <v>8361</v>
      </c>
      <c r="B3828" s="28" t="s">
        <v>7513</v>
      </c>
    </row>
    <row r="3829">
      <c r="A3829" s="4" t="s">
        <v>8362</v>
      </c>
      <c r="B3829" s="28" t="s">
        <v>7513</v>
      </c>
    </row>
    <row r="3830">
      <c r="A3830" s="4" t="s">
        <v>8363</v>
      </c>
      <c r="B3830" s="28" t="s">
        <v>7513</v>
      </c>
    </row>
    <row r="3831">
      <c r="A3831" s="4" t="s">
        <v>8364</v>
      </c>
      <c r="B3831" s="28" t="s">
        <v>7513</v>
      </c>
    </row>
    <row r="3832">
      <c r="A3832" s="4" t="s">
        <v>8365</v>
      </c>
      <c r="B3832" s="28" t="s">
        <v>7513</v>
      </c>
    </row>
    <row r="3833">
      <c r="A3833" s="4" t="s">
        <v>8366</v>
      </c>
      <c r="B3833" s="28" t="s">
        <v>7513</v>
      </c>
    </row>
    <row r="3834">
      <c r="A3834" s="4" t="s">
        <v>8367</v>
      </c>
      <c r="B3834" s="28" t="s">
        <v>7513</v>
      </c>
    </row>
    <row r="3835">
      <c r="A3835" s="4" t="s">
        <v>8368</v>
      </c>
      <c r="B3835" s="28" t="s">
        <v>7513</v>
      </c>
    </row>
    <row r="3836">
      <c r="A3836" s="4" t="s">
        <v>8369</v>
      </c>
      <c r="B3836" s="28" t="s">
        <v>7513</v>
      </c>
    </row>
    <row r="3837">
      <c r="A3837" s="4" t="s">
        <v>8370</v>
      </c>
      <c r="B3837" s="28" t="s">
        <v>7513</v>
      </c>
    </row>
    <row r="3838">
      <c r="A3838" s="4" t="s">
        <v>8371</v>
      </c>
      <c r="B3838" s="28" t="s">
        <v>7513</v>
      </c>
    </row>
    <row r="3839">
      <c r="A3839" s="4" t="s">
        <v>8372</v>
      </c>
      <c r="B3839" s="28" t="s">
        <v>7513</v>
      </c>
    </row>
    <row r="3840">
      <c r="A3840" s="4" t="s">
        <v>8373</v>
      </c>
      <c r="B3840" s="28" t="s">
        <v>7513</v>
      </c>
    </row>
    <row r="3841">
      <c r="A3841" s="4" t="s">
        <v>8374</v>
      </c>
      <c r="B3841" s="28" t="s">
        <v>7513</v>
      </c>
    </row>
    <row r="3842">
      <c r="A3842" s="4" t="s">
        <v>8375</v>
      </c>
      <c r="B3842" s="28" t="s">
        <v>7513</v>
      </c>
    </row>
    <row r="3843">
      <c r="A3843" s="4" t="s">
        <v>8376</v>
      </c>
      <c r="B3843" s="28" t="s">
        <v>7513</v>
      </c>
    </row>
    <row r="3844">
      <c r="A3844" s="4" t="s">
        <v>8377</v>
      </c>
      <c r="B3844" s="28" t="s">
        <v>7513</v>
      </c>
    </row>
    <row r="3845">
      <c r="A3845" s="4" t="s">
        <v>8378</v>
      </c>
      <c r="B3845" s="28" t="s">
        <v>7513</v>
      </c>
    </row>
    <row r="3846">
      <c r="A3846" s="4" t="s">
        <v>8379</v>
      </c>
      <c r="B3846" s="28" t="s">
        <v>7513</v>
      </c>
    </row>
    <row r="3847">
      <c r="A3847" s="4" t="s">
        <v>8380</v>
      </c>
      <c r="B3847" s="28" t="s">
        <v>7513</v>
      </c>
    </row>
    <row r="3848">
      <c r="A3848" s="4" t="s">
        <v>8381</v>
      </c>
      <c r="B3848" s="28" t="s">
        <v>7513</v>
      </c>
    </row>
    <row r="3849">
      <c r="A3849" s="4" t="s">
        <v>8382</v>
      </c>
      <c r="B3849" s="28" t="s">
        <v>7513</v>
      </c>
    </row>
    <row r="3850">
      <c r="A3850" s="4" t="s">
        <v>8383</v>
      </c>
      <c r="B3850" s="28" t="s">
        <v>7513</v>
      </c>
    </row>
    <row r="3851">
      <c r="A3851" s="4" t="s">
        <v>8384</v>
      </c>
      <c r="B3851" s="28" t="s">
        <v>7513</v>
      </c>
    </row>
    <row r="3852">
      <c r="A3852" s="4" t="s">
        <v>8385</v>
      </c>
      <c r="B3852" s="28" t="s">
        <v>7513</v>
      </c>
    </row>
    <row r="3853">
      <c r="A3853" s="4" t="s">
        <v>8386</v>
      </c>
      <c r="B3853" s="28" t="s">
        <v>7513</v>
      </c>
    </row>
    <row r="3854">
      <c r="A3854" s="4" t="s">
        <v>8387</v>
      </c>
      <c r="B3854" s="28" t="s">
        <v>7513</v>
      </c>
    </row>
    <row r="3855">
      <c r="A3855" s="4" t="s">
        <v>8388</v>
      </c>
      <c r="B3855" s="28" t="s">
        <v>7513</v>
      </c>
    </row>
    <row r="3856">
      <c r="A3856" s="4" t="s">
        <v>8389</v>
      </c>
      <c r="B3856" s="28" t="s">
        <v>7513</v>
      </c>
    </row>
    <row r="3857">
      <c r="A3857" s="4" t="s">
        <v>8390</v>
      </c>
      <c r="B3857" s="28" t="s">
        <v>7513</v>
      </c>
    </row>
    <row r="3858">
      <c r="A3858" s="4" t="s">
        <v>8391</v>
      </c>
      <c r="B3858" s="28" t="s">
        <v>7513</v>
      </c>
    </row>
    <row r="3859">
      <c r="A3859" s="4" t="s">
        <v>8392</v>
      </c>
      <c r="B3859" s="28" t="s">
        <v>7513</v>
      </c>
    </row>
    <row r="3860">
      <c r="A3860" s="4" t="s">
        <v>8393</v>
      </c>
      <c r="B3860" s="28" t="s">
        <v>7513</v>
      </c>
    </row>
    <row r="3861">
      <c r="A3861" s="4" t="s">
        <v>8394</v>
      </c>
      <c r="B3861" s="28" t="s">
        <v>7513</v>
      </c>
    </row>
    <row r="3862">
      <c r="A3862" s="4" t="s">
        <v>8395</v>
      </c>
      <c r="B3862" s="28" t="s">
        <v>7513</v>
      </c>
    </row>
    <row r="3863">
      <c r="A3863" s="4" t="s">
        <v>8396</v>
      </c>
      <c r="B3863" s="28" t="s">
        <v>7513</v>
      </c>
    </row>
    <row r="3864">
      <c r="A3864" s="4" t="s">
        <v>8397</v>
      </c>
      <c r="B3864" s="28" t="s">
        <v>7513</v>
      </c>
    </row>
    <row r="3865">
      <c r="A3865" s="4" t="s">
        <v>8398</v>
      </c>
      <c r="B3865" s="28" t="s">
        <v>7513</v>
      </c>
    </row>
    <row r="3866">
      <c r="A3866" s="4" t="s">
        <v>8399</v>
      </c>
      <c r="B3866" s="28" t="s">
        <v>7513</v>
      </c>
    </row>
    <row r="3867">
      <c r="A3867" s="4" t="s">
        <v>8400</v>
      </c>
      <c r="B3867" s="28" t="s">
        <v>7513</v>
      </c>
    </row>
    <row r="3868">
      <c r="A3868" s="4" t="s">
        <v>8401</v>
      </c>
      <c r="B3868" s="28" t="s">
        <v>7513</v>
      </c>
    </row>
    <row r="3869">
      <c r="A3869" s="4" t="s">
        <v>8402</v>
      </c>
      <c r="B3869" s="28" t="s">
        <v>7513</v>
      </c>
    </row>
    <row r="3870">
      <c r="A3870" s="4" t="s">
        <v>8403</v>
      </c>
      <c r="B3870" s="28" t="s">
        <v>7513</v>
      </c>
    </row>
    <row r="3871">
      <c r="A3871" s="4" t="s">
        <v>8404</v>
      </c>
      <c r="B3871" s="28" t="s">
        <v>7513</v>
      </c>
    </row>
    <row r="3872">
      <c r="A3872" s="4" t="s">
        <v>8405</v>
      </c>
      <c r="B3872" s="28" t="s">
        <v>7513</v>
      </c>
    </row>
    <row r="3873">
      <c r="A3873" s="4" t="s">
        <v>8406</v>
      </c>
      <c r="B3873" s="28" t="s">
        <v>7513</v>
      </c>
    </row>
    <row r="3874">
      <c r="A3874" s="4" t="s">
        <v>8407</v>
      </c>
      <c r="B3874" s="28" t="s">
        <v>7513</v>
      </c>
    </row>
    <row r="3875">
      <c r="A3875" s="4" t="s">
        <v>8408</v>
      </c>
      <c r="B3875" s="28" t="s">
        <v>7513</v>
      </c>
    </row>
    <row r="3876">
      <c r="A3876" s="4" t="s">
        <v>8409</v>
      </c>
      <c r="B3876" s="28" t="s">
        <v>7513</v>
      </c>
    </row>
    <row r="3877">
      <c r="A3877" s="4" t="s">
        <v>8410</v>
      </c>
      <c r="B3877" s="28" t="s">
        <v>7513</v>
      </c>
    </row>
    <row r="3878">
      <c r="A3878" s="4" t="s">
        <v>8411</v>
      </c>
      <c r="B3878" s="28" t="s">
        <v>7513</v>
      </c>
    </row>
    <row r="3879">
      <c r="A3879" s="4" t="s">
        <v>8412</v>
      </c>
      <c r="B3879" s="28" t="s">
        <v>7513</v>
      </c>
    </row>
    <row r="3880">
      <c r="A3880" s="4" t="s">
        <v>8413</v>
      </c>
      <c r="B3880" s="28" t="s">
        <v>7513</v>
      </c>
    </row>
    <row r="3881">
      <c r="A3881" s="4" t="s">
        <v>8414</v>
      </c>
      <c r="B3881" s="28" t="s">
        <v>7513</v>
      </c>
    </row>
    <row r="3882">
      <c r="A3882" s="4" t="s">
        <v>8415</v>
      </c>
      <c r="B3882" s="28" t="s">
        <v>7513</v>
      </c>
    </row>
    <row r="3883">
      <c r="A3883" s="4" t="s">
        <v>8416</v>
      </c>
      <c r="B3883" s="28" t="s">
        <v>7513</v>
      </c>
    </row>
    <row r="3884">
      <c r="A3884" s="4" t="s">
        <v>8417</v>
      </c>
      <c r="B3884" s="28" t="s">
        <v>7513</v>
      </c>
    </row>
    <row r="3885">
      <c r="A3885" s="4" t="s">
        <v>8418</v>
      </c>
      <c r="B3885" s="28" t="s">
        <v>7513</v>
      </c>
    </row>
    <row r="3886">
      <c r="A3886" s="4" t="s">
        <v>8419</v>
      </c>
      <c r="B3886" s="28" t="s">
        <v>7513</v>
      </c>
    </row>
    <row r="3887">
      <c r="A3887" s="4" t="s">
        <v>8420</v>
      </c>
      <c r="B3887" s="28" t="s">
        <v>7513</v>
      </c>
    </row>
    <row r="3888">
      <c r="A3888" s="4" t="s">
        <v>8421</v>
      </c>
      <c r="B3888" s="28" t="s">
        <v>7513</v>
      </c>
    </row>
    <row r="3889">
      <c r="A3889" s="4" t="s">
        <v>8422</v>
      </c>
      <c r="B3889" s="28" t="s">
        <v>7513</v>
      </c>
    </row>
    <row r="3890">
      <c r="A3890" s="4" t="s">
        <v>8423</v>
      </c>
      <c r="B3890" s="28" t="s">
        <v>7513</v>
      </c>
    </row>
    <row r="3891">
      <c r="A3891" s="4" t="s">
        <v>8424</v>
      </c>
      <c r="B3891" s="28" t="s">
        <v>7513</v>
      </c>
    </row>
    <row r="3892">
      <c r="A3892" s="4" t="s">
        <v>8425</v>
      </c>
      <c r="B3892" s="28" t="s">
        <v>7513</v>
      </c>
    </row>
    <row r="3893">
      <c r="A3893" s="4" t="s">
        <v>8426</v>
      </c>
      <c r="B3893" s="28" t="s">
        <v>7513</v>
      </c>
    </row>
    <row r="3894">
      <c r="A3894" s="4" t="s">
        <v>8427</v>
      </c>
      <c r="B3894" s="28" t="s">
        <v>7513</v>
      </c>
    </row>
    <row r="3895">
      <c r="A3895" s="4" t="s">
        <v>8428</v>
      </c>
      <c r="B3895" s="28" t="s">
        <v>7513</v>
      </c>
    </row>
    <row r="3896">
      <c r="A3896" s="4" t="s">
        <v>8429</v>
      </c>
      <c r="B3896" s="28" t="s">
        <v>7513</v>
      </c>
    </row>
    <row r="3897">
      <c r="A3897" s="4" t="s">
        <v>8430</v>
      </c>
      <c r="B3897" s="28" t="s">
        <v>7513</v>
      </c>
    </row>
    <row r="3898">
      <c r="A3898" s="4" t="s">
        <v>8431</v>
      </c>
      <c r="B3898" s="28" t="s">
        <v>7513</v>
      </c>
    </row>
    <row r="3899">
      <c r="A3899" s="4" t="s">
        <v>8432</v>
      </c>
      <c r="B3899" s="28" t="s">
        <v>7513</v>
      </c>
    </row>
    <row r="3900">
      <c r="A3900" s="4" t="s">
        <v>8433</v>
      </c>
      <c r="B3900" s="28" t="s">
        <v>7513</v>
      </c>
    </row>
    <row r="3901">
      <c r="A3901" s="4" t="s">
        <v>8434</v>
      </c>
      <c r="B3901" s="28" t="s">
        <v>7513</v>
      </c>
    </row>
    <row r="3902">
      <c r="A3902" s="4" t="s">
        <v>8435</v>
      </c>
      <c r="B3902" s="28" t="s">
        <v>7513</v>
      </c>
    </row>
    <row r="3903">
      <c r="A3903" s="4" t="s">
        <v>8436</v>
      </c>
      <c r="B3903" s="28" t="s">
        <v>7513</v>
      </c>
    </row>
    <row r="3904">
      <c r="A3904" s="4" t="s">
        <v>8437</v>
      </c>
      <c r="B3904" s="28" t="s">
        <v>7513</v>
      </c>
    </row>
    <row r="3905">
      <c r="A3905" s="4" t="s">
        <v>8438</v>
      </c>
      <c r="B3905" s="28" t="s">
        <v>7513</v>
      </c>
    </row>
    <row r="3906">
      <c r="A3906" s="4" t="s">
        <v>8439</v>
      </c>
      <c r="B3906" s="28" t="s">
        <v>7513</v>
      </c>
    </row>
    <row r="3907">
      <c r="A3907" s="4" t="s">
        <v>8440</v>
      </c>
      <c r="B3907" s="28" t="s">
        <v>7513</v>
      </c>
    </row>
    <row r="3908">
      <c r="A3908" s="4" t="s">
        <v>8441</v>
      </c>
      <c r="B3908" s="28" t="s">
        <v>7513</v>
      </c>
    </row>
    <row r="3909">
      <c r="A3909" s="4" t="s">
        <v>8442</v>
      </c>
      <c r="B3909" s="28" t="s">
        <v>7513</v>
      </c>
    </row>
    <row r="3910">
      <c r="A3910" s="4" t="s">
        <v>8443</v>
      </c>
      <c r="B3910" s="28" t="s">
        <v>7513</v>
      </c>
    </row>
    <row r="3911">
      <c r="A3911" s="4" t="s">
        <v>8444</v>
      </c>
      <c r="B3911" s="28" t="s">
        <v>7513</v>
      </c>
    </row>
    <row r="3912">
      <c r="A3912" s="4" t="s">
        <v>8445</v>
      </c>
      <c r="B3912" s="28" t="s">
        <v>7513</v>
      </c>
    </row>
    <row r="3913">
      <c r="A3913" s="4" t="s">
        <v>8446</v>
      </c>
      <c r="B3913" s="28" t="s">
        <v>7513</v>
      </c>
    </row>
    <row r="3914">
      <c r="A3914" s="4" t="s">
        <v>8447</v>
      </c>
      <c r="B3914" s="28" t="s">
        <v>7513</v>
      </c>
    </row>
    <row r="3915">
      <c r="A3915" s="4" t="s">
        <v>8448</v>
      </c>
      <c r="B3915" s="28" t="s">
        <v>7513</v>
      </c>
    </row>
    <row r="3916">
      <c r="A3916" s="4" t="s">
        <v>8449</v>
      </c>
      <c r="B3916" s="28" t="s">
        <v>7513</v>
      </c>
    </row>
    <row r="3917">
      <c r="A3917" s="4" t="s">
        <v>8450</v>
      </c>
      <c r="B3917" s="28" t="s">
        <v>7513</v>
      </c>
    </row>
    <row r="3918">
      <c r="A3918" s="4" t="s">
        <v>8451</v>
      </c>
      <c r="B3918" s="28" t="s">
        <v>7513</v>
      </c>
    </row>
    <row r="3919">
      <c r="A3919" s="4" t="s">
        <v>8452</v>
      </c>
      <c r="B3919" s="28" t="s">
        <v>7513</v>
      </c>
    </row>
    <row r="3920">
      <c r="A3920" s="4" t="s">
        <v>8453</v>
      </c>
      <c r="B3920" s="28" t="s">
        <v>7513</v>
      </c>
    </row>
    <row r="3921">
      <c r="A3921" s="4" t="s">
        <v>8454</v>
      </c>
      <c r="B3921" s="28" t="s">
        <v>7513</v>
      </c>
    </row>
    <row r="3922">
      <c r="A3922" s="4" t="s">
        <v>8455</v>
      </c>
      <c r="B3922" s="28" t="s">
        <v>7513</v>
      </c>
    </row>
    <row r="3923">
      <c r="A3923" s="4" t="s">
        <v>8456</v>
      </c>
      <c r="B3923" s="28" t="s">
        <v>7513</v>
      </c>
    </row>
    <row r="3924">
      <c r="A3924" s="4" t="s">
        <v>8457</v>
      </c>
      <c r="B3924" s="28" t="s">
        <v>7513</v>
      </c>
    </row>
    <row r="3925">
      <c r="A3925" s="4" t="s">
        <v>8458</v>
      </c>
      <c r="B3925" s="28" t="s">
        <v>7513</v>
      </c>
    </row>
    <row r="3926">
      <c r="A3926" s="4" t="s">
        <v>8459</v>
      </c>
      <c r="B3926" s="28" t="s">
        <v>7513</v>
      </c>
    </row>
    <row r="3927">
      <c r="A3927" s="4" t="s">
        <v>8460</v>
      </c>
      <c r="B3927" s="28" t="s">
        <v>7513</v>
      </c>
    </row>
    <row r="3928">
      <c r="A3928" s="4" t="s">
        <v>8461</v>
      </c>
      <c r="B3928" s="28" t="s">
        <v>7513</v>
      </c>
    </row>
    <row r="3929">
      <c r="A3929" s="4" t="s">
        <v>8462</v>
      </c>
      <c r="B3929" s="28" t="s">
        <v>7513</v>
      </c>
    </row>
    <row r="3930">
      <c r="A3930" s="4" t="s">
        <v>8463</v>
      </c>
      <c r="B3930" s="28" t="s">
        <v>7513</v>
      </c>
    </row>
    <row r="3931">
      <c r="A3931" s="4" t="s">
        <v>8464</v>
      </c>
      <c r="B3931" s="28" t="s">
        <v>7513</v>
      </c>
    </row>
    <row r="3932">
      <c r="A3932" s="4" t="s">
        <v>8465</v>
      </c>
      <c r="B3932" s="28" t="s">
        <v>7513</v>
      </c>
    </row>
    <row r="3933">
      <c r="A3933" s="4" t="s">
        <v>8466</v>
      </c>
      <c r="B3933" s="28" t="s">
        <v>7513</v>
      </c>
    </row>
    <row r="3934">
      <c r="A3934" s="4" t="s">
        <v>8467</v>
      </c>
      <c r="B3934" s="28" t="s">
        <v>7513</v>
      </c>
    </row>
    <row r="3935">
      <c r="A3935" s="4" t="s">
        <v>8468</v>
      </c>
      <c r="B3935" s="28" t="s">
        <v>7513</v>
      </c>
    </row>
    <row r="3936">
      <c r="A3936" s="4" t="s">
        <v>8469</v>
      </c>
      <c r="B3936" s="28" t="s">
        <v>7513</v>
      </c>
    </row>
    <row r="3937">
      <c r="A3937" s="4" t="s">
        <v>8470</v>
      </c>
      <c r="B3937" s="28" t="s">
        <v>7513</v>
      </c>
    </row>
    <row r="3938">
      <c r="A3938" s="4" t="s">
        <v>8471</v>
      </c>
      <c r="B3938" s="28" t="s">
        <v>7513</v>
      </c>
    </row>
    <row r="3939">
      <c r="A3939" s="4" t="s">
        <v>8472</v>
      </c>
      <c r="B3939" s="28" t="s">
        <v>7513</v>
      </c>
    </row>
    <row r="3940">
      <c r="A3940" s="4" t="s">
        <v>8473</v>
      </c>
      <c r="B3940" s="28" t="s">
        <v>7513</v>
      </c>
    </row>
    <row r="3941">
      <c r="A3941" s="4" t="s">
        <v>8474</v>
      </c>
      <c r="B3941" s="28" t="s">
        <v>7513</v>
      </c>
    </row>
    <row r="3942">
      <c r="A3942" s="4" t="s">
        <v>8475</v>
      </c>
      <c r="B3942" s="28" t="s">
        <v>7513</v>
      </c>
    </row>
    <row r="3943">
      <c r="A3943" s="4" t="s">
        <v>8476</v>
      </c>
      <c r="B3943" s="28" t="s">
        <v>7513</v>
      </c>
    </row>
    <row r="3944">
      <c r="A3944" s="4" t="s">
        <v>8477</v>
      </c>
      <c r="B3944" s="28" t="s">
        <v>7513</v>
      </c>
    </row>
    <row r="3945">
      <c r="A3945" s="4" t="s">
        <v>8478</v>
      </c>
      <c r="B3945" s="28" t="s">
        <v>7513</v>
      </c>
    </row>
    <row r="3946">
      <c r="A3946" s="4" t="s">
        <v>8479</v>
      </c>
      <c r="B3946" s="28" t="s">
        <v>7513</v>
      </c>
    </row>
    <row r="3947">
      <c r="A3947" s="4" t="s">
        <v>8480</v>
      </c>
      <c r="B3947" s="28" t="s">
        <v>7513</v>
      </c>
    </row>
    <row r="3948">
      <c r="A3948" s="4" t="s">
        <v>8481</v>
      </c>
      <c r="B3948" s="28" t="s">
        <v>7513</v>
      </c>
    </row>
    <row r="3949">
      <c r="A3949" s="4" t="s">
        <v>8482</v>
      </c>
      <c r="B3949" s="28" t="s">
        <v>7513</v>
      </c>
    </row>
    <row r="3950">
      <c r="A3950" s="4" t="s">
        <v>8483</v>
      </c>
      <c r="B3950" s="28" t="s">
        <v>7513</v>
      </c>
    </row>
    <row r="3951">
      <c r="A3951" s="4" t="s">
        <v>8484</v>
      </c>
      <c r="B3951" s="28" t="s">
        <v>7513</v>
      </c>
    </row>
    <row r="3952">
      <c r="A3952" s="4" t="s">
        <v>8485</v>
      </c>
      <c r="B3952" s="28" t="s">
        <v>7513</v>
      </c>
    </row>
    <row r="3953">
      <c r="A3953" s="4" t="s">
        <v>8486</v>
      </c>
      <c r="B3953" s="28" t="s">
        <v>7513</v>
      </c>
    </row>
    <row r="3954">
      <c r="A3954" s="4" t="s">
        <v>8487</v>
      </c>
      <c r="B3954" s="28" t="s">
        <v>7513</v>
      </c>
    </row>
    <row r="3955">
      <c r="A3955" s="4" t="s">
        <v>8488</v>
      </c>
      <c r="B3955" s="28" t="s">
        <v>7513</v>
      </c>
    </row>
    <row r="3956">
      <c r="A3956" s="4" t="s">
        <v>8489</v>
      </c>
      <c r="B3956" s="28" t="s">
        <v>7513</v>
      </c>
    </row>
    <row r="3957">
      <c r="A3957" s="4" t="s">
        <v>8490</v>
      </c>
      <c r="B3957" s="28" t="s">
        <v>7513</v>
      </c>
    </row>
    <row r="3958">
      <c r="A3958" s="4" t="s">
        <v>8491</v>
      </c>
      <c r="B3958" s="28" t="s">
        <v>7513</v>
      </c>
    </row>
    <row r="3959">
      <c r="A3959" s="4" t="s">
        <v>8492</v>
      </c>
      <c r="B3959" s="28" t="s">
        <v>7513</v>
      </c>
    </row>
    <row r="3960">
      <c r="A3960" s="4" t="s">
        <v>8493</v>
      </c>
      <c r="B3960" s="28" t="s">
        <v>7513</v>
      </c>
    </row>
    <row r="3961">
      <c r="A3961" s="4" t="s">
        <v>8494</v>
      </c>
      <c r="B3961" s="28" t="s">
        <v>7513</v>
      </c>
    </row>
    <row r="3962">
      <c r="A3962" s="4" t="s">
        <v>8495</v>
      </c>
      <c r="B3962" s="28" t="s">
        <v>7513</v>
      </c>
    </row>
    <row r="3963">
      <c r="A3963" s="4" t="s">
        <v>8496</v>
      </c>
      <c r="B3963" s="28" t="s">
        <v>7513</v>
      </c>
    </row>
    <row r="3964">
      <c r="A3964" s="4" t="s">
        <v>8497</v>
      </c>
      <c r="B3964" s="28" t="s">
        <v>7513</v>
      </c>
    </row>
    <row r="3965">
      <c r="A3965" s="4" t="s">
        <v>8498</v>
      </c>
      <c r="B3965" s="28" t="s">
        <v>7513</v>
      </c>
    </row>
    <row r="3966">
      <c r="A3966" s="4" t="s">
        <v>8499</v>
      </c>
      <c r="B3966" s="28" t="s">
        <v>7513</v>
      </c>
    </row>
    <row r="3967">
      <c r="A3967" s="4" t="s">
        <v>8500</v>
      </c>
      <c r="B3967" s="28" t="s">
        <v>7513</v>
      </c>
    </row>
    <row r="3968">
      <c r="A3968" s="4" t="s">
        <v>8501</v>
      </c>
      <c r="B3968" s="28" t="s">
        <v>7513</v>
      </c>
    </row>
    <row r="3969">
      <c r="A3969" s="4" t="s">
        <v>8502</v>
      </c>
      <c r="B3969" s="28" t="s">
        <v>7513</v>
      </c>
    </row>
    <row r="3970">
      <c r="A3970" s="4" t="s">
        <v>8503</v>
      </c>
      <c r="B3970" s="28" t="s">
        <v>7513</v>
      </c>
    </row>
    <row r="3971">
      <c r="A3971" s="4" t="s">
        <v>8504</v>
      </c>
      <c r="B3971" s="28" t="s">
        <v>7513</v>
      </c>
    </row>
    <row r="3972">
      <c r="A3972" s="4" t="s">
        <v>8505</v>
      </c>
      <c r="B3972" s="28" t="s">
        <v>7513</v>
      </c>
    </row>
    <row r="3973">
      <c r="A3973" s="4" t="s">
        <v>8506</v>
      </c>
      <c r="B3973" s="28" t="s">
        <v>7513</v>
      </c>
    </row>
    <row r="3974">
      <c r="A3974" s="4" t="s">
        <v>8507</v>
      </c>
      <c r="B3974" s="28" t="s">
        <v>7513</v>
      </c>
    </row>
    <row r="3975">
      <c r="A3975" s="4" t="s">
        <v>8508</v>
      </c>
      <c r="B3975" s="28" t="s">
        <v>7513</v>
      </c>
    </row>
    <row r="3976">
      <c r="A3976" s="4" t="s">
        <v>8509</v>
      </c>
      <c r="B3976" s="28" t="s">
        <v>7513</v>
      </c>
    </row>
    <row r="3977">
      <c r="A3977" s="4" t="s">
        <v>8510</v>
      </c>
      <c r="B3977" s="28" t="s">
        <v>7513</v>
      </c>
    </row>
    <row r="3978">
      <c r="A3978" s="4" t="s">
        <v>8511</v>
      </c>
      <c r="B3978" s="28" t="s">
        <v>7513</v>
      </c>
    </row>
    <row r="3979">
      <c r="A3979" s="4" t="s">
        <v>8512</v>
      </c>
      <c r="B3979" s="28" t="s">
        <v>7513</v>
      </c>
    </row>
    <row r="3980">
      <c r="A3980" s="4" t="s">
        <v>8513</v>
      </c>
      <c r="B3980" s="28" t="s">
        <v>7513</v>
      </c>
    </row>
    <row r="3981">
      <c r="A3981" s="4" t="s">
        <v>8514</v>
      </c>
      <c r="B3981" s="28" t="s">
        <v>7513</v>
      </c>
    </row>
    <row r="3982">
      <c r="A3982" s="4" t="s">
        <v>8515</v>
      </c>
      <c r="B3982" s="28" t="s">
        <v>7513</v>
      </c>
    </row>
    <row r="3983">
      <c r="A3983" s="4" t="s">
        <v>8516</v>
      </c>
      <c r="B3983" s="28" t="s">
        <v>7513</v>
      </c>
    </row>
    <row r="3984">
      <c r="A3984" s="4" t="s">
        <v>8517</v>
      </c>
      <c r="B3984" s="28" t="s">
        <v>7513</v>
      </c>
    </row>
    <row r="3985">
      <c r="A3985" s="4" t="s">
        <v>8518</v>
      </c>
      <c r="B3985" s="28" t="s">
        <v>7513</v>
      </c>
    </row>
    <row r="3986">
      <c r="A3986" s="4" t="s">
        <v>8519</v>
      </c>
      <c r="B3986" s="28" t="s">
        <v>7513</v>
      </c>
    </row>
    <row r="3987">
      <c r="A3987" s="4" t="s">
        <v>8520</v>
      </c>
      <c r="B3987" s="28" t="s">
        <v>7513</v>
      </c>
    </row>
    <row r="3988">
      <c r="A3988" s="4" t="s">
        <v>8521</v>
      </c>
      <c r="B3988" s="28" t="s">
        <v>7513</v>
      </c>
    </row>
    <row r="3989">
      <c r="A3989" s="4" t="s">
        <v>8522</v>
      </c>
      <c r="B3989" s="28" t="s">
        <v>7513</v>
      </c>
    </row>
    <row r="3990">
      <c r="A3990" s="4" t="s">
        <v>8523</v>
      </c>
      <c r="B3990" s="28" t="s">
        <v>7513</v>
      </c>
    </row>
    <row r="3991">
      <c r="A3991" s="4" t="s">
        <v>8524</v>
      </c>
      <c r="B3991" s="28" t="s">
        <v>7513</v>
      </c>
    </row>
    <row r="3992">
      <c r="A3992" s="4" t="s">
        <v>8525</v>
      </c>
      <c r="B3992" s="28" t="s">
        <v>7513</v>
      </c>
    </row>
    <row r="3993">
      <c r="A3993" s="4" t="s">
        <v>8526</v>
      </c>
      <c r="B3993" s="28" t="s">
        <v>7513</v>
      </c>
    </row>
    <row r="3994">
      <c r="A3994" s="4" t="s">
        <v>8527</v>
      </c>
      <c r="B3994" s="28" t="s">
        <v>7513</v>
      </c>
    </row>
    <row r="3995">
      <c r="A3995" s="4" t="s">
        <v>8528</v>
      </c>
      <c r="B3995" s="28" t="s">
        <v>7513</v>
      </c>
    </row>
    <row r="3996">
      <c r="A3996" s="4" t="s">
        <v>8529</v>
      </c>
      <c r="B3996" s="28" t="s">
        <v>7513</v>
      </c>
    </row>
    <row r="3997">
      <c r="A3997" s="4" t="s">
        <v>8530</v>
      </c>
      <c r="B3997" s="28" t="s">
        <v>7513</v>
      </c>
    </row>
    <row r="3998">
      <c r="A3998" s="4" t="s">
        <v>8531</v>
      </c>
      <c r="B3998" s="28" t="s">
        <v>7513</v>
      </c>
    </row>
    <row r="3999">
      <c r="A3999" s="4" t="s">
        <v>8532</v>
      </c>
      <c r="B3999" s="28" t="s">
        <v>7513</v>
      </c>
    </row>
    <row r="4000">
      <c r="A4000" s="4" t="s">
        <v>8533</v>
      </c>
      <c r="B4000" s="28" t="s">
        <v>7513</v>
      </c>
    </row>
    <row r="4001">
      <c r="A4001" s="4" t="s">
        <v>8534</v>
      </c>
      <c r="B4001" s="28" t="s">
        <v>7513</v>
      </c>
    </row>
    <row r="4002">
      <c r="A4002" s="4" t="s">
        <v>8535</v>
      </c>
      <c r="B4002" s="28" t="s">
        <v>7513</v>
      </c>
    </row>
    <row r="4003">
      <c r="A4003" s="4" t="s">
        <v>8536</v>
      </c>
      <c r="B4003" s="28" t="s">
        <v>7513</v>
      </c>
    </row>
    <row r="4004">
      <c r="A4004" s="4" t="s">
        <v>8537</v>
      </c>
      <c r="B4004" s="28" t="s">
        <v>7513</v>
      </c>
    </row>
    <row r="4005">
      <c r="A4005" s="4" t="s">
        <v>8538</v>
      </c>
      <c r="B4005" s="28" t="s">
        <v>7513</v>
      </c>
    </row>
    <row r="4006">
      <c r="A4006" s="4" t="s">
        <v>8539</v>
      </c>
      <c r="B4006" s="28" t="s">
        <v>7513</v>
      </c>
    </row>
    <row r="4007">
      <c r="A4007" s="4" t="s">
        <v>8540</v>
      </c>
      <c r="B4007" s="28" t="s">
        <v>7513</v>
      </c>
    </row>
    <row r="4008">
      <c r="A4008" s="4" t="s">
        <v>8541</v>
      </c>
      <c r="B4008" s="28" t="s">
        <v>7513</v>
      </c>
    </row>
    <row r="4009">
      <c r="A4009" s="4" t="s">
        <v>8542</v>
      </c>
      <c r="B4009" s="28" t="s">
        <v>7513</v>
      </c>
    </row>
    <row r="4010">
      <c r="A4010" s="4" t="s">
        <v>8543</v>
      </c>
      <c r="B4010" s="28" t="s">
        <v>7513</v>
      </c>
    </row>
    <row r="4011">
      <c r="A4011" s="4" t="s">
        <v>8544</v>
      </c>
      <c r="B4011" s="28" t="s">
        <v>7513</v>
      </c>
    </row>
    <row r="4012">
      <c r="A4012" s="4" t="s">
        <v>8545</v>
      </c>
      <c r="B4012" s="28" t="s">
        <v>7513</v>
      </c>
    </row>
    <row r="4013">
      <c r="A4013" s="4" t="s">
        <v>8546</v>
      </c>
      <c r="B4013" s="28" t="s">
        <v>7513</v>
      </c>
    </row>
    <row r="4014">
      <c r="A4014" s="4" t="s">
        <v>8547</v>
      </c>
      <c r="B4014" s="28" t="s">
        <v>7513</v>
      </c>
    </row>
    <row r="4015">
      <c r="A4015" s="4" t="s">
        <v>8548</v>
      </c>
      <c r="B4015" s="28" t="s">
        <v>7513</v>
      </c>
    </row>
    <row r="4016">
      <c r="A4016" s="4" t="s">
        <v>8549</v>
      </c>
      <c r="B4016" s="28" t="s">
        <v>7513</v>
      </c>
    </row>
    <row r="4017">
      <c r="A4017" s="4" t="s">
        <v>8550</v>
      </c>
      <c r="B4017" s="28" t="s">
        <v>7513</v>
      </c>
    </row>
    <row r="4018">
      <c r="A4018" s="4" t="s">
        <v>8551</v>
      </c>
      <c r="B4018" s="28" t="s">
        <v>7513</v>
      </c>
    </row>
    <row r="4019">
      <c r="A4019" s="4" t="s">
        <v>8552</v>
      </c>
      <c r="B4019" s="28" t="s">
        <v>7513</v>
      </c>
    </row>
    <row r="4020">
      <c r="A4020" s="4" t="s">
        <v>8553</v>
      </c>
      <c r="B4020" s="28" t="s">
        <v>7513</v>
      </c>
    </row>
    <row r="4021">
      <c r="A4021" s="4" t="s">
        <v>8554</v>
      </c>
      <c r="B4021" s="28" t="s">
        <v>7513</v>
      </c>
    </row>
    <row r="4022">
      <c r="A4022" s="4" t="s">
        <v>8555</v>
      </c>
      <c r="B4022" s="28" t="s">
        <v>7513</v>
      </c>
    </row>
    <row r="4023">
      <c r="A4023" s="4" t="s">
        <v>8556</v>
      </c>
      <c r="B4023" s="28" t="s">
        <v>7513</v>
      </c>
    </row>
    <row r="4024">
      <c r="A4024" s="4" t="s">
        <v>8557</v>
      </c>
      <c r="B4024" s="28" t="s">
        <v>7513</v>
      </c>
    </row>
    <row r="4025">
      <c r="A4025" s="4" t="s">
        <v>8558</v>
      </c>
      <c r="B4025" s="28" t="s">
        <v>7513</v>
      </c>
    </row>
    <row r="4026">
      <c r="A4026" s="4" t="s">
        <v>8559</v>
      </c>
      <c r="B4026" s="28" t="s">
        <v>7513</v>
      </c>
    </row>
    <row r="4027">
      <c r="A4027" s="4" t="s">
        <v>8560</v>
      </c>
      <c r="B4027" s="28" t="s">
        <v>7513</v>
      </c>
    </row>
    <row r="4028">
      <c r="A4028" s="4" t="s">
        <v>8561</v>
      </c>
      <c r="B4028" s="28" t="s">
        <v>7513</v>
      </c>
    </row>
    <row r="4029">
      <c r="A4029" s="4" t="s">
        <v>8562</v>
      </c>
      <c r="B4029" s="28" t="s">
        <v>7513</v>
      </c>
    </row>
    <row r="4030">
      <c r="A4030" s="4" t="s">
        <v>8563</v>
      </c>
      <c r="B4030" s="28" t="s">
        <v>7513</v>
      </c>
    </row>
    <row r="4031">
      <c r="A4031" s="4" t="s">
        <v>8564</v>
      </c>
      <c r="B4031" s="28" t="s">
        <v>7513</v>
      </c>
    </row>
    <row r="4032">
      <c r="A4032" s="4" t="s">
        <v>8565</v>
      </c>
      <c r="B4032" s="28" t="s">
        <v>7513</v>
      </c>
    </row>
    <row r="4033">
      <c r="A4033" s="4" t="s">
        <v>8566</v>
      </c>
      <c r="B4033" s="28" t="s">
        <v>7513</v>
      </c>
    </row>
    <row r="4034">
      <c r="A4034" s="4" t="s">
        <v>8567</v>
      </c>
      <c r="B4034" s="28" t="s">
        <v>7513</v>
      </c>
    </row>
    <row r="4035">
      <c r="A4035" s="4" t="s">
        <v>8568</v>
      </c>
      <c r="B4035" s="28" t="s">
        <v>7513</v>
      </c>
    </row>
    <row r="4036">
      <c r="A4036" s="4" t="s">
        <v>8569</v>
      </c>
      <c r="B4036" s="28" t="s">
        <v>7513</v>
      </c>
    </row>
    <row r="4037">
      <c r="A4037" s="4" t="s">
        <v>8570</v>
      </c>
      <c r="B4037" s="28" t="s">
        <v>7513</v>
      </c>
    </row>
    <row r="4038">
      <c r="A4038" s="4" t="s">
        <v>8571</v>
      </c>
      <c r="B4038" s="28" t="s">
        <v>7513</v>
      </c>
    </row>
    <row r="4039">
      <c r="A4039" s="4" t="s">
        <v>8572</v>
      </c>
      <c r="B4039" s="28" t="s">
        <v>7513</v>
      </c>
    </row>
    <row r="4040">
      <c r="A4040" s="4" t="s">
        <v>8573</v>
      </c>
      <c r="B4040" s="28" t="s">
        <v>7513</v>
      </c>
    </row>
    <row r="4041">
      <c r="A4041" s="4" t="s">
        <v>8574</v>
      </c>
      <c r="B4041" s="28" t="s">
        <v>7513</v>
      </c>
    </row>
    <row r="4042">
      <c r="A4042" s="4" t="s">
        <v>8575</v>
      </c>
      <c r="B4042" s="28" t="s">
        <v>7513</v>
      </c>
    </row>
    <row r="4043">
      <c r="A4043" s="4" t="s">
        <v>8576</v>
      </c>
      <c r="B4043" s="28" t="s">
        <v>7513</v>
      </c>
    </row>
    <row r="4044">
      <c r="A4044" s="4" t="s">
        <v>8577</v>
      </c>
      <c r="B4044" s="28" t="s">
        <v>7513</v>
      </c>
    </row>
    <row r="4045">
      <c r="A4045" s="4" t="s">
        <v>8578</v>
      </c>
      <c r="B4045" s="28" t="s">
        <v>7513</v>
      </c>
    </row>
    <row r="4046">
      <c r="A4046" s="4" t="s">
        <v>8579</v>
      </c>
      <c r="B4046" s="28" t="s">
        <v>7513</v>
      </c>
    </row>
    <row r="4047">
      <c r="A4047" s="4" t="s">
        <v>8580</v>
      </c>
      <c r="B4047" s="28" t="s">
        <v>7513</v>
      </c>
    </row>
    <row r="4048">
      <c r="A4048" s="4" t="s">
        <v>8581</v>
      </c>
      <c r="B4048" s="28" t="s">
        <v>7513</v>
      </c>
    </row>
    <row r="4049">
      <c r="A4049" s="4" t="s">
        <v>8582</v>
      </c>
      <c r="B4049" s="28" t="s">
        <v>7513</v>
      </c>
    </row>
    <row r="4050">
      <c r="A4050" s="4" t="s">
        <v>8583</v>
      </c>
      <c r="B4050" s="28" t="s">
        <v>7513</v>
      </c>
    </row>
    <row r="4051">
      <c r="A4051" s="4" t="s">
        <v>8584</v>
      </c>
      <c r="B4051" s="28" t="s">
        <v>7513</v>
      </c>
    </row>
    <row r="4052">
      <c r="A4052" s="4" t="s">
        <v>8585</v>
      </c>
      <c r="B4052" s="28" t="s">
        <v>7513</v>
      </c>
    </row>
    <row r="4053">
      <c r="A4053" s="4" t="s">
        <v>8586</v>
      </c>
      <c r="B4053" s="28" t="s">
        <v>7513</v>
      </c>
    </row>
    <row r="4054">
      <c r="A4054" s="4" t="s">
        <v>8587</v>
      </c>
      <c r="B4054" s="28" t="s">
        <v>7513</v>
      </c>
    </row>
    <row r="4055">
      <c r="A4055" s="4" t="s">
        <v>8588</v>
      </c>
      <c r="B4055" s="28" t="s">
        <v>7513</v>
      </c>
    </row>
    <row r="4056">
      <c r="A4056" s="4" t="s">
        <v>8589</v>
      </c>
      <c r="B4056" s="28" t="s">
        <v>7513</v>
      </c>
    </row>
    <row r="4057">
      <c r="A4057" s="4" t="s">
        <v>8590</v>
      </c>
      <c r="B4057" s="28" t="s">
        <v>7513</v>
      </c>
    </row>
    <row r="4058">
      <c r="A4058" s="4" t="s">
        <v>8591</v>
      </c>
      <c r="B4058" s="28" t="s">
        <v>7513</v>
      </c>
    </row>
    <row r="4059">
      <c r="A4059" s="4" t="s">
        <v>8592</v>
      </c>
      <c r="B4059" s="28" t="s">
        <v>7513</v>
      </c>
    </row>
    <row r="4060">
      <c r="A4060" s="4" t="s">
        <v>8593</v>
      </c>
      <c r="B4060" s="28" t="s">
        <v>7513</v>
      </c>
    </row>
    <row r="4061">
      <c r="A4061" s="4" t="s">
        <v>8594</v>
      </c>
      <c r="B4061" s="28" t="s">
        <v>7513</v>
      </c>
    </row>
    <row r="4062">
      <c r="A4062" s="4" t="s">
        <v>8595</v>
      </c>
      <c r="B4062" s="28" t="s">
        <v>7513</v>
      </c>
    </row>
    <row r="4063">
      <c r="A4063" s="4" t="s">
        <v>8596</v>
      </c>
      <c r="B4063" s="28" t="s">
        <v>7513</v>
      </c>
    </row>
    <row r="4064">
      <c r="A4064" s="4" t="s">
        <v>8597</v>
      </c>
      <c r="B4064" s="28" t="s">
        <v>7513</v>
      </c>
    </row>
    <row r="4065">
      <c r="A4065" s="4" t="s">
        <v>8598</v>
      </c>
      <c r="B4065" s="28" t="s">
        <v>7513</v>
      </c>
    </row>
    <row r="4066">
      <c r="A4066" s="4" t="s">
        <v>8599</v>
      </c>
      <c r="B4066" s="28" t="s">
        <v>7513</v>
      </c>
    </row>
    <row r="4067">
      <c r="A4067" s="4" t="s">
        <v>8600</v>
      </c>
      <c r="B4067" s="28" t="s">
        <v>7513</v>
      </c>
    </row>
    <row r="4068">
      <c r="A4068" s="4" t="s">
        <v>8601</v>
      </c>
      <c r="B4068" s="28" t="s">
        <v>7513</v>
      </c>
    </row>
    <row r="4069">
      <c r="A4069" s="4" t="s">
        <v>8602</v>
      </c>
      <c r="B4069" s="28" t="s">
        <v>7513</v>
      </c>
    </row>
    <row r="4070">
      <c r="A4070" s="4" t="s">
        <v>8603</v>
      </c>
      <c r="B4070" s="28" t="s">
        <v>7513</v>
      </c>
    </row>
    <row r="4071">
      <c r="A4071" s="4" t="s">
        <v>8604</v>
      </c>
      <c r="B4071" s="28" t="s">
        <v>7513</v>
      </c>
    </row>
    <row r="4072">
      <c r="A4072" s="4" t="s">
        <v>8605</v>
      </c>
      <c r="B4072" s="28" t="s">
        <v>7513</v>
      </c>
    </row>
    <row r="4073">
      <c r="A4073" s="4" t="s">
        <v>8606</v>
      </c>
      <c r="B4073" s="28" t="s">
        <v>7513</v>
      </c>
    </row>
    <row r="4074">
      <c r="A4074" s="4" t="s">
        <v>8607</v>
      </c>
      <c r="B4074" s="28" t="s">
        <v>7513</v>
      </c>
    </row>
    <row r="4075">
      <c r="A4075" s="4" t="s">
        <v>8608</v>
      </c>
      <c r="B4075" s="28" t="s">
        <v>7513</v>
      </c>
    </row>
    <row r="4076">
      <c r="A4076" s="4" t="s">
        <v>8609</v>
      </c>
      <c r="B4076" s="28" t="s">
        <v>7513</v>
      </c>
    </row>
    <row r="4077">
      <c r="A4077" s="4" t="s">
        <v>8610</v>
      </c>
      <c r="B4077" s="28" t="s">
        <v>7513</v>
      </c>
    </row>
    <row r="4078">
      <c r="A4078" s="4" t="s">
        <v>8611</v>
      </c>
      <c r="B4078" s="28" t="s">
        <v>7513</v>
      </c>
    </row>
    <row r="4079">
      <c r="A4079" s="4" t="s">
        <v>8612</v>
      </c>
      <c r="B4079" s="28" t="s">
        <v>7513</v>
      </c>
    </row>
    <row r="4080">
      <c r="A4080" s="4" t="s">
        <v>8613</v>
      </c>
      <c r="B4080" s="28" t="s">
        <v>7513</v>
      </c>
    </row>
    <row r="4081">
      <c r="A4081" s="4" t="s">
        <v>8614</v>
      </c>
      <c r="B4081" s="28" t="s">
        <v>7513</v>
      </c>
    </row>
    <row r="4082">
      <c r="A4082" s="4" t="s">
        <v>8615</v>
      </c>
      <c r="B4082" s="28" t="s">
        <v>7513</v>
      </c>
    </row>
    <row r="4083">
      <c r="A4083" s="4" t="s">
        <v>8616</v>
      </c>
      <c r="B4083" s="28" t="s">
        <v>7513</v>
      </c>
    </row>
    <row r="4084">
      <c r="A4084" s="4" t="s">
        <v>8617</v>
      </c>
      <c r="B4084" s="28" t="s">
        <v>7513</v>
      </c>
    </row>
    <row r="4085">
      <c r="A4085" s="4" t="s">
        <v>8618</v>
      </c>
      <c r="B4085" s="28" t="s">
        <v>7513</v>
      </c>
    </row>
    <row r="4086">
      <c r="A4086" s="4" t="s">
        <v>8619</v>
      </c>
      <c r="B4086" s="28" t="s">
        <v>7513</v>
      </c>
    </row>
    <row r="4087">
      <c r="A4087" s="4" t="s">
        <v>8620</v>
      </c>
      <c r="B4087" s="28" t="s">
        <v>7513</v>
      </c>
    </row>
    <row r="4088">
      <c r="A4088" s="4" t="s">
        <v>8621</v>
      </c>
      <c r="B4088" s="28" t="s">
        <v>7513</v>
      </c>
    </row>
    <row r="4089">
      <c r="A4089" s="4" t="s">
        <v>8622</v>
      </c>
      <c r="B4089" s="28" t="s">
        <v>7513</v>
      </c>
    </row>
    <row r="4090">
      <c r="A4090" s="4" t="s">
        <v>8623</v>
      </c>
      <c r="B4090" s="28" t="s">
        <v>7513</v>
      </c>
    </row>
    <row r="4091">
      <c r="A4091" s="4" t="s">
        <v>8624</v>
      </c>
      <c r="B4091" s="28" t="s">
        <v>7513</v>
      </c>
    </row>
    <row r="4092">
      <c r="A4092" s="4" t="s">
        <v>8625</v>
      </c>
      <c r="B4092" s="28" t="s">
        <v>7513</v>
      </c>
    </row>
    <row r="4093">
      <c r="A4093" s="4" t="s">
        <v>8626</v>
      </c>
      <c r="B4093" s="28" t="s">
        <v>7513</v>
      </c>
    </row>
    <row r="4094">
      <c r="A4094" s="4" t="s">
        <v>8627</v>
      </c>
      <c r="B4094" s="28" t="s">
        <v>7513</v>
      </c>
    </row>
    <row r="4095">
      <c r="A4095" s="4" t="s">
        <v>8628</v>
      </c>
      <c r="B4095" s="28" t="s">
        <v>7513</v>
      </c>
    </row>
    <row r="4096">
      <c r="A4096" s="4" t="s">
        <v>8629</v>
      </c>
      <c r="B4096" s="28" t="s">
        <v>7513</v>
      </c>
    </row>
    <row r="4097">
      <c r="A4097" s="4" t="s">
        <v>8630</v>
      </c>
      <c r="B4097" s="28" t="s">
        <v>7513</v>
      </c>
    </row>
    <row r="4098">
      <c r="A4098" s="4" t="s">
        <v>8631</v>
      </c>
      <c r="B4098" s="28" t="s">
        <v>7513</v>
      </c>
    </row>
    <row r="4099">
      <c r="A4099" s="4" t="s">
        <v>8632</v>
      </c>
      <c r="B4099" s="28" t="s">
        <v>7513</v>
      </c>
    </row>
    <row r="4100">
      <c r="A4100" s="4" t="s">
        <v>8633</v>
      </c>
      <c r="B4100" s="28" t="s">
        <v>7513</v>
      </c>
    </row>
    <row r="4101">
      <c r="A4101" s="4" t="s">
        <v>8634</v>
      </c>
      <c r="B4101" s="28" t="s">
        <v>7513</v>
      </c>
    </row>
    <row r="4102">
      <c r="A4102" s="4" t="s">
        <v>8635</v>
      </c>
      <c r="B4102" s="28" t="s">
        <v>7513</v>
      </c>
    </row>
    <row r="4103">
      <c r="A4103" s="4" t="s">
        <v>8636</v>
      </c>
      <c r="B4103" s="28" t="s">
        <v>7513</v>
      </c>
    </row>
    <row r="4104">
      <c r="A4104" s="4" t="s">
        <v>8637</v>
      </c>
      <c r="B4104" s="28" t="s">
        <v>7513</v>
      </c>
    </row>
    <row r="4105">
      <c r="A4105" s="4" t="s">
        <v>8638</v>
      </c>
      <c r="B4105" s="28" t="s">
        <v>7513</v>
      </c>
    </row>
    <row r="4106">
      <c r="A4106" s="4" t="s">
        <v>8639</v>
      </c>
      <c r="B4106" s="28" t="s">
        <v>7513</v>
      </c>
    </row>
    <row r="4107">
      <c r="A4107" s="4" t="s">
        <v>8640</v>
      </c>
      <c r="B4107" s="28" t="s">
        <v>7513</v>
      </c>
    </row>
    <row r="4108">
      <c r="A4108" s="4" t="s">
        <v>8641</v>
      </c>
      <c r="B4108" s="28" t="s">
        <v>7513</v>
      </c>
    </row>
    <row r="4109">
      <c r="A4109" s="4" t="s">
        <v>8642</v>
      </c>
      <c r="B4109" s="28" t="s">
        <v>7513</v>
      </c>
    </row>
    <row r="4110">
      <c r="A4110" s="4" t="s">
        <v>8643</v>
      </c>
      <c r="B4110" s="28" t="s">
        <v>7513</v>
      </c>
    </row>
    <row r="4111">
      <c r="A4111" s="4" t="s">
        <v>8644</v>
      </c>
      <c r="B4111" s="28" t="s">
        <v>7513</v>
      </c>
    </row>
    <row r="4112">
      <c r="A4112" s="4" t="s">
        <v>8645</v>
      </c>
      <c r="B4112" s="28" t="s">
        <v>7513</v>
      </c>
    </row>
    <row r="4113">
      <c r="A4113" s="4" t="s">
        <v>8646</v>
      </c>
      <c r="B4113" s="28" t="s">
        <v>7513</v>
      </c>
    </row>
    <row r="4114">
      <c r="A4114" s="4" t="s">
        <v>8647</v>
      </c>
      <c r="B4114" s="28" t="s">
        <v>7513</v>
      </c>
    </row>
    <row r="4115">
      <c r="A4115" s="4" t="s">
        <v>8648</v>
      </c>
      <c r="B4115" s="28" t="s">
        <v>7513</v>
      </c>
    </row>
    <row r="4116">
      <c r="A4116" s="4" t="s">
        <v>8649</v>
      </c>
      <c r="B4116" s="28" t="s">
        <v>7513</v>
      </c>
    </row>
    <row r="4117">
      <c r="A4117" s="4" t="s">
        <v>8650</v>
      </c>
      <c r="B4117" s="28" t="s">
        <v>7513</v>
      </c>
    </row>
    <row r="4118">
      <c r="A4118" s="4" t="s">
        <v>8651</v>
      </c>
      <c r="B4118" s="28" t="s">
        <v>7513</v>
      </c>
    </row>
    <row r="4119">
      <c r="A4119" s="4" t="s">
        <v>8652</v>
      </c>
      <c r="B4119" s="28" t="s">
        <v>7513</v>
      </c>
    </row>
    <row r="4120">
      <c r="A4120" s="4" t="s">
        <v>8653</v>
      </c>
      <c r="B4120" s="28" t="s">
        <v>7513</v>
      </c>
    </row>
    <row r="4121">
      <c r="A4121" s="4" t="s">
        <v>8654</v>
      </c>
      <c r="B4121" s="28" t="s">
        <v>7513</v>
      </c>
    </row>
    <row r="4122">
      <c r="A4122" s="4" t="s">
        <v>8655</v>
      </c>
      <c r="B4122" s="28" t="s">
        <v>7513</v>
      </c>
    </row>
    <row r="4123">
      <c r="A4123" s="4" t="s">
        <v>8656</v>
      </c>
      <c r="B4123" s="28" t="s">
        <v>7513</v>
      </c>
    </row>
    <row r="4124">
      <c r="A4124" s="4" t="s">
        <v>8657</v>
      </c>
      <c r="B4124" s="28" t="s">
        <v>7513</v>
      </c>
    </row>
    <row r="4125">
      <c r="A4125" s="4" t="s">
        <v>8658</v>
      </c>
      <c r="B4125" s="28" t="s">
        <v>7513</v>
      </c>
    </row>
    <row r="4126">
      <c r="A4126" s="4" t="s">
        <v>8659</v>
      </c>
      <c r="B4126" s="28" t="s">
        <v>7513</v>
      </c>
    </row>
    <row r="4127">
      <c r="A4127" s="4" t="s">
        <v>8660</v>
      </c>
      <c r="B4127" s="28" t="s">
        <v>7513</v>
      </c>
    </row>
    <row r="4128">
      <c r="A4128" s="4" t="s">
        <v>8661</v>
      </c>
      <c r="B4128" s="28" t="s">
        <v>7513</v>
      </c>
    </row>
    <row r="4129">
      <c r="A4129" s="4" t="s">
        <v>8662</v>
      </c>
      <c r="B4129" s="28" t="s">
        <v>7513</v>
      </c>
    </row>
    <row r="4130">
      <c r="A4130" s="4" t="s">
        <v>8663</v>
      </c>
      <c r="B4130" s="28" t="s">
        <v>7513</v>
      </c>
    </row>
    <row r="4131">
      <c r="A4131" s="4" t="s">
        <v>8664</v>
      </c>
      <c r="B4131" s="28" t="s">
        <v>7513</v>
      </c>
    </row>
    <row r="4132">
      <c r="A4132" s="4" t="s">
        <v>8665</v>
      </c>
      <c r="B4132" s="28" t="s">
        <v>7513</v>
      </c>
    </row>
    <row r="4133">
      <c r="A4133" s="4" t="s">
        <v>8666</v>
      </c>
      <c r="B4133" s="28" t="s">
        <v>7513</v>
      </c>
    </row>
    <row r="4134">
      <c r="A4134" s="4" t="s">
        <v>8667</v>
      </c>
      <c r="B4134" s="28" t="s">
        <v>7513</v>
      </c>
    </row>
    <row r="4135">
      <c r="A4135" s="4" t="s">
        <v>8668</v>
      </c>
      <c r="B4135" s="28" t="s">
        <v>7513</v>
      </c>
    </row>
    <row r="4136">
      <c r="A4136" s="4" t="s">
        <v>8669</v>
      </c>
      <c r="B4136" s="28" t="s">
        <v>7513</v>
      </c>
    </row>
    <row r="4137">
      <c r="A4137" s="4" t="s">
        <v>8670</v>
      </c>
      <c r="B4137" s="28" t="s">
        <v>7513</v>
      </c>
    </row>
    <row r="4138">
      <c r="A4138" s="4" t="s">
        <v>8671</v>
      </c>
      <c r="B4138" s="28" t="s">
        <v>7513</v>
      </c>
    </row>
    <row r="4139">
      <c r="A4139" s="4" t="s">
        <v>8672</v>
      </c>
      <c r="B4139" s="28" t="s">
        <v>7513</v>
      </c>
    </row>
    <row r="4140">
      <c r="A4140" s="4" t="s">
        <v>8673</v>
      </c>
      <c r="B4140" s="28" t="s">
        <v>7513</v>
      </c>
    </row>
    <row r="4141">
      <c r="A4141" s="4" t="s">
        <v>8674</v>
      </c>
      <c r="B4141" s="28" t="s">
        <v>7513</v>
      </c>
    </row>
    <row r="4142">
      <c r="A4142" s="4" t="s">
        <v>8675</v>
      </c>
      <c r="B4142" s="28" t="s">
        <v>7513</v>
      </c>
    </row>
    <row r="4143">
      <c r="A4143" s="4" t="s">
        <v>8676</v>
      </c>
      <c r="B4143" s="28" t="s">
        <v>7513</v>
      </c>
    </row>
    <row r="4144">
      <c r="A4144" s="4" t="s">
        <v>8677</v>
      </c>
      <c r="B4144" s="28" t="s">
        <v>7513</v>
      </c>
    </row>
    <row r="4145">
      <c r="A4145" s="4" t="s">
        <v>8678</v>
      </c>
      <c r="B4145" s="28" t="s">
        <v>7513</v>
      </c>
    </row>
    <row r="4146">
      <c r="A4146" s="4" t="s">
        <v>8679</v>
      </c>
      <c r="B4146" s="28" t="s">
        <v>7513</v>
      </c>
    </row>
    <row r="4147">
      <c r="A4147" s="4" t="s">
        <v>8680</v>
      </c>
      <c r="B4147" s="28" t="s">
        <v>7513</v>
      </c>
    </row>
    <row r="4148">
      <c r="A4148" s="4" t="s">
        <v>8681</v>
      </c>
      <c r="B4148" s="28" t="s">
        <v>7513</v>
      </c>
    </row>
    <row r="4149">
      <c r="A4149" s="4" t="s">
        <v>8682</v>
      </c>
      <c r="B4149" s="28" t="s">
        <v>7513</v>
      </c>
    </row>
    <row r="4150">
      <c r="A4150" s="4" t="s">
        <v>8683</v>
      </c>
      <c r="B4150" s="28" t="s">
        <v>7513</v>
      </c>
    </row>
    <row r="4151">
      <c r="A4151" s="4" t="s">
        <v>8684</v>
      </c>
      <c r="B4151" s="29" t="s">
        <v>8685</v>
      </c>
    </row>
    <row r="4152">
      <c r="A4152" s="4" t="s">
        <v>8686</v>
      </c>
      <c r="B4152" s="29" t="s">
        <v>8685</v>
      </c>
    </row>
    <row r="4153">
      <c r="A4153" s="4" t="s">
        <v>8687</v>
      </c>
      <c r="B4153" s="29" t="s">
        <v>8685</v>
      </c>
    </row>
    <row r="4154">
      <c r="A4154" s="4" t="s">
        <v>8688</v>
      </c>
      <c r="B4154" s="29" t="s">
        <v>8685</v>
      </c>
    </row>
    <row r="4155">
      <c r="A4155" s="4" t="s">
        <v>8689</v>
      </c>
      <c r="B4155" s="29" t="s">
        <v>8685</v>
      </c>
    </row>
    <row r="4156">
      <c r="A4156" s="4" t="s">
        <v>8690</v>
      </c>
      <c r="B4156" s="29" t="s">
        <v>8685</v>
      </c>
    </row>
    <row r="4157">
      <c r="A4157" s="4" t="s">
        <v>8691</v>
      </c>
      <c r="B4157" s="29" t="s">
        <v>8685</v>
      </c>
    </row>
    <row r="4158">
      <c r="A4158" s="4" t="s">
        <v>8692</v>
      </c>
      <c r="B4158" s="29" t="s">
        <v>8685</v>
      </c>
    </row>
    <row r="4159">
      <c r="A4159" s="4" t="s">
        <v>8693</v>
      </c>
      <c r="B4159" s="29" t="s">
        <v>8685</v>
      </c>
    </row>
    <row r="4160">
      <c r="A4160" s="4" t="s">
        <v>8694</v>
      </c>
      <c r="B4160" s="29" t="s">
        <v>8685</v>
      </c>
    </row>
    <row r="4161">
      <c r="A4161" s="4" t="s">
        <v>8695</v>
      </c>
      <c r="B4161" s="29" t="s">
        <v>8685</v>
      </c>
    </row>
    <row r="4162">
      <c r="A4162" s="4" t="s">
        <v>8696</v>
      </c>
      <c r="B4162" s="29" t="s">
        <v>8685</v>
      </c>
    </row>
    <row r="4163">
      <c r="A4163" s="4" t="s">
        <v>8697</v>
      </c>
      <c r="B4163" s="29" t="s">
        <v>8685</v>
      </c>
    </row>
    <row r="4164">
      <c r="A4164" s="4" t="s">
        <v>8698</v>
      </c>
      <c r="B4164" s="29" t="s">
        <v>8685</v>
      </c>
    </row>
    <row r="4165">
      <c r="A4165" s="4" t="s">
        <v>8699</v>
      </c>
      <c r="B4165" s="29" t="s">
        <v>8685</v>
      </c>
    </row>
    <row r="4166">
      <c r="A4166" s="4" t="s">
        <v>8700</v>
      </c>
      <c r="B4166" s="29" t="s">
        <v>8685</v>
      </c>
    </row>
    <row r="4167">
      <c r="A4167" s="4" t="s">
        <v>8701</v>
      </c>
      <c r="B4167" s="29" t="s">
        <v>8685</v>
      </c>
    </row>
    <row r="4168">
      <c r="A4168" s="4" t="s">
        <v>8702</v>
      </c>
      <c r="B4168" s="29" t="s">
        <v>8685</v>
      </c>
    </row>
    <row r="4169">
      <c r="A4169" s="4" t="s">
        <v>8703</v>
      </c>
      <c r="B4169" s="29" t="s">
        <v>8685</v>
      </c>
    </row>
    <row r="4170">
      <c r="A4170" s="4" t="s">
        <v>8704</v>
      </c>
      <c r="B4170" s="29" t="s">
        <v>8685</v>
      </c>
    </row>
    <row r="4171">
      <c r="A4171" s="4" t="s">
        <v>8705</v>
      </c>
      <c r="B4171" s="29" t="s">
        <v>8685</v>
      </c>
    </row>
    <row r="4172">
      <c r="A4172" s="4" t="s">
        <v>8706</v>
      </c>
      <c r="B4172" s="29" t="s">
        <v>8685</v>
      </c>
    </row>
    <row r="4173">
      <c r="A4173" s="4" t="s">
        <v>8707</v>
      </c>
      <c r="B4173" s="29" t="s">
        <v>8685</v>
      </c>
    </row>
    <row r="4174">
      <c r="A4174" s="4" t="s">
        <v>8708</v>
      </c>
      <c r="B4174" s="29" t="s">
        <v>8685</v>
      </c>
    </row>
    <row r="4175">
      <c r="A4175" s="4" t="s">
        <v>8709</v>
      </c>
      <c r="B4175" s="29" t="s">
        <v>8685</v>
      </c>
    </row>
    <row r="4176">
      <c r="A4176" s="4" t="s">
        <v>8710</v>
      </c>
      <c r="B4176" s="29" t="s">
        <v>8685</v>
      </c>
    </row>
    <row r="4177">
      <c r="A4177" s="4" t="s">
        <v>8711</v>
      </c>
      <c r="B4177" s="29" t="s">
        <v>8685</v>
      </c>
    </row>
    <row r="4178">
      <c r="A4178" s="4" t="s">
        <v>8712</v>
      </c>
      <c r="B4178" s="29" t="s">
        <v>8685</v>
      </c>
    </row>
    <row r="4179">
      <c r="A4179" s="4" t="s">
        <v>8713</v>
      </c>
      <c r="B4179" s="29" t="s">
        <v>8685</v>
      </c>
    </row>
    <row r="4180">
      <c r="A4180" s="4" t="s">
        <v>8714</v>
      </c>
      <c r="B4180" s="29" t="s">
        <v>8685</v>
      </c>
    </row>
    <row r="4181">
      <c r="A4181" s="4" t="s">
        <v>8715</v>
      </c>
      <c r="B4181" s="29" t="s">
        <v>8685</v>
      </c>
    </row>
    <row r="4182">
      <c r="A4182" s="4" t="s">
        <v>8716</v>
      </c>
      <c r="B4182" s="29" t="s">
        <v>8685</v>
      </c>
    </row>
    <row r="4183">
      <c r="A4183" s="4" t="s">
        <v>8717</v>
      </c>
      <c r="B4183" s="29" t="s">
        <v>8685</v>
      </c>
    </row>
    <row r="4184">
      <c r="A4184" s="4" t="s">
        <v>8718</v>
      </c>
      <c r="B4184" s="29" t="s">
        <v>8685</v>
      </c>
    </row>
    <row r="4185">
      <c r="A4185" s="4" t="s">
        <v>8719</v>
      </c>
      <c r="B4185" s="29" t="s">
        <v>8685</v>
      </c>
    </row>
    <row r="4186">
      <c r="A4186" s="4" t="s">
        <v>8720</v>
      </c>
      <c r="B4186" s="29" t="s">
        <v>8685</v>
      </c>
    </row>
    <row r="4187">
      <c r="A4187" s="4" t="s">
        <v>8721</v>
      </c>
      <c r="B4187" s="29" t="s">
        <v>8685</v>
      </c>
    </row>
    <row r="4188">
      <c r="A4188" s="4" t="s">
        <v>8722</v>
      </c>
      <c r="B4188" s="29" t="s">
        <v>8685</v>
      </c>
    </row>
    <row r="4189">
      <c r="A4189" s="4" t="s">
        <v>8723</v>
      </c>
      <c r="B4189" s="29" t="s">
        <v>8685</v>
      </c>
    </row>
    <row r="4190">
      <c r="A4190" s="4" t="s">
        <v>8724</v>
      </c>
      <c r="B4190" s="29" t="s">
        <v>8685</v>
      </c>
    </row>
    <row r="4191">
      <c r="A4191" s="4" t="s">
        <v>8725</v>
      </c>
      <c r="B4191" s="29" t="s">
        <v>8685</v>
      </c>
    </row>
    <row r="4192">
      <c r="A4192" s="4" t="s">
        <v>8726</v>
      </c>
      <c r="B4192" s="29" t="s">
        <v>8685</v>
      </c>
    </row>
    <row r="4193">
      <c r="A4193" s="4" t="s">
        <v>8727</v>
      </c>
      <c r="B4193" s="29" t="s">
        <v>8685</v>
      </c>
    </row>
    <row r="4194">
      <c r="A4194" s="4" t="s">
        <v>8728</v>
      </c>
      <c r="B4194" s="29" t="s">
        <v>8685</v>
      </c>
    </row>
    <row r="4195">
      <c r="A4195" s="4" t="s">
        <v>8729</v>
      </c>
      <c r="B4195" s="29" t="s">
        <v>8685</v>
      </c>
    </row>
    <row r="4196">
      <c r="A4196" s="4" t="s">
        <v>8730</v>
      </c>
      <c r="B4196" s="29" t="s">
        <v>8685</v>
      </c>
    </row>
    <row r="4197">
      <c r="A4197" s="4" t="s">
        <v>8731</v>
      </c>
      <c r="B4197" s="29" t="s">
        <v>8685</v>
      </c>
    </row>
    <row r="4198">
      <c r="A4198" s="4" t="s">
        <v>8732</v>
      </c>
      <c r="B4198" s="29" t="s">
        <v>8685</v>
      </c>
    </row>
    <row r="4199">
      <c r="A4199" s="4" t="s">
        <v>8733</v>
      </c>
      <c r="B4199" s="29" t="s">
        <v>8685</v>
      </c>
    </row>
    <row r="4200">
      <c r="A4200" s="4" t="s">
        <v>8734</v>
      </c>
      <c r="B4200" s="29" t="s">
        <v>8685</v>
      </c>
    </row>
    <row r="4201">
      <c r="A4201" s="4" t="s">
        <v>8735</v>
      </c>
      <c r="B4201" s="29" t="s">
        <v>8685</v>
      </c>
    </row>
    <row r="4202">
      <c r="A4202" s="4" t="s">
        <v>8736</v>
      </c>
      <c r="B4202" s="29" t="s">
        <v>8685</v>
      </c>
    </row>
    <row r="4203">
      <c r="A4203" s="4" t="s">
        <v>8737</v>
      </c>
      <c r="B4203" s="29" t="s">
        <v>8685</v>
      </c>
    </row>
    <row r="4204">
      <c r="A4204" s="4" t="s">
        <v>8738</v>
      </c>
      <c r="B4204" s="29" t="s">
        <v>8685</v>
      </c>
    </row>
    <row r="4205">
      <c r="A4205" s="4" t="s">
        <v>8739</v>
      </c>
      <c r="B4205" s="29" t="s">
        <v>8685</v>
      </c>
    </row>
    <row r="4206">
      <c r="A4206" s="4" t="s">
        <v>8740</v>
      </c>
      <c r="B4206" s="29" t="s">
        <v>8685</v>
      </c>
    </row>
    <row r="4207">
      <c r="A4207" s="4" t="s">
        <v>8741</v>
      </c>
      <c r="B4207" s="29" t="s">
        <v>8685</v>
      </c>
    </row>
    <row r="4208">
      <c r="A4208" s="4" t="s">
        <v>8742</v>
      </c>
      <c r="B4208" s="29" t="s">
        <v>8685</v>
      </c>
    </row>
    <row r="4209">
      <c r="A4209" s="4" t="s">
        <v>8743</v>
      </c>
      <c r="B4209" s="29" t="s">
        <v>8685</v>
      </c>
    </row>
    <row r="4210">
      <c r="A4210" s="4" t="s">
        <v>8744</v>
      </c>
      <c r="B4210" s="29" t="s">
        <v>8685</v>
      </c>
    </row>
    <row r="4211">
      <c r="A4211" s="4" t="s">
        <v>8745</v>
      </c>
      <c r="B4211" s="29" t="s">
        <v>8685</v>
      </c>
    </row>
    <row r="4212">
      <c r="A4212" s="4" t="s">
        <v>8746</v>
      </c>
      <c r="B4212" s="29" t="s">
        <v>8685</v>
      </c>
    </row>
    <row r="4213">
      <c r="A4213" s="4" t="s">
        <v>8747</v>
      </c>
      <c r="B4213" s="29" t="s">
        <v>8685</v>
      </c>
    </row>
    <row r="4214">
      <c r="A4214" s="4" t="s">
        <v>8748</v>
      </c>
      <c r="B4214" s="29" t="s">
        <v>8685</v>
      </c>
    </row>
    <row r="4215">
      <c r="A4215" s="4" t="s">
        <v>8749</v>
      </c>
      <c r="B4215" s="29" t="s">
        <v>8685</v>
      </c>
    </row>
    <row r="4216">
      <c r="A4216" s="4" t="s">
        <v>8750</v>
      </c>
      <c r="B4216" s="29" t="s">
        <v>8685</v>
      </c>
    </row>
    <row r="4217">
      <c r="A4217" s="4" t="s">
        <v>8751</v>
      </c>
      <c r="B4217" s="29" t="s">
        <v>8685</v>
      </c>
    </row>
    <row r="4218">
      <c r="A4218" s="4" t="s">
        <v>8752</v>
      </c>
      <c r="B4218" s="29" t="s">
        <v>8685</v>
      </c>
    </row>
    <row r="4219">
      <c r="A4219" s="4" t="s">
        <v>8753</v>
      </c>
      <c r="B4219" s="29" t="s">
        <v>8685</v>
      </c>
    </row>
    <row r="4220">
      <c r="A4220" s="4" t="s">
        <v>8754</v>
      </c>
      <c r="B4220" s="29" t="s">
        <v>8685</v>
      </c>
    </row>
    <row r="4221">
      <c r="A4221" s="4" t="s">
        <v>8755</v>
      </c>
      <c r="B4221" s="29" t="s">
        <v>8685</v>
      </c>
    </row>
    <row r="4222">
      <c r="A4222" s="4" t="s">
        <v>8756</v>
      </c>
      <c r="B4222" s="29" t="s">
        <v>8685</v>
      </c>
    </row>
    <row r="4223">
      <c r="A4223" s="4" t="s">
        <v>8757</v>
      </c>
      <c r="B4223" s="29" t="s">
        <v>8685</v>
      </c>
    </row>
    <row r="4224">
      <c r="A4224" s="4" t="s">
        <v>8758</v>
      </c>
      <c r="B4224" s="29" t="s">
        <v>8685</v>
      </c>
    </row>
    <row r="4225">
      <c r="A4225" s="4" t="s">
        <v>8759</v>
      </c>
      <c r="B4225" s="29" t="s">
        <v>8685</v>
      </c>
    </row>
    <row r="4226">
      <c r="A4226" s="4" t="s">
        <v>8760</v>
      </c>
      <c r="B4226" s="29" t="s">
        <v>8685</v>
      </c>
    </row>
    <row r="4227">
      <c r="A4227" s="4" t="s">
        <v>8761</v>
      </c>
      <c r="B4227" s="29" t="s">
        <v>8685</v>
      </c>
    </row>
    <row r="4228">
      <c r="A4228" s="4" t="s">
        <v>8762</v>
      </c>
      <c r="B4228" s="29" t="s">
        <v>8685</v>
      </c>
    </row>
    <row r="4229">
      <c r="A4229" s="4" t="s">
        <v>8763</v>
      </c>
      <c r="B4229" s="29" t="s">
        <v>8685</v>
      </c>
    </row>
    <row r="4230">
      <c r="A4230" s="4" t="s">
        <v>8764</v>
      </c>
      <c r="B4230" s="29" t="s">
        <v>8685</v>
      </c>
    </row>
    <row r="4231">
      <c r="A4231" s="4" t="s">
        <v>8765</v>
      </c>
      <c r="B4231" s="29" t="s">
        <v>8685</v>
      </c>
    </row>
    <row r="4232">
      <c r="A4232" s="4" t="s">
        <v>8766</v>
      </c>
      <c r="B4232" s="29" t="s">
        <v>8685</v>
      </c>
    </row>
    <row r="4233">
      <c r="A4233" s="4" t="s">
        <v>8767</v>
      </c>
      <c r="B4233" s="29" t="s">
        <v>8685</v>
      </c>
    </row>
    <row r="4234">
      <c r="A4234" s="4" t="s">
        <v>8768</v>
      </c>
      <c r="B4234" s="29" t="s">
        <v>8685</v>
      </c>
    </row>
    <row r="4235">
      <c r="A4235" s="4" t="s">
        <v>8769</v>
      </c>
      <c r="B4235" s="29" t="s">
        <v>8685</v>
      </c>
    </row>
    <row r="4236">
      <c r="A4236" s="4" t="s">
        <v>8770</v>
      </c>
      <c r="B4236" s="29" t="s">
        <v>8685</v>
      </c>
    </row>
    <row r="4237">
      <c r="A4237" s="4" t="s">
        <v>8771</v>
      </c>
      <c r="B4237" s="29" t="s">
        <v>8685</v>
      </c>
    </row>
    <row r="4238">
      <c r="A4238" s="4" t="s">
        <v>8772</v>
      </c>
      <c r="B4238" s="29" t="s">
        <v>8685</v>
      </c>
    </row>
    <row r="4239">
      <c r="A4239" s="4" t="s">
        <v>8773</v>
      </c>
      <c r="B4239" s="29" t="s">
        <v>8685</v>
      </c>
    </row>
    <row r="4240">
      <c r="A4240" s="4" t="s">
        <v>8774</v>
      </c>
      <c r="B4240" s="29" t="s">
        <v>8685</v>
      </c>
    </row>
    <row r="4241">
      <c r="A4241" s="4" t="s">
        <v>8775</v>
      </c>
      <c r="B4241" s="29" t="s">
        <v>8685</v>
      </c>
    </row>
    <row r="4242">
      <c r="A4242" s="4" t="s">
        <v>8776</v>
      </c>
      <c r="B4242" s="29" t="s">
        <v>8685</v>
      </c>
    </row>
    <row r="4243">
      <c r="A4243" s="4" t="s">
        <v>8777</v>
      </c>
      <c r="B4243" s="29" t="s">
        <v>8685</v>
      </c>
    </row>
    <row r="4244">
      <c r="A4244" s="4" t="s">
        <v>8778</v>
      </c>
      <c r="B4244" s="29" t="s">
        <v>8685</v>
      </c>
    </row>
    <row r="4245">
      <c r="A4245" s="4" t="s">
        <v>8779</v>
      </c>
      <c r="B4245" s="29" t="s">
        <v>8685</v>
      </c>
    </row>
    <row r="4246">
      <c r="A4246" s="4" t="s">
        <v>8780</v>
      </c>
      <c r="B4246" s="29" t="s">
        <v>8685</v>
      </c>
    </row>
    <row r="4247">
      <c r="A4247" s="4" t="s">
        <v>8781</v>
      </c>
      <c r="B4247" s="29" t="s">
        <v>8685</v>
      </c>
    </row>
    <row r="4248">
      <c r="A4248" s="4" t="s">
        <v>8782</v>
      </c>
      <c r="B4248" s="29" t="s">
        <v>8685</v>
      </c>
    </row>
    <row r="4249">
      <c r="A4249" s="4" t="s">
        <v>8783</v>
      </c>
      <c r="B4249" s="29" t="s">
        <v>8685</v>
      </c>
    </row>
    <row r="4250">
      <c r="A4250" s="4" t="s">
        <v>8784</v>
      </c>
      <c r="B4250" s="29" t="s">
        <v>8685</v>
      </c>
    </row>
    <row r="4251">
      <c r="A4251" s="4" t="s">
        <v>8785</v>
      </c>
      <c r="B4251" s="29" t="s">
        <v>8685</v>
      </c>
    </row>
    <row r="4252">
      <c r="A4252" s="4" t="s">
        <v>8786</v>
      </c>
      <c r="B4252" s="29" t="s">
        <v>8685</v>
      </c>
    </row>
    <row r="4253">
      <c r="A4253" s="4" t="s">
        <v>8787</v>
      </c>
      <c r="B4253" s="29" t="s">
        <v>8685</v>
      </c>
    </row>
    <row r="4254">
      <c r="A4254" s="4" t="s">
        <v>8788</v>
      </c>
      <c r="B4254" s="29" t="s">
        <v>8685</v>
      </c>
    </row>
    <row r="4255">
      <c r="A4255" s="4" t="s">
        <v>8789</v>
      </c>
      <c r="B4255" s="29" t="s">
        <v>8685</v>
      </c>
    </row>
    <row r="4256">
      <c r="A4256" s="4" t="s">
        <v>8790</v>
      </c>
      <c r="B4256" s="29" t="s">
        <v>8685</v>
      </c>
    </row>
    <row r="4257">
      <c r="A4257" s="4" t="s">
        <v>8791</v>
      </c>
      <c r="B4257" s="29" t="s">
        <v>8685</v>
      </c>
    </row>
    <row r="4258">
      <c r="A4258" s="4" t="s">
        <v>8792</v>
      </c>
      <c r="B4258" s="29" t="s">
        <v>8685</v>
      </c>
    </row>
    <row r="4259">
      <c r="A4259" s="4" t="s">
        <v>8793</v>
      </c>
      <c r="B4259" s="29" t="s">
        <v>8685</v>
      </c>
    </row>
    <row r="4260">
      <c r="A4260" s="4" t="s">
        <v>8794</v>
      </c>
      <c r="B4260" s="29" t="s">
        <v>8685</v>
      </c>
    </row>
    <row r="4261">
      <c r="A4261" s="4" t="s">
        <v>8795</v>
      </c>
      <c r="B4261" s="29" t="s">
        <v>8685</v>
      </c>
    </row>
    <row r="4262">
      <c r="A4262" s="4" t="s">
        <v>8796</v>
      </c>
      <c r="B4262" s="29" t="s">
        <v>8685</v>
      </c>
    </row>
    <row r="4263">
      <c r="A4263" s="4" t="s">
        <v>8797</v>
      </c>
      <c r="B4263" s="29" t="s">
        <v>8685</v>
      </c>
    </row>
    <row r="4264">
      <c r="A4264" s="4" t="s">
        <v>8798</v>
      </c>
      <c r="B4264" s="29" t="s">
        <v>8685</v>
      </c>
    </row>
    <row r="4265">
      <c r="A4265" s="4" t="s">
        <v>8799</v>
      </c>
      <c r="B4265" s="29" t="s">
        <v>8685</v>
      </c>
    </row>
    <row r="4266">
      <c r="A4266" s="4" t="s">
        <v>8800</v>
      </c>
      <c r="B4266" s="29" t="s">
        <v>8685</v>
      </c>
    </row>
    <row r="4267">
      <c r="A4267" s="4" t="s">
        <v>8801</v>
      </c>
      <c r="B4267" s="29" t="s">
        <v>8685</v>
      </c>
    </row>
    <row r="4268">
      <c r="A4268" s="4" t="s">
        <v>8802</v>
      </c>
      <c r="B4268" s="29" t="s">
        <v>8685</v>
      </c>
    </row>
    <row r="4269">
      <c r="A4269" s="4" t="s">
        <v>8803</v>
      </c>
      <c r="B4269" s="29" t="s">
        <v>8685</v>
      </c>
    </row>
    <row r="4270">
      <c r="A4270" s="4" t="s">
        <v>8804</v>
      </c>
      <c r="B4270" s="29" t="s">
        <v>8685</v>
      </c>
    </row>
    <row r="4271">
      <c r="A4271" s="4" t="s">
        <v>8805</v>
      </c>
      <c r="B4271" s="29" t="s">
        <v>8685</v>
      </c>
    </row>
    <row r="4272">
      <c r="A4272" s="4" t="s">
        <v>8806</v>
      </c>
      <c r="B4272" s="29" t="s">
        <v>8685</v>
      </c>
    </row>
    <row r="4273">
      <c r="A4273" s="4" t="s">
        <v>8807</v>
      </c>
      <c r="B4273" s="29" t="s">
        <v>8685</v>
      </c>
    </row>
    <row r="4274">
      <c r="A4274" s="4" t="s">
        <v>8808</v>
      </c>
      <c r="B4274" s="29" t="s">
        <v>8685</v>
      </c>
    </row>
    <row r="4275">
      <c r="A4275" s="4" t="s">
        <v>8809</v>
      </c>
      <c r="B4275" s="29" t="s">
        <v>8685</v>
      </c>
    </row>
    <row r="4276">
      <c r="A4276" s="4" t="s">
        <v>8810</v>
      </c>
      <c r="B4276" s="29" t="s">
        <v>8685</v>
      </c>
    </row>
    <row r="4277">
      <c r="A4277" s="4" t="s">
        <v>8811</v>
      </c>
      <c r="B4277" s="29" t="s">
        <v>8685</v>
      </c>
    </row>
    <row r="4278">
      <c r="A4278" s="4" t="s">
        <v>8812</v>
      </c>
      <c r="B4278" s="29" t="s">
        <v>8685</v>
      </c>
    </row>
    <row r="4279">
      <c r="A4279" s="4" t="s">
        <v>8813</v>
      </c>
      <c r="B4279" s="29" t="s">
        <v>8685</v>
      </c>
    </row>
    <row r="4280">
      <c r="A4280" s="4" t="s">
        <v>8814</v>
      </c>
      <c r="B4280" s="29" t="s">
        <v>8685</v>
      </c>
    </row>
    <row r="4281">
      <c r="A4281" s="4" t="s">
        <v>8815</v>
      </c>
      <c r="B4281" s="29" t="s">
        <v>8685</v>
      </c>
    </row>
    <row r="4282">
      <c r="A4282" s="4" t="s">
        <v>8816</v>
      </c>
      <c r="B4282" s="29" t="s">
        <v>8685</v>
      </c>
    </row>
    <row r="4283">
      <c r="A4283" s="4" t="s">
        <v>8817</v>
      </c>
      <c r="B4283" s="29" t="s">
        <v>8685</v>
      </c>
    </row>
    <row r="4284">
      <c r="A4284" s="4" t="s">
        <v>8818</v>
      </c>
      <c r="B4284" s="29" t="s">
        <v>8685</v>
      </c>
    </row>
    <row r="4285">
      <c r="A4285" s="4" t="s">
        <v>8819</v>
      </c>
      <c r="B4285" s="29" t="s">
        <v>8685</v>
      </c>
    </row>
    <row r="4286">
      <c r="A4286" s="4" t="s">
        <v>8820</v>
      </c>
      <c r="B4286" s="29" t="s">
        <v>8685</v>
      </c>
    </row>
    <row r="4287">
      <c r="A4287" s="4" t="s">
        <v>8821</v>
      </c>
      <c r="B4287" s="29" t="s">
        <v>8685</v>
      </c>
    </row>
    <row r="4288">
      <c r="A4288" s="4" t="s">
        <v>8822</v>
      </c>
      <c r="B4288" s="29" t="s">
        <v>8685</v>
      </c>
    </row>
    <row r="4289">
      <c r="A4289" s="4" t="s">
        <v>8823</v>
      </c>
      <c r="B4289" s="29" t="s">
        <v>8685</v>
      </c>
    </row>
    <row r="4290">
      <c r="A4290" s="4" t="s">
        <v>8824</v>
      </c>
      <c r="B4290" s="29" t="s">
        <v>8685</v>
      </c>
    </row>
    <row r="4291">
      <c r="A4291" s="4" t="s">
        <v>8825</v>
      </c>
      <c r="B4291" s="29" t="s">
        <v>8685</v>
      </c>
    </row>
    <row r="4292">
      <c r="A4292" s="4" t="s">
        <v>8826</v>
      </c>
      <c r="B4292" s="29" t="s">
        <v>8685</v>
      </c>
    </row>
    <row r="4293">
      <c r="A4293" s="4" t="s">
        <v>8827</v>
      </c>
      <c r="B4293" s="29" t="s">
        <v>8685</v>
      </c>
    </row>
    <row r="4294">
      <c r="A4294" s="4" t="s">
        <v>8828</v>
      </c>
      <c r="B4294" s="29" t="s">
        <v>8685</v>
      </c>
    </row>
    <row r="4295">
      <c r="A4295" s="4" t="s">
        <v>8829</v>
      </c>
      <c r="B4295" s="29" t="s">
        <v>8685</v>
      </c>
    </row>
    <row r="4296">
      <c r="A4296" s="4" t="s">
        <v>8830</v>
      </c>
      <c r="B4296" s="29" t="s">
        <v>8685</v>
      </c>
    </row>
    <row r="4297">
      <c r="A4297" s="4" t="s">
        <v>8831</v>
      </c>
      <c r="B4297" s="29" t="s">
        <v>8685</v>
      </c>
    </row>
    <row r="4298">
      <c r="A4298" s="4" t="s">
        <v>8832</v>
      </c>
      <c r="B4298" s="29" t="s">
        <v>8685</v>
      </c>
    </row>
    <row r="4299">
      <c r="A4299" s="4" t="s">
        <v>8833</v>
      </c>
      <c r="B4299" s="29" t="s">
        <v>8685</v>
      </c>
    </row>
    <row r="4300">
      <c r="A4300" s="4" t="s">
        <v>8834</v>
      </c>
      <c r="B4300" s="29" t="s">
        <v>8685</v>
      </c>
    </row>
    <row r="4301">
      <c r="A4301" s="4" t="s">
        <v>8835</v>
      </c>
      <c r="B4301" s="29" t="s">
        <v>8685</v>
      </c>
    </row>
    <row r="4302">
      <c r="A4302" s="4" t="s">
        <v>8836</v>
      </c>
      <c r="B4302" s="29" t="s">
        <v>8685</v>
      </c>
    </row>
    <row r="4303">
      <c r="A4303" s="4" t="s">
        <v>8837</v>
      </c>
      <c r="B4303" s="29" t="s">
        <v>8685</v>
      </c>
    </row>
    <row r="4304">
      <c r="A4304" s="4" t="s">
        <v>8838</v>
      </c>
      <c r="B4304" s="29" t="s">
        <v>8685</v>
      </c>
    </row>
    <row r="4305">
      <c r="A4305" s="4" t="s">
        <v>8839</v>
      </c>
      <c r="B4305" s="29" t="s">
        <v>8685</v>
      </c>
    </row>
    <row r="4306">
      <c r="A4306" s="4" t="s">
        <v>8840</v>
      </c>
      <c r="B4306" s="29" t="s">
        <v>8685</v>
      </c>
    </row>
    <row r="4307">
      <c r="A4307" s="4" t="s">
        <v>8841</v>
      </c>
      <c r="B4307" s="29" t="s">
        <v>8685</v>
      </c>
    </row>
    <row r="4308">
      <c r="A4308" s="4" t="s">
        <v>8842</v>
      </c>
      <c r="B4308" s="29" t="s">
        <v>8685</v>
      </c>
    </row>
    <row r="4309">
      <c r="A4309" s="4" t="s">
        <v>8843</v>
      </c>
      <c r="B4309" s="29" t="s">
        <v>8685</v>
      </c>
    </row>
    <row r="4310">
      <c r="A4310" s="4" t="s">
        <v>8844</v>
      </c>
      <c r="B4310" s="29" t="s">
        <v>8685</v>
      </c>
    </row>
    <row r="4311">
      <c r="A4311" s="4" t="s">
        <v>8845</v>
      </c>
      <c r="B4311" s="29" t="s">
        <v>8685</v>
      </c>
    </row>
    <row r="4312">
      <c r="A4312" s="4" t="s">
        <v>8846</v>
      </c>
      <c r="B4312" s="29" t="s">
        <v>8685</v>
      </c>
    </row>
    <row r="4313">
      <c r="A4313" s="4" t="s">
        <v>8847</v>
      </c>
      <c r="B4313" s="29" t="s">
        <v>8685</v>
      </c>
    </row>
    <row r="4314">
      <c r="A4314" s="4" t="s">
        <v>8848</v>
      </c>
      <c r="B4314" s="29" t="s">
        <v>8685</v>
      </c>
    </row>
    <row r="4315">
      <c r="A4315" s="4" t="s">
        <v>8849</v>
      </c>
      <c r="B4315" s="29" t="s">
        <v>8685</v>
      </c>
    </row>
    <row r="4316">
      <c r="A4316" s="4" t="s">
        <v>8850</v>
      </c>
      <c r="B4316" s="29" t="s">
        <v>8685</v>
      </c>
    </row>
    <row r="4317">
      <c r="A4317" s="4" t="s">
        <v>8851</v>
      </c>
      <c r="B4317" s="29" t="s">
        <v>8685</v>
      </c>
    </row>
    <row r="4318">
      <c r="A4318" s="4" t="s">
        <v>8852</v>
      </c>
      <c r="B4318" s="29" t="s">
        <v>8685</v>
      </c>
    </row>
    <row r="4319">
      <c r="A4319" s="4" t="s">
        <v>8853</v>
      </c>
      <c r="B4319" s="29" t="s">
        <v>8685</v>
      </c>
    </row>
    <row r="4320">
      <c r="A4320" s="4" t="s">
        <v>8854</v>
      </c>
      <c r="B4320" s="29" t="s">
        <v>8685</v>
      </c>
    </row>
    <row r="4321">
      <c r="A4321" s="4" t="s">
        <v>8855</v>
      </c>
      <c r="B4321" s="29" t="s">
        <v>8685</v>
      </c>
    </row>
    <row r="4322">
      <c r="A4322" s="4" t="s">
        <v>8856</v>
      </c>
      <c r="B4322" s="29" t="s">
        <v>8685</v>
      </c>
    </row>
    <row r="4323">
      <c r="A4323" s="4" t="s">
        <v>8857</v>
      </c>
      <c r="B4323" s="29" t="s">
        <v>8685</v>
      </c>
    </row>
    <row r="4324">
      <c r="A4324" s="4" t="s">
        <v>8858</v>
      </c>
      <c r="B4324" s="29" t="s">
        <v>8685</v>
      </c>
    </row>
    <row r="4325">
      <c r="A4325" s="4" t="s">
        <v>8859</v>
      </c>
      <c r="B4325" s="29" t="s">
        <v>8685</v>
      </c>
    </row>
    <row r="4326">
      <c r="A4326" s="4" t="s">
        <v>8860</v>
      </c>
      <c r="B4326" s="29" t="s">
        <v>8685</v>
      </c>
    </row>
    <row r="4327">
      <c r="A4327" s="4" t="s">
        <v>8861</v>
      </c>
      <c r="B4327" s="29" t="s">
        <v>8685</v>
      </c>
    </row>
    <row r="4328">
      <c r="A4328" s="4" t="s">
        <v>8862</v>
      </c>
      <c r="B4328" s="29" t="s">
        <v>8685</v>
      </c>
    </row>
    <row r="4329">
      <c r="A4329" s="4" t="s">
        <v>8863</v>
      </c>
      <c r="B4329" s="29" t="s">
        <v>8685</v>
      </c>
    </row>
    <row r="4330">
      <c r="A4330" s="4" t="s">
        <v>8864</v>
      </c>
      <c r="B4330" s="29" t="s">
        <v>8685</v>
      </c>
    </row>
    <row r="4331">
      <c r="A4331" s="4" t="s">
        <v>8865</v>
      </c>
      <c r="B4331" s="29" t="s">
        <v>8685</v>
      </c>
    </row>
    <row r="4332">
      <c r="A4332" s="4" t="s">
        <v>8866</v>
      </c>
      <c r="B4332" s="29" t="s">
        <v>8685</v>
      </c>
    </row>
    <row r="4333">
      <c r="A4333" s="4" t="s">
        <v>8867</v>
      </c>
      <c r="B4333" s="29" t="s">
        <v>8685</v>
      </c>
    </row>
    <row r="4334">
      <c r="A4334" s="4" t="s">
        <v>8868</v>
      </c>
      <c r="B4334" s="29" t="s">
        <v>8685</v>
      </c>
    </row>
    <row r="4335">
      <c r="A4335" s="4" t="s">
        <v>8869</v>
      </c>
      <c r="B4335" s="29" t="s">
        <v>8685</v>
      </c>
    </row>
    <row r="4336">
      <c r="A4336" s="4" t="s">
        <v>8870</v>
      </c>
      <c r="B4336" s="29" t="s">
        <v>8685</v>
      </c>
    </row>
    <row r="4337">
      <c r="A4337" s="4" t="s">
        <v>8871</v>
      </c>
      <c r="B4337" s="29" t="s">
        <v>8685</v>
      </c>
    </row>
    <row r="4338">
      <c r="A4338" s="4" t="s">
        <v>8872</v>
      </c>
      <c r="B4338" s="29" t="s">
        <v>8685</v>
      </c>
    </row>
    <row r="4339">
      <c r="A4339" s="4" t="s">
        <v>8873</v>
      </c>
      <c r="B4339" s="29" t="s">
        <v>8685</v>
      </c>
    </row>
    <row r="4340">
      <c r="A4340" s="4" t="s">
        <v>8874</v>
      </c>
      <c r="B4340" s="29" t="s">
        <v>8685</v>
      </c>
    </row>
    <row r="4341">
      <c r="A4341" s="4" t="s">
        <v>8875</v>
      </c>
      <c r="B4341" s="29" t="s">
        <v>8685</v>
      </c>
    </row>
    <row r="4342">
      <c r="A4342" s="4" t="s">
        <v>8876</v>
      </c>
      <c r="B4342" s="29" t="s">
        <v>8685</v>
      </c>
    </row>
    <row r="4343">
      <c r="A4343" s="4" t="s">
        <v>8877</v>
      </c>
      <c r="B4343" s="29" t="s">
        <v>8685</v>
      </c>
    </row>
    <row r="4344">
      <c r="A4344" s="4" t="s">
        <v>8878</v>
      </c>
      <c r="B4344" s="29" t="s">
        <v>8685</v>
      </c>
    </row>
    <row r="4345">
      <c r="A4345" s="4" t="s">
        <v>8879</v>
      </c>
      <c r="B4345" s="29" t="s">
        <v>8685</v>
      </c>
    </row>
    <row r="4346">
      <c r="A4346" s="4" t="s">
        <v>8880</v>
      </c>
      <c r="B4346" s="29" t="s">
        <v>8685</v>
      </c>
    </row>
    <row r="4347">
      <c r="A4347" s="4" t="s">
        <v>8881</v>
      </c>
      <c r="B4347" s="29" t="s">
        <v>8685</v>
      </c>
    </row>
    <row r="4348">
      <c r="A4348" s="4" t="s">
        <v>8882</v>
      </c>
      <c r="B4348" s="29" t="s">
        <v>8685</v>
      </c>
    </row>
    <row r="4349">
      <c r="A4349" s="4" t="s">
        <v>8883</v>
      </c>
      <c r="B4349" s="29" t="s">
        <v>8685</v>
      </c>
    </row>
    <row r="4350">
      <c r="A4350" s="4" t="s">
        <v>8884</v>
      </c>
      <c r="B4350" s="29" t="s">
        <v>8685</v>
      </c>
    </row>
    <row r="4351">
      <c r="A4351" s="4" t="s">
        <v>8885</v>
      </c>
      <c r="B4351" s="29" t="s">
        <v>8685</v>
      </c>
    </row>
    <row r="4352">
      <c r="A4352" s="4" t="s">
        <v>8886</v>
      </c>
      <c r="B4352" s="29" t="s">
        <v>8685</v>
      </c>
    </row>
    <row r="4353">
      <c r="A4353" s="4" t="s">
        <v>8887</v>
      </c>
      <c r="B4353" s="29" t="s">
        <v>8685</v>
      </c>
    </row>
    <row r="4354">
      <c r="A4354" s="4" t="s">
        <v>8888</v>
      </c>
      <c r="B4354" s="29" t="s">
        <v>8685</v>
      </c>
    </row>
    <row r="4355">
      <c r="A4355" s="4" t="s">
        <v>8889</v>
      </c>
      <c r="B4355" s="29" t="s">
        <v>8685</v>
      </c>
    </row>
    <row r="4356">
      <c r="A4356" s="4" t="s">
        <v>8890</v>
      </c>
      <c r="B4356" s="29" t="s">
        <v>8685</v>
      </c>
    </row>
    <row r="4357">
      <c r="A4357" s="4" t="s">
        <v>8891</v>
      </c>
      <c r="B4357" s="29" t="s">
        <v>8685</v>
      </c>
    </row>
    <row r="4358">
      <c r="A4358" s="4" t="s">
        <v>8892</v>
      </c>
      <c r="B4358" s="29" t="s">
        <v>8685</v>
      </c>
    </row>
    <row r="4359">
      <c r="A4359" s="4" t="s">
        <v>8893</v>
      </c>
      <c r="B4359" s="29" t="s">
        <v>8685</v>
      </c>
    </row>
    <row r="4360">
      <c r="A4360" s="4" t="s">
        <v>8894</v>
      </c>
      <c r="B4360" s="29" t="s">
        <v>8685</v>
      </c>
    </row>
    <row r="4361">
      <c r="A4361" s="4" t="s">
        <v>8895</v>
      </c>
      <c r="B4361" s="29" t="s">
        <v>8685</v>
      </c>
    </row>
    <row r="4362">
      <c r="A4362" s="4" t="s">
        <v>8896</v>
      </c>
      <c r="B4362" s="29" t="s">
        <v>8685</v>
      </c>
    </row>
    <row r="4363">
      <c r="A4363" s="4" t="s">
        <v>8897</v>
      </c>
      <c r="B4363" s="29" t="s">
        <v>8685</v>
      </c>
    </row>
    <row r="4364">
      <c r="A4364" s="4" t="s">
        <v>8898</v>
      </c>
      <c r="B4364" s="29" t="s">
        <v>8685</v>
      </c>
    </row>
    <row r="4365">
      <c r="A4365" s="4" t="s">
        <v>8899</v>
      </c>
      <c r="B4365" s="29" t="s">
        <v>8685</v>
      </c>
    </row>
    <row r="4366">
      <c r="A4366" s="4" t="s">
        <v>8900</v>
      </c>
      <c r="B4366" s="29" t="s">
        <v>8685</v>
      </c>
    </row>
    <row r="4367">
      <c r="A4367" s="4" t="s">
        <v>8901</v>
      </c>
      <c r="B4367" s="29" t="s">
        <v>8685</v>
      </c>
    </row>
    <row r="4368">
      <c r="A4368" s="4" t="s">
        <v>8902</v>
      </c>
      <c r="B4368" s="29" t="s">
        <v>8685</v>
      </c>
    </row>
    <row r="4369">
      <c r="A4369" s="4" t="s">
        <v>8903</v>
      </c>
      <c r="B4369" s="29" t="s">
        <v>8685</v>
      </c>
    </row>
    <row r="4370">
      <c r="A4370" s="4" t="s">
        <v>8904</v>
      </c>
      <c r="B4370" s="29" t="s">
        <v>8685</v>
      </c>
    </row>
    <row r="4371">
      <c r="A4371" s="4" t="s">
        <v>8905</v>
      </c>
      <c r="B4371" s="29" t="s">
        <v>8685</v>
      </c>
    </row>
    <row r="4372">
      <c r="A4372" s="4" t="s">
        <v>8906</v>
      </c>
      <c r="B4372" s="29" t="s">
        <v>8685</v>
      </c>
    </row>
    <row r="4373">
      <c r="A4373" s="4" t="s">
        <v>8907</v>
      </c>
      <c r="B4373" s="29" t="s">
        <v>8685</v>
      </c>
    </row>
    <row r="4374">
      <c r="A4374" s="4" t="s">
        <v>8908</v>
      </c>
      <c r="B4374" s="29" t="s">
        <v>8685</v>
      </c>
    </row>
    <row r="4375">
      <c r="A4375" s="4" t="s">
        <v>8909</v>
      </c>
      <c r="B4375" s="29" t="s">
        <v>8685</v>
      </c>
    </row>
    <row r="4376">
      <c r="A4376" s="4" t="s">
        <v>8910</v>
      </c>
      <c r="B4376" s="29" t="s">
        <v>8685</v>
      </c>
    </row>
    <row r="4377">
      <c r="A4377" s="4" t="s">
        <v>8911</v>
      </c>
      <c r="B4377" s="29" t="s">
        <v>8685</v>
      </c>
    </row>
    <row r="4378">
      <c r="A4378" s="4" t="s">
        <v>8912</v>
      </c>
      <c r="B4378" s="29" t="s">
        <v>8685</v>
      </c>
    </row>
    <row r="4379">
      <c r="A4379" s="4" t="s">
        <v>8913</v>
      </c>
      <c r="B4379" s="29" t="s">
        <v>8685</v>
      </c>
    </row>
    <row r="4380">
      <c r="A4380" s="4" t="s">
        <v>8914</v>
      </c>
      <c r="B4380" s="29" t="s">
        <v>8685</v>
      </c>
    </row>
    <row r="4381">
      <c r="A4381" s="4" t="s">
        <v>8915</v>
      </c>
      <c r="B4381" s="29" t="s">
        <v>8685</v>
      </c>
    </row>
    <row r="4382">
      <c r="A4382" s="4" t="s">
        <v>8916</v>
      </c>
      <c r="B4382" s="29" t="s">
        <v>8685</v>
      </c>
    </row>
    <row r="4383">
      <c r="A4383" s="4" t="s">
        <v>8917</v>
      </c>
      <c r="B4383" s="29" t="s">
        <v>8685</v>
      </c>
    </row>
    <row r="4384">
      <c r="A4384" s="4" t="s">
        <v>8918</v>
      </c>
      <c r="B4384" s="29" t="s">
        <v>8685</v>
      </c>
    </row>
    <row r="4385">
      <c r="A4385" s="4" t="s">
        <v>8919</v>
      </c>
      <c r="B4385" s="29" t="s">
        <v>8685</v>
      </c>
    </row>
    <row r="4386">
      <c r="A4386" s="4" t="s">
        <v>8920</v>
      </c>
      <c r="B4386" s="29" t="s">
        <v>8685</v>
      </c>
    </row>
    <row r="4387">
      <c r="A4387" s="4" t="s">
        <v>8921</v>
      </c>
      <c r="B4387" s="29" t="s">
        <v>8685</v>
      </c>
    </row>
    <row r="4388">
      <c r="A4388" s="4" t="s">
        <v>8922</v>
      </c>
      <c r="B4388" s="29" t="s">
        <v>8685</v>
      </c>
    </row>
    <row r="4389">
      <c r="A4389" s="4" t="s">
        <v>8923</v>
      </c>
      <c r="B4389" s="29" t="s">
        <v>8685</v>
      </c>
    </row>
    <row r="4390">
      <c r="A4390" s="4" t="s">
        <v>8924</v>
      </c>
      <c r="B4390" s="29" t="s">
        <v>8685</v>
      </c>
    </row>
    <row r="4391">
      <c r="A4391" s="4" t="s">
        <v>8925</v>
      </c>
      <c r="B4391" s="29" t="s">
        <v>8685</v>
      </c>
    </row>
    <row r="4392">
      <c r="A4392" s="4" t="s">
        <v>8926</v>
      </c>
      <c r="B4392" s="29" t="s">
        <v>8685</v>
      </c>
    </row>
    <row r="4393">
      <c r="A4393" s="4" t="s">
        <v>8927</v>
      </c>
      <c r="B4393" s="29" t="s">
        <v>8685</v>
      </c>
    </row>
    <row r="4394">
      <c r="A4394" s="4" t="s">
        <v>8928</v>
      </c>
      <c r="B4394" s="29" t="s">
        <v>8685</v>
      </c>
    </row>
    <row r="4395">
      <c r="A4395" s="4" t="s">
        <v>8929</v>
      </c>
      <c r="B4395" s="29" t="s">
        <v>8685</v>
      </c>
    </row>
    <row r="4396">
      <c r="A4396" s="4" t="s">
        <v>8930</v>
      </c>
      <c r="B4396" s="29" t="s">
        <v>8685</v>
      </c>
    </row>
    <row r="4397">
      <c r="A4397" s="4" t="s">
        <v>8931</v>
      </c>
      <c r="B4397" s="29" t="s">
        <v>8685</v>
      </c>
    </row>
    <row r="4398">
      <c r="A4398" s="4" t="s">
        <v>8932</v>
      </c>
      <c r="B4398" s="29" t="s">
        <v>8685</v>
      </c>
    </row>
    <row r="4399">
      <c r="A4399" s="4" t="s">
        <v>8933</v>
      </c>
      <c r="B4399" s="29" t="s">
        <v>8685</v>
      </c>
    </row>
    <row r="4400">
      <c r="A4400" s="4" t="s">
        <v>8934</v>
      </c>
      <c r="B4400" s="29" t="s">
        <v>8685</v>
      </c>
    </row>
    <row r="4401">
      <c r="A4401" s="4" t="s">
        <v>8935</v>
      </c>
      <c r="B4401" s="29" t="s">
        <v>8685</v>
      </c>
    </row>
    <row r="4402">
      <c r="A4402" s="4" t="s">
        <v>8936</v>
      </c>
      <c r="B4402" s="29" t="s">
        <v>8685</v>
      </c>
    </row>
    <row r="4403">
      <c r="A4403" s="4" t="s">
        <v>8937</v>
      </c>
      <c r="B4403" s="29" t="s">
        <v>8685</v>
      </c>
    </row>
    <row r="4404">
      <c r="A4404" s="4" t="s">
        <v>8938</v>
      </c>
      <c r="B4404" s="29" t="s">
        <v>8685</v>
      </c>
    </row>
    <row r="4405">
      <c r="A4405" s="4" t="s">
        <v>8939</v>
      </c>
      <c r="B4405" s="29" t="s">
        <v>8685</v>
      </c>
    </row>
    <row r="4406">
      <c r="A4406" s="4" t="s">
        <v>8940</v>
      </c>
      <c r="B4406" s="29" t="s">
        <v>8685</v>
      </c>
    </row>
    <row r="4407">
      <c r="A4407" s="4" t="s">
        <v>8941</v>
      </c>
      <c r="B4407" s="29" t="s">
        <v>8685</v>
      </c>
    </row>
    <row r="4408">
      <c r="A4408" s="4" t="s">
        <v>8942</v>
      </c>
      <c r="B4408" s="29" t="s">
        <v>8685</v>
      </c>
    </row>
    <row r="4409">
      <c r="A4409" s="4" t="s">
        <v>8943</v>
      </c>
      <c r="B4409" s="29" t="s">
        <v>8685</v>
      </c>
    </row>
    <row r="4410">
      <c r="A4410" s="4" t="s">
        <v>8944</v>
      </c>
      <c r="B4410" s="29" t="s">
        <v>8685</v>
      </c>
    </row>
    <row r="4411">
      <c r="A4411" s="4" t="s">
        <v>8945</v>
      </c>
      <c r="B4411" s="29" t="s">
        <v>8685</v>
      </c>
    </row>
    <row r="4412">
      <c r="A4412" s="4" t="s">
        <v>8946</v>
      </c>
      <c r="B4412" s="29" t="s">
        <v>8685</v>
      </c>
    </row>
    <row r="4413">
      <c r="A4413" s="4" t="s">
        <v>8947</v>
      </c>
      <c r="B4413" s="29" t="s">
        <v>8685</v>
      </c>
    </row>
    <row r="4414">
      <c r="A4414" s="4" t="s">
        <v>8948</v>
      </c>
      <c r="B4414" s="29" t="s">
        <v>8685</v>
      </c>
    </row>
    <row r="4415">
      <c r="A4415" s="4" t="s">
        <v>8949</v>
      </c>
      <c r="B4415" s="29" t="s">
        <v>8685</v>
      </c>
    </row>
    <row r="4416">
      <c r="A4416" s="4" t="s">
        <v>8950</v>
      </c>
      <c r="B4416" s="29" t="s">
        <v>8685</v>
      </c>
    </row>
    <row r="4417">
      <c r="A4417" s="4" t="s">
        <v>8951</v>
      </c>
      <c r="B4417" s="29" t="s">
        <v>8685</v>
      </c>
    </row>
    <row r="4418">
      <c r="A4418" s="4" t="s">
        <v>8952</v>
      </c>
      <c r="B4418" s="29" t="s">
        <v>8685</v>
      </c>
    </row>
    <row r="4419">
      <c r="A4419" s="4" t="s">
        <v>8953</v>
      </c>
      <c r="B4419" s="29" t="s">
        <v>8685</v>
      </c>
    </row>
    <row r="4420">
      <c r="A4420" s="4" t="s">
        <v>8954</v>
      </c>
      <c r="B4420" s="29" t="s">
        <v>8685</v>
      </c>
    </row>
    <row r="4421">
      <c r="A4421" s="4" t="s">
        <v>8955</v>
      </c>
      <c r="B4421" s="29" t="s">
        <v>8685</v>
      </c>
    </row>
    <row r="4422">
      <c r="A4422" s="4" t="s">
        <v>8956</v>
      </c>
      <c r="B4422" s="29" t="s">
        <v>8685</v>
      </c>
    </row>
    <row r="4423">
      <c r="A4423" s="4" t="s">
        <v>8957</v>
      </c>
      <c r="B4423" s="29" t="s">
        <v>8685</v>
      </c>
    </row>
    <row r="4424">
      <c r="A4424" s="4" t="s">
        <v>8958</v>
      </c>
      <c r="B4424" s="29" t="s">
        <v>8685</v>
      </c>
    </row>
    <row r="4425">
      <c r="A4425" s="4" t="s">
        <v>8959</v>
      </c>
      <c r="B4425" s="29" t="s">
        <v>8685</v>
      </c>
    </row>
    <row r="4426">
      <c r="A4426" s="4" t="s">
        <v>8960</v>
      </c>
      <c r="B4426" s="29" t="s">
        <v>8685</v>
      </c>
    </row>
    <row r="4427">
      <c r="A4427" s="4" t="s">
        <v>8961</v>
      </c>
      <c r="B4427" s="29" t="s">
        <v>8685</v>
      </c>
    </row>
    <row r="4428">
      <c r="A4428" s="4" t="s">
        <v>8962</v>
      </c>
      <c r="B4428" s="29" t="s">
        <v>8685</v>
      </c>
    </row>
    <row r="4429">
      <c r="A4429" s="4" t="s">
        <v>8963</v>
      </c>
      <c r="B4429" s="29" t="s">
        <v>8685</v>
      </c>
    </row>
    <row r="4430">
      <c r="A4430" s="4" t="s">
        <v>8964</v>
      </c>
      <c r="B4430" s="29" t="s">
        <v>8685</v>
      </c>
    </row>
    <row r="4431">
      <c r="A4431" s="4" t="s">
        <v>8965</v>
      </c>
      <c r="B4431" s="29" t="s">
        <v>8685</v>
      </c>
    </row>
    <row r="4432">
      <c r="A4432" s="4" t="s">
        <v>8966</v>
      </c>
      <c r="B4432" s="29" t="s">
        <v>8685</v>
      </c>
    </row>
    <row r="4433">
      <c r="A4433" s="4" t="s">
        <v>8967</v>
      </c>
      <c r="B4433" s="29" t="s">
        <v>8685</v>
      </c>
    </row>
    <row r="4434">
      <c r="A4434" s="4" t="s">
        <v>8968</v>
      </c>
      <c r="B4434" s="29" t="s">
        <v>8685</v>
      </c>
    </row>
    <row r="4435">
      <c r="A4435" s="4" t="s">
        <v>8969</v>
      </c>
      <c r="B4435" s="29" t="s">
        <v>8685</v>
      </c>
    </row>
    <row r="4436">
      <c r="A4436" s="4" t="s">
        <v>8970</v>
      </c>
      <c r="B4436" s="29" t="s">
        <v>8685</v>
      </c>
    </row>
    <row r="4437">
      <c r="A4437" s="4" t="s">
        <v>8971</v>
      </c>
      <c r="B4437" s="29" t="s">
        <v>8685</v>
      </c>
    </row>
    <row r="4438">
      <c r="A4438" s="4" t="s">
        <v>8972</v>
      </c>
      <c r="B4438" s="29" t="s">
        <v>8685</v>
      </c>
    </row>
    <row r="4439">
      <c r="A4439" s="4" t="s">
        <v>8973</v>
      </c>
      <c r="B4439" s="29" t="s">
        <v>8685</v>
      </c>
    </row>
    <row r="4440">
      <c r="A4440" s="4" t="s">
        <v>8974</v>
      </c>
      <c r="B4440" s="29" t="s">
        <v>8685</v>
      </c>
    </row>
    <row r="4441">
      <c r="A4441" s="4" t="s">
        <v>8975</v>
      </c>
      <c r="B4441" s="29" t="s">
        <v>8685</v>
      </c>
    </row>
    <row r="4442">
      <c r="A4442" s="4" t="s">
        <v>8976</v>
      </c>
      <c r="B4442" s="29" t="s">
        <v>8685</v>
      </c>
    </row>
    <row r="4443">
      <c r="A4443" s="4" t="s">
        <v>8977</v>
      </c>
      <c r="B4443" s="29" t="s">
        <v>8685</v>
      </c>
    </row>
    <row r="4444">
      <c r="A4444" s="4" t="s">
        <v>8978</v>
      </c>
      <c r="B4444" s="29" t="s">
        <v>8685</v>
      </c>
    </row>
    <row r="4445">
      <c r="A4445" s="4" t="s">
        <v>8979</v>
      </c>
      <c r="B4445" s="29" t="s">
        <v>8685</v>
      </c>
    </row>
    <row r="4446">
      <c r="A4446" s="4" t="s">
        <v>8980</v>
      </c>
      <c r="B4446" s="29" t="s">
        <v>8685</v>
      </c>
    </row>
    <row r="4447">
      <c r="A4447" s="4" t="s">
        <v>8981</v>
      </c>
      <c r="B4447" s="29" t="s">
        <v>8685</v>
      </c>
    </row>
    <row r="4448">
      <c r="A4448" s="4" t="s">
        <v>8982</v>
      </c>
      <c r="B4448" s="29" t="s">
        <v>8685</v>
      </c>
    </row>
    <row r="4449">
      <c r="A4449" s="4" t="s">
        <v>8983</v>
      </c>
      <c r="B4449" s="29" t="s">
        <v>8685</v>
      </c>
    </row>
    <row r="4450">
      <c r="A4450" s="4" t="s">
        <v>8984</v>
      </c>
      <c r="B4450" s="29" t="s">
        <v>8685</v>
      </c>
    </row>
    <row r="4451">
      <c r="A4451" s="4" t="s">
        <v>8985</v>
      </c>
      <c r="B4451" s="29" t="s">
        <v>8685</v>
      </c>
    </row>
    <row r="4452">
      <c r="A4452" s="4" t="s">
        <v>8986</v>
      </c>
      <c r="B4452" s="29" t="s">
        <v>8685</v>
      </c>
    </row>
    <row r="4453">
      <c r="A4453" s="4" t="s">
        <v>8987</v>
      </c>
      <c r="B4453" s="29" t="s">
        <v>8685</v>
      </c>
    </row>
    <row r="4454">
      <c r="A4454" s="4" t="s">
        <v>8988</v>
      </c>
      <c r="B4454" s="29" t="s">
        <v>8685</v>
      </c>
    </row>
    <row r="4455">
      <c r="A4455" s="4" t="s">
        <v>8989</v>
      </c>
      <c r="B4455" s="29" t="s">
        <v>8685</v>
      </c>
    </row>
    <row r="4456">
      <c r="A4456" s="4" t="s">
        <v>8990</v>
      </c>
      <c r="B4456" s="29" t="s">
        <v>8685</v>
      </c>
    </row>
    <row r="4457">
      <c r="A4457" s="4" t="s">
        <v>8991</v>
      </c>
      <c r="B4457" s="29" t="s">
        <v>8685</v>
      </c>
    </row>
    <row r="4458">
      <c r="A4458" s="4" t="s">
        <v>8992</v>
      </c>
      <c r="B4458" s="29" t="s">
        <v>8685</v>
      </c>
    </row>
    <row r="4459">
      <c r="A4459" s="4" t="s">
        <v>8993</v>
      </c>
      <c r="B4459" s="29" t="s">
        <v>8685</v>
      </c>
    </row>
    <row r="4460">
      <c r="A4460" s="4" t="s">
        <v>8994</v>
      </c>
      <c r="B4460" s="29" t="s">
        <v>8685</v>
      </c>
    </row>
    <row r="4461">
      <c r="A4461" s="4" t="s">
        <v>8995</v>
      </c>
      <c r="B4461" s="29" t="s">
        <v>8685</v>
      </c>
    </row>
    <row r="4462">
      <c r="A4462" s="4" t="s">
        <v>8996</v>
      </c>
      <c r="B4462" s="29" t="s">
        <v>8685</v>
      </c>
    </row>
    <row r="4463">
      <c r="A4463" s="4" t="s">
        <v>8997</v>
      </c>
      <c r="B4463" s="29" t="s">
        <v>8685</v>
      </c>
    </row>
    <row r="4464">
      <c r="A4464" s="4" t="s">
        <v>8998</v>
      </c>
      <c r="B4464" s="29" t="s">
        <v>8685</v>
      </c>
    </row>
    <row r="4465">
      <c r="A4465" s="4" t="s">
        <v>8999</v>
      </c>
      <c r="B4465" s="29" t="s">
        <v>8685</v>
      </c>
    </row>
    <row r="4466">
      <c r="A4466" s="4" t="s">
        <v>9000</v>
      </c>
      <c r="B4466" s="29" t="s">
        <v>8685</v>
      </c>
    </row>
    <row r="4467">
      <c r="A4467" s="4" t="s">
        <v>9001</v>
      </c>
      <c r="B4467" s="29" t="s">
        <v>8685</v>
      </c>
    </row>
    <row r="4468">
      <c r="A4468" s="4" t="s">
        <v>9002</v>
      </c>
      <c r="B4468" s="29" t="s">
        <v>8685</v>
      </c>
    </row>
    <row r="4469">
      <c r="A4469" s="4" t="s">
        <v>9003</v>
      </c>
      <c r="B4469" s="29" t="s">
        <v>8685</v>
      </c>
    </row>
    <row r="4470">
      <c r="A4470" s="4" t="s">
        <v>9004</v>
      </c>
      <c r="B4470" s="29" t="s">
        <v>8685</v>
      </c>
    </row>
    <row r="4471">
      <c r="A4471" s="4" t="s">
        <v>9005</v>
      </c>
      <c r="B4471" s="29" t="s">
        <v>8685</v>
      </c>
    </row>
    <row r="4472">
      <c r="A4472" s="4" t="s">
        <v>9006</v>
      </c>
      <c r="B4472" s="29" t="s">
        <v>8685</v>
      </c>
    </row>
    <row r="4473">
      <c r="A4473" s="4" t="s">
        <v>9007</v>
      </c>
      <c r="B4473" s="29" t="s">
        <v>8685</v>
      </c>
    </row>
    <row r="4474">
      <c r="A4474" s="4" t="s">
        <v>9008</v>
      </c>
      <c r="B4474" s="29" t="s">
        <v>8685</v>
      </c>
    </row>
    <row r="4475">
      <c r="A4475" s="4" t="s">
        <v>9009</v>
      </c>
      <c r="B4475" s="29" t="s">
        <v>8685</v>
      </c>
    </row>
    <row r="4476">
      <c r="A4476" s="4" t="s">
        <v>9010</v>
      </c>
      <c r="B4476" s="29" t="s">
        <v>8685</v>
      </c>
    </row>
    <row r="4477">
      <c r="A4477" s="4" t="s">
        <v>9011</v>
      </c>
      <c r="B4477" s="29" t="s">
        <v>8685</v>
      </c>
    </row>
    <row r="4478">
      <c r="A4478" s="4" t="s">
        <v>9012</v>
      </c>
      <c r="B4478" s="29" t="s">
        <v>8685</v>
      </c>
    </row>
    <row r="4479">
      <c r="A4479" s="4" t="s">
        <v>9013</v>
      </c>
      <c r="B4479" s="29" t="s">
        <v>8685</v>
      </c>
    </row>
    <row r="4480">
      <c r="A4480" s="4" t="s">
        <v>9014</v>
      </c>
      <c r="B4480" s="29" t="s">
        <v>8685</v>
      </c>
    </row>
    <row r="4481">
      <c r="A4481" s="4" t="s">
        <v>9015</v>
      </c>
      <c r="B4481" s="29" t="s">
        <v>8685</v>
      </c>
    </row>
    <row r="4482">
      <c r="A4482" s="4" t="s">
        <v>9016</v>
      </c>
      <c r="B4482" s="29" t="s">
        <v>8685</v>
      </c>
    </row>
    <row r="4483">
      <c r="A4483" s="4" t="s">
        <v>9017</v>
      </c>
      <c r="B4483" s="29" t="s">
        <v>8685</v>
      </c>
    </row>
    <row r="4484">
      <c r="A4484" s="4" t="s">
        <v>9018</v>
      </c>
      <c r="B4484" s="29" t="s">
        <v>8685</v>
      </c>
    </row>
    <row r="4485">
      <c r="A4485" s="4" t="s">
        <v>9019</v>
      </c>
      <c r="B4485" s="29" t="s">
        <v>8685</v>
      </c>
    </row>
    <row r="4486">
      <c r="A4486" s="4" t="s">
        <v>9020</v>
      </c>
      <c r="B4486" s="29" t="s">
        <v>8685</v>
      </c>
    </row>
    <row r="4487">
      <c r="A4487" s="4" t="s">
        <v>9021</v>
      </c>
      <c r="B4487" s="29" t="s">
        <v>8685</v>
      </c>
    </row>
    <row r="4488">
      <c r="A4488" s="4" t="s">
        <v>9022</v>
      </c>
      <c r="B4488" s="29" t="s">
        <v>8685</v>
      </c>
    </row>
    <row r="4489">
      <c r="A4489" s="4" t="s">
        <v>9023</v>
      </c>
      <c r="B4489" s="29" t="s">
        <v>8685</v>
      </c>
    </row>
    <row r="4490">
      <c r="A4490" s="4" t="s">
        <v>9024</v>
      </c>
      <c r="B4490" s="29" t="s">
        <v>8685</v>
      </c>
    </row>
    <row r="4491">
      <c r="A4491" s="4" t="s">
        <v>9025</v>
      </c>
      <c r="B4491" s="29" t="s">
        <v>8685</v>
      </c>
    </row>
    <row r="4492">
      <c r="A4492" s="4" t="s">
        <v>9026</v>
      </c>
      <c r="B4492" s="29" t="s">
        <v>8685</v>
      </c>
    </row>
    <row r="4493">
      <c r="A4493" s="4" t="s">
        <v>9027</v>
      </c>
      <c r="B4493" s="29" t="s">
        <v>8685</v>
      </c>
    </row>
    <row r="4494">
      <c r="A4494" s="4" t="s">
        <v>9028</v>
      </c>
      <c r="B4494" s="29" t="s">
        <v>8685</v>
      </c>
    </row>
    <row r="4495">
      <c r="A4495" s="4" t="s">
        <v>9029</v>
      </c>
      <c r="B4495" s="29" t="s">
        <v>8685</v>
      </c>
    </row>
    <row r="4496">
      <c r="A4496" s="4" t="s">
        <v>9030</v>
      </c>
      <c r="B4496" s="29" t="s">
        <v>8685</v>
      </c>
    </row>
    <row r="4497">
      <c r="A4497" s="4" t="s">
        <v>9031</v>
      </c>
      <c r="B4497" s="29" t="s">
        <v>8685</v>
      </c>
    </row>
    <row r="4498">
      <c r="A4498" s="4" t="s">
        <v>9032</v>
      </c>
      <c r="B4498" s="29" t="s">
        <v>8685</v>
      </c>
    </row>
    <row r="4499">
      <c r="A4499" s="4" t="s">
        <v>9033</v>
      </c>
      <c r="B4499" s="29" t="s">
        <v>8685</v>
      </c>
    </row>
    <row r="4500">
      <c r="A4500" s="4" t="s">
        <v>9034</v>
      </c>
      <c r="B4500" s="29" t="s">
        <v>8685</v>
      </c>
    </row>
    <row r="4501">
      <c r="A4501" s="4" t="s">
        <v>9035</v>
      </c>
      <c r="B4501" s="29" t="s">
        <v>8685</v>
      </c>
    </row>
    <row r="4502">
      <c r="A4502" s="4" t="s">
        <v>9036</v>
      </c>
      <c r="B4502" s="29" t="s">
        <v>8685</v>
      </c>
    </row>
    <row r="4503">
      <c r="A4503" s="4" t="s">
        <v>9037</v>
      </c>
      <c r="B4503" s="29" t="s">
        <v>8685</v>
      </c>
    </row>
    <row r="4504">
      <c r="A4504" s="4" t="s">
        <v>9038</v>
      </c>
      <c r="B4504" s="29" t="s">
        <v>8685</v>
      </c>
    </row>
    <row r="4505">
      <c r="A4505" s="4" t="s">
        <v>9039</v>
      </c>
      <c r="B4505" s="29" t="s">
        <v>8685</v>
      </c>
    </row>
    <row r="4506">
      <c r="A4506" s="4" t="s">
        <v>9040</v>
      </c>
      <c r="B4506" s="29" t="s">
        <v>8685</v>
      </c>
    </row>
    <row r="4507">
      <c r="A4507" s="4" t="s">
        <v>9041</v>
      </c>
      <c r="B4507" s="29" t="s">
        <v>8685</v>
      </c>
    </row>
    <row r="4508">
      <c r="A4508" s="4" t="s">
        <v>9042</v>
      </c>
      <c r="B4508" s="29" t="s">
        <v>8685</v>
      </c>
    </row>
    <row r="4509">
      <c r="A4509" s="4" t="s">
        <v>9043</v>
      </c>
      <c r="B4509" s="29" t="s">
        <v>8685</v>
      </c>
    </row>
    <row r="4510">
      <c r="A4510" s="4" t="s">
        <v>9044</v>
      </c>
      <c r="B4510" s="29" t="s">
        <v>8685</v>
      </c>
    </row>
    <row r="4511">
      <c r="A4511" s="4" t="s">
        <v>9045</v>
      </c>
      <c r="B4511" s="29" t="s">
        <v>8685</v>
      </c>
    </row>
    <row r="4512">
      <c r="A4512" s="4" t="s">
        <v>9046</v>
      </c>
      <c r="B4512" s="29" t="s">
        <v>8685</v>
      </c>
    </row>
    <row r="4513">
      <c r="A4513" s="4" t="s">
        <v>9047</v>
      </c>
      <c r="B4513" s="29" t="s">
        <v>8685</v>
      </c>
    </row>
    <row r="4514">
      <c r="A4514" s="4" t="s">
        <v>9048</v>
      </c>
      <c r="B4514" s="29" t="s">
        <v>8685</v>
      </c>
    </row>
    <row r="4515">
      <c r="A4515" s="4" t="s">
        <v>9049</v>
      </c>
      <c r="B4515" s="29" t="s">
        <v>8685</v>
      </c>
    </row>
    <row r="4516">
      <c r="A4516" s="4" t="s">
        <v>9050</v>
      </c>
      <c r="B4516" s="29" t="s">
        <v>8685</v>
      </c>
    </row>
    <row r="4517">
      <c r="A4517" s="4" t="s">
        <v>9051</v>
      </c>
      <c r="B4517" s="29" t="s">
        <v>8685</v>
      </c>
    </row>
    <row r="4518">
      <c r="A4518" s="4" t="s">
        <v>9052</v>
      </c>
      <c r="B4518" s="29" t="s">
        <v>8685</v>
      </c>
    </row>
    <row r="4519">
      <c r="A4519" s="4" t="s">
        <v>9053</v>
      </c>
      <c r="B4519" s="29" t="s">
        <v>8685</v>
      </c>
    </row>
    <row r="4520">
      <c r="A4520" s="4" t="s">
        <v>9054</v>
      </c>
      <c r="B4520" s="29" t="s">
        <v>8685</v>
      </c>
    </row>
    <row r="4521">
      <c r="A4521" s="4" t="s">
        <v>9055</v>
      </c>
      <c r="B4521" s="29" t="s">
        <v>8685</v>
      </c>
    </row>
    <row r="4522">
      <c r="A4522" s="4" t="s">
        <v>9056</v>
      </c>
      <c r="B4522" s="29" t="s">
        <v>8685</v>
      </c>
    </row>
    <row r="4523">
      <c r="A4523" s="4" t="s">
        <v>9057</v>
      </c>
      <c r="B4523" s="29" t="s">
        <v>8685</v>
      </c>
    </row>
    <row r="4524">
      <c r="A4524" s="4" t="s">
        <v>9058</v>
      </c>
      <c r="B4524" s="29" t="s">
        <v>8685</v>
      </c>
    </row>
    <row r="4525">
      <c r="A4525" s="4" t="s">
        <v>9059</v>
      </c>
      <c r="B4525" s="29" t="s">
        <v>8685</v>
      </c>
    </row>
    <row r="4526">
      <c r="A4526" s="4" t="s">
        <v>9060</v>
      </c>
      <c r="B4526" s="29" t="s">
        <v>8685</v>
      </c>
    </row>
    <row r="4527">
      <c r="A4527" s="4" t="s">
        <v>9061</v>
      </c>
      <c r="B4527" s="29" t="s">
        <v>8685</v>
      </c>
    </row>
    <row r="4528">
      <c r="A4528" s="4" t="s">
        <v>9062</v>
      </c>
      <c r="B4528" s="29" t="s">
        <v>8685</v>
      </c>
    </row>
    <row r="4529">
      <c r="A4529" s="4" t="s">
        <v>9063</v>
      </c>
      <c r="B4529" s="29" t="s">
        <v>8685</v>
      </c>
    </row>
    <row r="4530">
      <c r="A4530" s="4" t="s">
        <v>9064</v>
      </c>
      <c r="B4530" s="29" t="s">
        <v>8685</v>
      </c>
    </row>
    <row r="4531">
      <c r="A4531" s="4" t="s">
        <v>9065</v>
      </c>
      <c r="B4531" s="29" t="s">
        <v>8685</v>
      </c>
    </row>
    <row r="4532">
      <c r="A4532" s="4" t="s">
        <v>9066</v>
      </c>
      <c r="B4532" s="29" t="s">
        <v>8685</v>
      </c>
    </row>
    <row r="4533">
      <c r="A4533" s="4" t="s">
        <v>9067</v>
      </c>
      <c r="B4533" s="29" t="s">
        <v>8685</v>
      </c>
    </row>
    <row r="4534">
      <c r="A4534" s="4" t="s">
        <v>9068</v>
      </c>
      <c r="B4534" s="29" t="s">
        <v>8685</v>
      </c>
    </row>
    <row r="4535">
      <c r="A4535" s="4" t="s">
        <v>9069</v>
      </c>
      <c r="B4535" s="29" t="s">
        <v>8685</v>
      </c>
    </row>
    <row r="4536">
      <c r="A4536" s="4" t="s">
        <v>9070</v>
      </c>
      <c r="B4536" s="29" t="s">
        <v>8685</v>
      </c>
    </row>
    <row r="4537">
      <c r="A4537" s="4" t="s">
        <v>9071</v>
      </c>
      <c r="B4537" s="29" t="s">
        <v>8685</v>
      </c>
    </row>
    <row r="4538">
      <c r="A4538" s="4" t="s">
        <v>9072</v>
      </c>
      <c r="B4538" s="29" t="s">
        <v>8685</v>
      </c>
    </row>
    <row r="4539">
      <c r="A4539" s="4" t="s">
        <v>9073</v>
      </c>
      <c r="B4539" s="29" t="s">
        <v>8685</v>
      </c>
    </row>
    <row r="4540">
      <c r="A4540" s="4" t="s">
        <v>9074</v>
      </c>
      <c r="B4540" s="29" t="s">
        <v>8685</v>
      </c>
    </row>
    <row r="4541">
      <c r="A4541" s="4" t="s">
        <v>9075</v>
      </c>
      <c r="B4541" s="29" t="s">
        <v>8685</v>
      </c>
    </row>
    <row r="4542">
      <c r="A4542" s="4" t="s">
        <v>9076</v>
      </c>
      <c r="B4542" s="29" t="s">
        <v>8685</v>
      </c>
    </row>
    <row r="4543">
      <c r="A4543" s="4" t="s">
        <v>9077</v>
      </c>
      <c r="B4543" s="29" t="s">
        <v>8685</v>
      </c>
    </row>
    <row r="4544">
      <c r="A4544" s="4" t="s">
        <v>9078</v>
      </c>
      <c r="B4544" s="29" t="s">
        <v>8685</v>
      </c>
    </row>
    <row r="4545">
      <c r="A4545" s="4" t="s">
        <v>9079</v>
      </c>
      <c r="B4545" s="29" t="s">
        <v>8685</v>
      </c>
    </row>
    <row r="4546">
      <c r="A4546" s="4" t="s">
        <v>9080</v>
      </c>
      <c r="B4546" s="29" t="s">
        <v>8685</v>
      </c>
    </row>
    <row r="4547">
      <c r="A4547" s="4" t="s">
        <v>9081</v>
      </c>
      <c r="B4547" s="29" t="s">
        <v>8685</v>
      </c>
    </row>
    <row r="4548">
      <c r="A4548" s="4" t="s">
        <v>9082</v>
      </c>
      <c r="B4548" s="29" t="s">
        <v>8685</v>
      </c>
    </row>
    <row r="4549">
      <c r="A4549" s="4" t="s">
        <v>9083</v>
      </c>
      <c r="B4549" s="29" t="s">
        <v>8685</v>
      </c>
    </row>
    <row r="4550">
      <c r="A4550" s="4" t="s">
        <v>9084</v>
      </c>
      <c r="B4550" s="29" t="s">
        <v>8685</v>
      </c>
    </row>
    <row r="4551">
      <c r="A4551" s="4" t="s">
        <v>9085</v>
      </c>
      <c r="B4551" s="29" t="s">
        <v>8685</v>
      </c>
    </row>
    <row r="4552">
      <c r="A4552" s="4" t="s">
        <v>9086</v>
      </c>
      <c r="B4552" s="29" t="s">
        <v>8685</v>
      </c>
    </row>
    <row r="4553">
      <c r="A4553" s="4" t="s">
        <v>9087</v>
      </c>
      <c r="B4553" s="29" t="s">
        <v>8685</v>
      </c>
    </row>
    <row r="4554">
      <c r="A4554" s="4" t="s">
        <v>9088</v>
      </c>
      <c r="B4554" s="29" t="s">
        <v>8685</v>
      </c>
    </row>
    <row r="4555">
      <c r="A4555" s="4" t="s">
        <v>9089</v>
      </c>
      <c r="B4555" s="29" t="s">
        <v>8685</v>
      </c>
    </row>
    <row r="4556">
      <c r="A4556" s="4" t="s">
        <v>9090</v>
      </c>
      <c r="B4556" s="29" t="s">
        <v>8685</v>
      </c>
    </row>
    <row r="4557">
      <c r="A4557" s="4" t="s">
        <v>9091</v>
      </c>
      <c r="B4557" s="29" t="s">
        <v>8685</v>
      </c>
    </row>
    <row r="4558">
      <c r="A4558" s="4" t="s">
        <v>9092</v>
      </c>
      <c r="B4558" s="29" t="s">
        <v>8685</v>
      </c>
    </row>
    <row r="4559">
      <c r="A4559" s="4" t="s">
        <v>9093</v>
      </c>
      <c r="B4559" s="29" t="s">
        <v>8685</v>
      </c>
    </row>
    <row r="4560">
      <c r="A4560" s="4" t="s">
        <v>9094</v>
      </c>
      <c r="B4560" s="29" t="s">
        <v>8685</v>
      </c>
    </row>
    <row r="4561">
      <c r="A4561" s="4" t="s">
        <v>9095</v>
      </c>
      <c r="B4561" s="29" t="s">
        <v>8685</v>
      </c>
    </row>
    <row r="4562">
      <c r="A4562" s="4" t="s">
        <v>9096</v>
      </c>
      <c r="B4562" s="29" t="s">
        <v>8685</v>
      </c>
    </row>
    <row r="4563">
      <c r="A4563" s="4" t="s">
        <v>9097</v>
      </c>
      <c r="B4563" s="29" t="s">
        <v>8685</v>
      </c>
    </row>
    <row r="4564">
      <c r="A4564" s="4" t="s">
        <v>9098</v>
      </c>
      <c r="B4564" s="29" t="s">
        <v>8685</v>
      </c>
    </row>
    <row r="4565">
      <c r="A4565" s="4" t="s">
        <v>9099</v>
      </c>
      <c r="B4565" s="29" t="s">
        <v>8685</v>
      </c>
    </row>
    <row r="4566">
      <c r="A4566" s="4" t="s">
        <v>9100</v>
      </c>
      <c r="B4566" s="29" t="s">
        <v>8685</v>
      </c>
    </row>
    <row r="4567">
      <c r="A4567" s="4" t="s">
        <v>9101</v>
      </c>
      <c r="B4567" s="29" t="s">
        <v>8685</v>
      </c>
    </row>
    <row r="4568">
      <c r="A4568" s="4" t="s">
        <v>9102</v>
      </c>
      <c r="B4568" s="29" t="s">
        <v>8685</v>
      </c>
    </row>
    <row r="4569">
      <c r="A4569" s="4" t="s">
        <v>9103</v>
      </c>
      <c r="B4569" s="29" t="s">
        <v>8685</v>
      </c>
    </row>
    <row r="4570">
      <c r="A4570" s="4" t="s">
        <v>9104</v>
      </c>
      <c r="B4570" s="29" t="s">
        <v>8685</v>
      </c>
    </row>
    <row r="4571">
      <c r="A4571" s="4" t="s">
        <v>9105</v>
      </c>
      <c r="B4571" s="29" t="s">
        <v>8685</v>
      </c>
    </row>
    <row r="4572">
      <c r="A4572" s="4" t="s">
        <v>9106</v>
      </c>
      <c r="B4572" s="29" t="s">
        <v>8685</v>
      </c>
    </row>
    <row r="4573">
      <c r="A4573" s="4" t="s">
        <v>9107</v>
      </c>
      <c r="B4573" s="29" t="s">
        <v>8685</v>
      </c>
    </row>
    <row r="4574">
      <c r="A4574" s="4" t="s">
        <v>9108</v>
      </c>
      <c r="B4574" s="29" t="s">
        <v>8685</v>
      </c>
    </row>
    <row r="4575">
      <c r="A4575" s="4" t="s">
        <v>9109</v>
      </c>
      <c r="B4575" s="29" t="s">
        <v>8685</v>
      </c>
    </row>
    <row r="4576">
      <c r="A4576" s="4" t="s">
        <v>9110</v>
      </c>
      <c r="B4576" s="29" t="s">
        <v>8685</v>
      </c>
    </row>
    <row r="4577">
      <c r="A4577" s="4" t="s">
        <v>9111</v>
      </c>
      <c r="B4577" s="29" t="s">
        <v>8685</v>
      </c>
    </row>
    <row r="4578">
      <c r="A4578" s="4" t="s">
        <v>9112</v>
      </c>
      <c r="B4578" s="29" t="s">
        <v>8685</v>
      </c>
    </row>
    <row r="4579">
      <c r="A4579" s="4" t="s">
        <v>9113</v>
      </c>
      <c r="B4579" s="29" t="s">
        <v>8685</v>
      </c>
    </row>
    <row r="4580">
      <c r="A4580" s="4" t="s">
        <v>9114</v>
      </c>
      <c r="B4580" s="29" t="s">
        <v>8685</v>
      </c>
    </row>
    <row r="4581">
      <c r="A4581" s="4" t="s">
        <v>9115</v>
      </c>
      <c r="B4581" s="29" t="s">
        <v>8685</v>
      </c>
    </row>
    <row r="4582">
      <c r="A4582" s="4" t="s">
        <v>9116</v>
      </c>
      <c r="B4582" s="29" t="s">
        <v>8685</v>
      </c>
    </row>
    <row r="4583">
      <c r="A4583" s="4" t="s">
        <v>9117</v>
      </c>
      <c r="B4583" s="29" t="s">
        <v>8685</v>
      </c>
    </row>
    <row r="4584">
      <c r="A4584" s="4" t="s">
        <v>9118</v>
      </c>
      <c r="B4584" s="29" t="s">
        <v>8685</v>
      </c>
    </row>
    <row r="4585">
      <c r="A4585" s="4" t="s">
        <v>9119</v>
      </c>
      <c r="B4585" s="29" t="s">
        <v>8685</v>
      </c>
    </row>
    <row r="4586">
      <c r="A4586" s="4" t="s">
        <v>9120</v>
      </c>
      <c r="B4586" s="29" t="s">
        <v>8685</v>
      </c>
    </row>
    <row r="4587">
      <c r="A4587" s="4" t="s">
        <v>9121</v>
      </c>
      <c r="B4587" s="29" t="s">
        <v>8685</v>
      </c>
    </row>
    <row r="4588">
      <c r="A4588" s="4" t="s">
        <v>9122</v>
      </c>
      <c r="B4588" s="29" t="s">
        <v>8685</v>
      </c>
    </row>
    <row r="4589">
      <c r="A4589" s="4" t="s">
        <v>9123</v>
      </c>
      <c r="B4589" s="29" t="s">
        <v>8685</v>
      </c>
    </row>
    <row r="4590">
      <c r="A4590" s="4" t="s">
        <v>9124</v>
      </c>
      <c r="B4590" s="29" t="s">
        <v>8685</v>
      </c>
    </row>
    <row r="4591">
      <c r="A4591" s="4" t="s">
        <v>9125</v>
      </c>
      <c r="B4591" s="29" t="s">
        <v>8685</v>
      </c>
    </row>
    <row r="4592">
      <c r="A4592" s="4" t="s">
        <v>9126</v>
      </c>
      <c r="B4592" s="29" t="s">
        <v>8685</v>
      </c>
    </row>
    <row r="4593">
      <c r="A4593" s="4" t="s">
        <v>9127</v>
      </c>
      <c r="B4593" s="29" t="s">
        <v>8685</v>
      </c>
    </row>
    <row r="4594">
      <c r="A4594" s="4" t="s">
        <v>9128</v>
      </c>
      <c r="B4594" s="29" t="s">
        <v>8685</v>
      </c>
    </row>
    <row r="4595">
      <c r="A4595" s="4" t="s">
        <v>9129</v>
      </c>
      <c r="B4595" s="29" t="s">
        <v>8685</v>
      </c>
    </row>
    <row r="4596">
      <c r="A4596" s="4" t="s">
        <v>9130</v>
      </c>
      <c r="B4596" s="29" t="s">
        <v>8685</v>
      </c>
    </row>
    <row r="4597">
      <c r="A4597" s="4" t="s">
        <v>9131</v>
      </c>
      <c r="B4597" s="29" t="s">
        <v>8685</v>
      </c>
    </row>
    <row r="4598">
      <c r="A4598" s="4" t="s">
        <v>9132</v>
      </c>
      <c r="B4598" s="29" t="s">
        <v>8685</v>
      </c>
    </row>
    <row r="4599">
      <c r="A4599" s="4" t="s">
        <v>9133</v>
      </c>
      <c r="B4599" s="29" t="s">
        <v>8685</v>
      </c>
    </row>
    <row r="4600">
      <c r="A4600" s="4" t="s">
        <v>9134</v>
      </c>
      <c r="B4600" s="29" t="s">
        <v>8685</v>
      </c>
    </row>
    <row r="4601">
      <c r="A4601" s="4" t="s">
        <v>9135</v>
      </c>
      <c r="B4601" s="29" t="s">
        <v>8685</v>
      </c>
    </row>
    <row r="4602">
      <c r="A4602" s="4" t="s">
        <v>9136</v>
      </c>
      <c r="B4602" s="29" t="s">
        <v>8685</v>
      </c>
    </row>
    <row r="4603">
      <c r="A4603" s="4" t="s">
        <v>9137</v>
      </c>
      <c r="B4603" s="29" t="s">
        <v>8685</v>
      </c>
    </row>
    <row r="4604">
      <c r="A4604" s="4" t="s">
        <v>9138</v>
      </c>
      <c r="B4604" s="29" t="s">
        <v>8685</v>
      </c>
    </row>
    <row r="4605">
      <c r="A4605" s="4" t="s">
        <v>9139</v>
      </c>
      <c r="B4605" s="29" t="s">
        <v>8685</v>
      </c>
    </row>
    <row r="4606">
      <c r="A4606" s="4" t="s">
        <v>9140</v>
      </c>
      <c r="B4606" s="29" t="s">
        <v>8685</v>
      </c>
    </row>
    <row r="4607">
      <c r="A4607" s="4" t="s">
        <v>9141</v>
      </c>
      <c r="B4607" s="29" t="s">
        <v>8685</v>
      </c>
    </row>
    <row r="4608">
      <c r="A4608" s="4" t="s">
        <v>9142</v>
      </c>
      <c r="B4608" s="29" t="s">
        <v>8685</v>
      </c>
    </row>
    <row r="4609">
      <c r="A4609" s="4" t="s">
        <v>9143</v>
      </c>
      <c r="B4609" s="29" t="s">
        <v>8685</v>
      </c>
    </row>
    <row r="4610">
      <c r="A4610" s="4" t="s">
        <v>9144</v>
      </c>
      <c r="B4610" s="29" t="s">
        <v>8685</v>
      </c>
    </row>
    <row r="4611">
      <c r="A4611" s="4" t="s">
        <v>9145</v>
      </c>
      <c r="B4611" s="29" t="s">
        <v>8685</v>
      </c>
    </row>
    <row r="4612">
      <c r="A4612" s="4" t="s">
        <v>9146</v>
      </c>
      <c r="B4612" s="29" t="s">
        <v>8685</v>
      </c>
    </row>
    <row r="4613">
      <c r="A4613" s="4" t="s">
        <v>9147</v>
      </c>
      <c r="B4613" s="29" t="s">
        <v>8685</v>
      </c>
    </row>
    <row r="4614">
      <c r="A4614" s="4" t="s">
        <v>9148</v>
      </c>
      <c r="B4614" s="29" t="s">
        <v>8685</v>
      </c>
    </row>
    <row r="4615">
      <c r="A4615" s="4" t="s">
        <v>9149</v>
      </c>
      <c r="B4615" s="29" t="s">
        <v>8685</v>
      </c>
    </row>
    <row r="4616">
      <c r="A4616" s="4" t="s">
        <v>9150</v>
      </c>
      <c r="B4616" s="29" t="s">
        <v>8685</v>
      </c>
    </row>
    <row r="4617">
      <c r="A4617" s="4" t="s">
        <v>9151</v>
      </c>
      <c r="B4617" s="29" t="s">
        <v>8685</v>
      </c>
    </row>
    <row r="4618">
      <c r="A4618" s="4" t="s">
        <v>9152</v>
      </c>
      <c r="B4618" s="29" t="s">
        <v>8685</v>
      </c>
    </row>
    <row r="4619">
      <c r="A4619" s="4" t="s">
        <v>9153</v>
      </c>
      <c r="B4619" s="29" t="s">
        <v>8685</v>
      </c>
    </row>
    <row r="4620">
      <c r="A4620" s="4" t="s">
        <v>9154</v>
      </c>
      <c r="B4620" s="29" t="s">
        <v>8685</v>
      </c>
    </row>
    <row r="4621">
      <c r="A4621" s="4" t="s">
        <v>9155</v>
      </c>
      <c r="B4621" s="29" t="s">
        <v>8685</v>
      </c>
    </row>
    <row r="4622">
      <c r="A4622" s="4" t="s">
        <v>9156</v>
      </c>
      <c r="B4622" s="29" t="s">
        <v>8685</v>
      </c>
    </row>
    <row r="4623">
      <c r="A4623" s="4" t="s">
        <v>9157</v>
      </c>
      <c r="B4623" s="29" t="s">
        <v>8685</v>
      </c>
    </row>
    <row r="4624">
      <c r="A4624" s="4" t="s">
        <v>9158</v>
      </c>
      <c r="B4624" s="29" t="s">
        <v>8685</v>
      </c>
    </row>
    <row r="4625">
      <c r="A4625" s="4" t="s">
        <v>9159</v>
      </c>
      <c r="B4625" s="29" t="s">
        <v>8685</v>
      </c>
    </row>
    <row r="4626">
      <c r="A4626" s="4" t="s">
        <v>9160</v>
      </c>
      <c r="B4626" s="29" t="s">
        <v>8685</v>
      </c>
    </row>
    <row r="4627">
      <c r="A4627" s="4" t="s">
        <v>9161</v>
      </c>
      <c r="B4627" s="29" t="s">
        <v>8685</v>
      </c>
    </row>
    <row r="4628">
      <c r="A4628" s="4" t="s">
        <v>9162</v>
      </c>
      <c r="B4628" s="29" t="s">
        <v>8685</v>
      </c>
    </row>
    <row r="4629">
      <c r="A4629" s="4" t="s">
        <v>9163</v>
      </c>
      <c r="B4629" s="29" t="s">
        <v>8685</v>
      </c>
    </row>
    <row r="4630">
      <c r="A4630" s="4" t="s">
        <v>9164</v>
      </c>
      <c r="B4630" s="29" t="s">
        <v>8685</v>
      </c>
    </row>
    <row r="4631">
      <c r="A4631" s="4" t="s">
        <v>9165</v>
      </c>
      <c r="B4631" s="29" t="s">
        <v>8685</v>
      </c>
    </row>
    <row r="4632">
      <c r="A4632" s="4" t="s">
        <v>9166</v>
      </c>
      <c r="B4632" s="29" t="s">
        <v>8685</v>
      </c>
    </row>
    <row r="4633">
      <c r="A4633" s="4" t="s">
        <v>9167</v>
      </c>
      <c r="B4633" s="29" t="s">
        <v>8685</v>
      </c>
    </row>
    <row r="4634">
      <c r="A4634" s="4" t="s">
        <v>9168</v>
      </c>
      <c r="B4634" s="29" t="s">
        <v>8685</v>
      </c>
    </row>
    <row r="4635">
      <c r="A4635" s="4" t="s">
        <v>9169</v>
      </c>
      <c r="B4635" s="29" t="s">
        <v>8685</v>
      </c>
    </row>
    <row r="4636">
      <c r="A4636" s="4" t="s">
        <v>9170</v>
      </c>
      <c r="B4636" s="29" t="s">
        <v>8685</v>
      </c>
    </row>
    <row r="4637">
      <c r="A4637" s="4" t="s">
        <v>9171</v>
      </c>
      <c r="B4637" s="29" t="s">
        <v>8685</v>
      </c>
    </row>
    <row r="4638">
      <c r="A4638" s="4" t="s">
        <v>9172</v>
      </c>
      <c r="B4638" s="29" t="s">
        <v>8685</v>
      </c>
    </row>
    <row r="4639">
      <c r="A4639" s="4" t="s">
        <v>9173</v>
      </c>
      <c r="B4639" s="29" t="s">
        <v>8685</v>
      </c>
    </row>
    <row r="4640">
      <c r="A4640" s="4" t="s">
        <v>9174</v>
      </c>
      <c r="B4640" s="29" t="s">
        <v>8685</v>
      </c>
    </row>
    <row r="4641">
      <c r="A4641" s="4" t="s">
        <v>9175</v>
      </c>
      <c r="B4641" s="29" t="s">
        <v>8685</v>
      </c>
    </row>
    <row r="4642">
      <c r="A4642" s="4" t="s">
        <v>9176</v>
      </c>
      <c r="B4642" s="29" t="s">
        <v>8685</v>
      </c>
    </row>
    <row r="4643">
      <c r="A4643" s="4" t="s">
        <v>9177</v>
      </c>
      <c r="B4643" s="29" t="s">
        <v>8685</v>
      </c>
    </row>
    <row r="4644">
      <c r="A4644" s="4" t="s">
        <v>9178</v>
      </c>
      <c r="B4644" s="29" t="s">
        <v>8685</v>
      </c>
    </row>
    <row r="4645">
      <c r="A4645" s="4" t="s">
        <v>9179</v>
      </c>
      <c r="B4645" s="29" t="s">
        <v>8685</v>
      </c>
    </row>
    <row r="4646">
      <c r="A4646" s="4" t="s">
        <v>9180</v>
      </c>
      <c r="B4646" s="29" t="s">
        <v>8685</v>
      </c>
    </row>
    <row r="4647">
      <c r="A4647" s="4" t="s">
        <v>9181</v>
      </c>
      <c r="B4647" s="29" t="s">
        <v>8685</v>
      </c>
    </row>
    <row r="4648">
      <c r="A4648" s="4" t="s">
        <v>9182</v>
      </c>
      <c r="B4648" s="29" t="s">
        <v>8685</v>
      </c>
    </row>
    <row r="4649">
      <c r="A4649" s="4" t="s">
        <v>9183</v>
      </c>
      <c r="B4649" s="29" t="s">
        <v>8685</v>
      </c>
    </row>
    <row r="4650">
      <c r="A4650" s="4" t="s">
        <v>9184</v>
      </c>
      <c r="B4650" s="29" t="s">
        <v>8685</v>
      </c>
    </row>
    <row r="4651">
      <c r="A4651" s="4" t="s">
        <v>9185</v>
      </c>
      <c r="B4651" s="29" t="s">
        <v>8685</v>
      </c>
    </row>
    <row r="4652">
      <c r="A4652" s="4" t="s">
        <v>9186</v>
      </c>
      <c r="B4652" s="29" t="s">
        <v>8685</v>
      </c>
    </row>
    <row r="4653">
      <c r="A4653" s="4" t="s">
        <v>9187</v>
      </c>
      <c r="B4653" s="29" t="s">
        <v>8685</v>
      </c>
    </row>
    <row r="4654">
      <c r="A4654" s="4" t="s">
        <v>9188</v>
      </c>
      <c r="B4654" s="29" t="s">
        <v>8685</v>
      </c>
    </row>
    <row r="4655">
      <c r="A4655" s="4" t="s">
        <v>9189</v>
      </c>
      <c r="B4655" s="29" t="s">
        <v>8685</v>
      </c>
    </row>
    <row r="4656">
      <c r="A4656" s="4" t="s">
        <v>9190</v>
      </c>
      <c r="B4656" s="29" t="s">
        <v>8685</v>
      </c>
    </row>
    <row r="4657">
      <c r="A4657" s="4" t="s">
        <v>9191</v>
      </c>
      <c r="B4657" s="29" t="s">
        <v>8685</v>
      </c>
    </row>
    <row r="4658">
      <c r="A4658" s="4" t="s">
        <v>9192</v>
      </c>
      <c r="B4658" s="29" t="s">
        <v>8685</v>
      </c>
    </row>
    <row r="4659">
      <c r="A4659" s="4" t="s">
        <v>9193</v>
      </c>
      <c r="B4659" s="29" t="s">
        <v>8685</v>
      </c>
    </row>
    <row r="4660">
      <c r="A4660" s="4" t="s">
        <v>9194</v>
      </c>
      <c r="B4660" s="29" t="s">
        <v>8685</v>
      </c>
    </row>
    <row r="4661">
      <c r="A4661" s="4" t="s">
        <v>9195</v>
      </c>
      <c r="B4661" s="29" t="s">
        <v>8685</v>
      </c>
    </row>
    <row r="4662">
      <c r="A4662" s="4" t="s">
        <v>9196</v>
      </c>
      <c r="B4662" s="29" t="s">
        <v>8685</v>
      </c>
    </row>
    <row r="4663">
      <c r="A4663" s="4" t="s">
        <v>9197</v>
      </c>
      <c r="B4663" s="29" t="s">
        <v>8685</v>
      </c>
    </row>
    <row r="4664">
      <c r="A4664" s="4" t="s">
        <v>9198</v>
      </c>
      <c r="B4664" s="29" t="s">
        <v>8685</v>
      </c>
    </row>
    <row r="4665">
      <c r="A4665" s="4" t="s">
        <v>9199</v>
      </c>
      <c r="B4665" s="29" t="s">
        <v>8685</v>
      </c>
    </row>
    <row r="4666">
      <c r="A4666" s="4" t="s">
        <v>9200</v>
      </c>
      <c r="B4666" s="29" t="s">
        <v>8685</v>
      </c>
    </row>
    <row r="4667">
      <c r="A4667" s="4" t="s">
        <v>9201</v>
      </c>
      <c r="B4667" s="29" t="s">
        <v>8685</v>
      </c>
    </row>
    <row r="4668">
      <c r="A4668" s="4" t="s">
        <v>9202</v>
      </c>
      <c r="B4668" s="29" t="s">
        <v>8685</v>
      </c>
    </row>
    <row r="4669">
      <c r="A4669" s="4" t="s">
        <v>9203</v>
      </c>
      <c r="B4669" s="29" t="s">
        <v>8685</v>
      </c>
    </row>
    <row r="4670">
      <c r="A4670" s="4" t="s">
        <v>9204</v>
      </c>
      <c r="B4670" s="29" t="s">
        <v>8685</v>
      </c>
    </row>
    <row r="4671">
      <c r="A4671" s="4" t="s">
        <v>9205</v>
      </c>
      <c r="B4671" s="29" t="s">
        <v>8685</v>
      </c>
    </row>
    <row r="4672">
      <c r="A4672" s="4" t="s">
        <v>9206</v>
      </c>
      <c r="B4672" s="29" t="s">
        <v>8685</v>
      </c>
    </row>
    <row r="4673">
      <c r="A4673" s="4" t="s">
        <v>9207</v>
      </c>
      <c r="B4673" s="29" t="s">
        <v>8685</v>
      </c>
    </row>
    <row r="4674">
      <c r="A4674" s="4" t="s">
        <v>9208</v>
      </c>
      <c r="B4674" s="29" t="s">
        <v>8685</v>
      </c>
    </row>
    <row r="4675">
      <c r="A4675" s="4" t="s">
        <v>9209</v>
      </c>
      <c r="B4675" s="29" t="s">
        <v>8685</v>
      </c>
    </row>
    <row r="4676">
      <c r="A4676" s="4" t="s">
        <v>9210</v>
      </c>
      <c r="B4676" s="29" t="s">
        <v>8685</v>
      </c>
    </row>
    <row r="4677">
      <c r="A4677" s="4" t="s">
        <v>9211</v>
      </c>
      <c r="B4677" s="29" t="s">
        <v>8685</v>
      </c>
    </row>
    <row r="4678">
      <c r="A4678" s="4" t="s">
        <v>9212</v>
      </c>
      <c r="B4678" s="29" t="s">
        <v>8685</v>
      </c>
    </row>
    <row r="4679">
      <c r="A4679" s="4" t="s">
        <v>9213</v>
      </c>
      <c r="B4679" s="29" t="s">
        <v>8685</v>
      </c>
    </row>
    <row r="4680">
      <c r="A4680" s="4" t="s">
        <v>9214</v>
      </c>
      <c r="B4680" s="29" t="s">
        <v>8685</v>
      </c>
    </row>
    <row r="4681">
      <c r="A4681" s="4" t="s">
        <v>9215</v>
      </c>
      <c r="B4681" s="29" t="s">
        <v>8685</v>
      </c>
    </row>
    <row r="4682">
      <c r="A4682" s="4" t="s">
        <v>9216</v>
      </c>
      <c r="B4682" s="29" t="s">
        <v>8685</v>
      </c>
    </row>
    <row r="4683">
      <c r="A4683" s="4" t="s">
        <v>9217</v>
      </c>
      <c r="B4683" s="29" t="s">
        <v>8685</v>
      </c>
    </row>
    <row r="4684">
      <c r="A4684" s="4" t="s">
        <v>9218</v>
      </c>
      <c r="B4684" s="29" t="s">
        <v>8685</v>
      </c>
    </row>
    <row r="4685">
      <c r="A4685" s="4" t="s">
        <v>9219</v>
      </c>
      <c r="B4685" s="29" t="s">
        <v>8685</v>
      </c>
    </row>
    <row r="4686">
      <c r="A4686" s="4" t="s">
        <v>9220</v>
      </c>
      <c r="B4686" s="29" t="s">
        <v>8685</v>
      </c>
    </row>
    <row r="4687">
      <c r="A4687" s="4" t="s">
        <v>9221</v>
      </c>
      <c r="B4687" s="29" t="s">
        <v>8685</v>
      </c>
    </row>
    <row r="4688">
      <c r="A4688" s="4" t="s">
        <v>9222</v>
      </c>
      <c r="B4688" s="29" t="s">
        <v>8685</v>
      </c>
    </row>
    <row r="4689">
      <c r="A4689" s="4" t="s">
        <v>9223</v>
      </c>
      <c r="B4689" s="29" t="s">
        <v>8685</v>
      </c>
    </row>
    <row r="4690">
      <c r="A4690" s="4" t="s">
        <v>9224</v>
      </c>
      <c r="B4690" s="29" t="s">
        <v>8685</v>
      </c>
    </row>
    <row r="4691">
      <c r="A4691" s="4" t="s">
        <v>9225</v>
      </c>
      <c r="B4691" s="29" t="s">
        <v>8685</v>
      </c>
    </row>
    <row r="4692">
      <c r="A4692" s="4" t="s">
        <v>9226</v>
      </c>
      <c r="B4692" s="29" t="s">
        <v>8685</v>
      </c>
    </row>
    <row r="4693">
      <c r="A4693" s="4" t="s">
        <v>9227</v>
      </c>
      <c r="B4693" s="29" t="s">
        <v>8685</v>
      </c>
    </row>
    <row r="4694">
      <c r="A4694" s="4" t="s">
        <v>9228</v>
      </c>
      <c r="B4694" s="29" t="s">
        <v>8685</v>
      </c>
    </row>
    <row r="4695">
      <c r="A4695" s="4" t="s">
        <v>9229</v>
      </c>
      <c r="B4695" s="29" t="s">
        <v>8685</v>
      </c>
    </row>
    <row r="4696">
      <c r="A4696" s="4" t="s">
        <v>9230</v>
      </c>
      <c r="B4696" s="29" t="s">
        <v>8685</v>
      </c>
    </row>
    <row r="4697">
      <c r="A4697" s="4" t="s">
        <v>9231</v>
      </c>
      <c r="B4697" s="29" t="s">
        <v>8685</v>
      </c>
    </row>
    <row r="4698">
      <c r="A4698" s="4" t="s">
        <v>9232</v>
      </c>
      <c r="B4698" s="29" t="s">
        <v>8685</v>
      </c>
    </row>
    <row r="4699">
      <c r="A4699" s="4" t="s">
        <v>9233</v>
      </c>
      <c r="B4699" s="29" t="s">
        <v>8685</v>
      </c>
    </row>
    <row r="4700">
      <c r="A4700" s="4" t="s">
        <v>9234</v>
      </c>
      <c r="B4700" s="29" t="s">
        <v>8685</v>
      </c>
    </row>
    <row r="4701">
      <c r="A4701" s="4" t="s">
        <v>9235</v>
      </c>
      <c r="B4701" s="29" t="s">
        <v>8685</v>
      </c>
    </row>
    <row r="4702">
      <c r="A4702" s="4" t="s">
        <v>9236</v>
      </c>
      <c r="B4702" s="29" t="s">
        <v>8685</v>
      </c>
    </row>
    <row r="4703">
      <c r="A4703" s="4" t="s">
        <v>9237</v>
      </c>
      <c r="B4703" s="29" t="s">
        <v>8685</v>
      </c>
    </row>
    <row r="4704">
      <c r="A4704" s="4" t="s">
        <v>9238</v>
      </c>
      <c r="B4704" s="29" t="s">
        <v>8685</v>
      </c>
    </row>
    <row r="4705">
      <c r="A4705" s="4" t="s">
        <v>9239</v>
      </c>
      <c r="B4705" s="29" t="s">
        <v>8685</v>
      </c>
    </row>
    <row r="4706">
      <c r="A4706" s="4" t="s">
        <v>9240</v>
      </c>
      <c r="B4706" s="29" t="s">
        <v>8685</v>
      </c>
    </row>
    <row r="4707">
      <c r="A4707" s="4" t="s">
        <v>9241</v>
      </c>
      <c r="B4707" s="29" t="s">
        <v>8685</v>
      </c>
    </row>
    <row r="4708">
      <c r="A4708" s="4" t="s">
        <v>9242</v>
      </c>
      <c r="B4708" s="29" t="s">
        <v>8685</v>
      </c>
    </row>
    <row r="4709">
      <c r="A4709" s="4" t="s">
        <v>9243</v>
      </c>
      <c r="B4709" s="29" t="s">
        <v>8685</v>
      </c>
    </row>
    <row r="4710">
      <c r="A4710" s="4" t="s">
        <v>9244</v>
      </c>
      <c r="B4710" s="29" t="s">
        <v>8685</v>
      </c>
    </row>
    <row r="4711">
      <c r="A4711" s="4" t="s">
        <v>9245</v>
      </c>
      <c r="B4711" s="29" t="s">
        <v>8685</v>
      </c>
    </row>
    <row r="4712">
      <c r="A4712" s="4" t="s">
        <v>9246</v>
      </c>
      <c r="B4712" s="29" t="s">
        <v>8685</v>
      </c>
    </row>
    <row r="4713">
      <c r="A4713" s="4" t="s">
        <v>9247</v>
      </c>
      <c r="B4713" s="29" t="s">
        <v>8685</v>
      </c>
    </row>
    <row r="4714">
      <c r="A4714" s="4" t="s">
        <v>9248</v>
      </c>
      <c r="B4714" s="29" t="s">
        <v>8685</v>
      </c>
    </row>
    <row r="4715">
      <c r="A4715" s="4" t="s">
        <v>9249</v>
      </c>
      <c r="B4715" s="29" t="s">
        <v>8685</v>
      </c>
    </row>
    <row r="4716">
      <c r="A4716" s="4" t="s">
        <v>9250</v>
      </c>
      <c r="B4716" s="29" t="s">
        <v>8685</v>
      </c>
    </row>
    <row r="4717">
      <c r="A4717" s="4" t="s">
        <v>9251</v>
      </c>
      <c r="B4717" s="29" t="s">
        <v>8685</v>
      </c>
    </row>
    <row r="4718">
      <c r="A4718" s="4" t="s">
        <v>9252</v>
      </c>
      <c r="B4718" s="29" t="s">
        <v>8685</v>
      </c>
    </row>
    <row r="4719">
      <c r="A4719" s="4" t="s">
        <v>9253</v>
      </c>
      <c r="B4719" s="29" t="s">
        <v>8685</v>
      </c>
    </row>
    <row r="4720">
      <c r="A4720" s="4" t="s">
        <v>9254</v>
      </c>
      <c r="B4720" s="29" t="s">
        <v>8685</v>
      </c>
    </row>
    <row r="4721">
      <c r="A4721" s="4" t="s">
        <v>9255</v>
      </c>
      <c r="B4721" s="29" t="s">
        <v>8685</v>
      </c>
    </row>
    <row r="4722">
      <c r="A4722" s="4" t="s">
        <v>9256</v>
      </c>
      <c r="B4722" s="29" t="s">
        <v>8685</v>
      </c>
    </row>
    <row r="4723">
      <c r="A4723" s="4" t="s">
        <v>9257</v>
      </c>
      <c r="B4723" s="29" t="s">
        <v>8685</v>
      </c>
    </row>
    <row r="4724">
      <c r="A4724" s="4" t="s">
        <v>9258</v>
      </c>
      <c r="B4724" s="29" t="s">
        <v>8685</v>
      </c>
    </row>
    <row r="4725">
      <c r="A4725" s="4" t="s">
        <v>9259</v>
      </c>
      <c r="B4725" s="29" t="s">
        <v>8685</v>
      </c>
    </row>
    <row r="4726">
      <c r="A4726" s="4" t="s">
        <v>9260</v>
      </c>
      <c r="B4726" s="29" t="s">
        <v>8685</v>
      </c>
    </row>
    <row r="4727">
      <c r="A4727" s="4" t="s">
        <v>9261</v>
      </c>
      <c r="B4727" s="29" t="s">
        <v>8685</v>
      </c>
    </row>
    <row r="4728">
      <c r="A4728" s="4" t="s">
        <v>9262</v>
      </c>
      <c r="B4728" s="29" t="s">
        <v>8685</v>
      </c>
    </row>
    <row r="4729">
      <c r="A4729" s="4" t="s">
        <v>9263</v>
      </c>
      <c r="B4729" s="29" t="s">
        <v>8685</v>
      </c>
    </row>
    <row r="4730">
      <c r="A4730" s="4" t="s">
        <v>9264</v>
      </c>
      <c r="B4730" s="29" t="s">
        <v>8685</v>
      </c>
    </row>
    <row r="4731">
      <c r="A4731" s="4" t="s">
        <v>9265</v>
      </c>
      <c r="B4731" s="29" t="s">
        <v>8685</v>
      </c>
    </row>
    <row r="4732">
      <c r="A4732" s="4" t="s">
        <v>9266</v>
      </c>
      <c r="B4732" s="29" t="s">
        <v>8685</v>
      </c>
    </row>
    <row r="4733">
      <c r="A4733" s="4" t="s">
        <v>9267</v>
      </c>
      <c r="B4733" s="29" t="s">
        <v>8685</v>
      </c>
    </row>
    <row r="4734">
      <c r="A4734" s="4" t="s">
        <v>9268</v>
      </c>
      <c r="B4734" s="29" t="s">
        <v>8685</v>
      </c>
    </row>
    <row r="4735">
      <c r="A4735" s="4" t="s">
        <v>9269</v>
      </c>
      <c r="B4735" s="29" t="s">
        <v>8685</v>
      </c>
    </row>
    <row r="4736">
      <c r="A4736" s="4" t="s">
        <v>9270</v>
      </c>
      <c r="B4736" s="29" t="s">
        <v>8685</v>
      </c>
    </row>
    <row r="4737">
      <c r="A4737" s="4" t="s">
        <v>9271</v>
      </c>
      <c r="B4737" s="29" t="s">
        <v>8685</v>
      </c>
    </row>
    <row r="4738">
      <c r="A4738" s="4" t="s">
        <v>9272</v>
      </c>
      <c r="B4738" s="29" t="s">
        <v>8685</v>
      </c>
    </row>
    <row r="4739">
      <c r="A4739" s="4" t="s">
        <v>9273</v>
      </c>
      <c r="B4739" s="29" t="s">
        <v>8685</v>
      </c>
    </row>
    <row r="4740">
      <c r="A4740" s="4" t="s">
        <v>9274</v>
      </c>
      <c r="B4740" s="29" t="s">
        <v>8685</v>
      </c>
    </row>
    <row r="4741">
      <c r="A4741" s="4" t="s">
        <v>9275</v>
      </c>
      <c r="B4741" s="29" t="s">
        <v>8685</v>
      </c>
    </row>
    <row r="4742">
      <c r="A4742" s="4" t="s">
        <v>9276</v>
      </c>
      <c r="B4742" s="29" t="s">
        <v>8685</v>
      </c>
    </row>
    <row r="4743">
      <c r="A4743" s="4" t="s">
        <v>9277</v>
      </c>
      <c r="B4743" s="29" t="s">
        <v>8685</v>
      </c>
    </row>
    <row r="4744">
      <c r="A4744" s="4" t="s">
        <v>9278</v>
      </c>
      <c r="B4744" s="29" t="s">
        <v>8685</v>
      </c>
    </row>
    <row r="4745">
      <c r="A4745" s="4" t="s">
        <v>9279</v>
      </c>
      <c r="B4745" s="29" t="s">
        <v>8685</v>
      </c>
    </row>
    <row r="4746">
      <c r="A4746" s="4" t="s">
        <v>9280</v>
      </c>
      <c r="B4746" s="29" t="s">
        <v>8685</v>
      </c>
    </row>
    <row r="4747">
      <c r="A4747" s="4" t="s">
        <v>9281</v>
      </c>
      <c r="B4747" s="29" t="s">
        <v>8685</v>
      </c>
    </row>
    <row r="4748">
      <c r="A4748" s="4" t="s">
        <v>9282</v>
      </c>
      <c r="B4748" s="29" t="s">
        <v>8685</v>
      </c>
    </row>
    <row r="4749">
      <c r="A4749" s="4" t="s">
        <v>9283</v>
      </c>
      <c r="B4749" s="29" t="s">
        <v>8685</v>
      </c>
    </row>
    <row r="4750">
      <c r="A4750" s="4" t="s">
        <v>9284</v>
      </c>
      <c r="B4750" s="29" t="s">
        <v>8685</v>
      </c>
    </row>
    <row r="4751">
      <c r="A4751" s="4" t="s">
        <v>9285</v>
      </c>
      <c r="B4751" s="29" t="s">
        <v>8685</v>
      </c>
    </row>
    <row r="4752">
      <c r="A4752" s="4" t="s">
        <v>9286</v>
      </c>
      <c r="B4752" s="29" t="s">
        <v>8685</v>
      </c>
    </row>
    <row r="4753">
      <c r="A4753" s="4" t="s">
        <v>9287</v>
      </c>
      <c r="B4753" s="29" t="s">
        <v>8685</v>
      </c>
    </row>
    <row r="4754">
      <c r="A4754" s="4" t="s">
        <v>9288</v>
      </c>
      <c r="B4754" s="29" t="s">
        <v>8685</v>
      </c>
    </row>
    <row r="4755">
      <c r="A4755" s="4" t="s">
        <v>9289</v>
      </c>
      <c r="B4755" s="29" t="s">
        <v>8685</v>
      </c>
    </row>
    <row r="4756">
      <c r="A4756" s="4" t="s">
        <v>9290</v>
      </c>
      <c r="B4756" s="29" t="s">
        <v>8685</v>
      </c>
    </row>
    <row r="4757">
      <c r="A4757" s="4" t="s">
        <v>9291</v>
      </c>
      <c r="B4757" s="29" t="s">
        <v>8685</v>
      </c>
    </row>
    <row r="4758">
      <c r="A4758" s="4" t="s">
        <v>9292</v>
      </c>
      <c r="B4758" s="29" t="s">
        <v>8685</v>
      </c>
    </row>
    <row r="4759">
      <c r="A4759" s="4" t="s">
        <v>9293</v>
      </c>
      <c r="B4759" s="29" t="s">
        <v>8685</v>
      </c>
    </row>
    <row r="4760">
      <c r="A4760" s="4" t="s">
        <v>9294</v>
      </c>
      <c r="B4760" s="29" t="s">
        <v>8685</v>
      </c>
    </row>
    <row r="4761">
      <c r="A4761" s="4" t="s">
        <v>9295</v>
      </c>
      <c r="B4761" s="29" t="s">
        <v>8685</v>
      </c>
    </row>
    <row r="4762">
      <c r="A4762" s="4" t="s">
        <v>9296</v>
      </c>
      <c r="B4762" s="29" t="s">
        <v>8685</v>
      </c>
    </row>
    <row r="4763">
      <c r="A4763" s="4" t="s">
        <v>9297</v>
      </c>
      <c r="B4763" s="29" t="s">
        <v>8685</v>
      </c>
    </row>
    <row r="4764">
      <c r="A4764" s="4" t="s">
        <v>9298</v>
      </c>
      <c r="B4764" s="29" t="s">
        <v>8685</v>
      </c>
    </row>
    <row r="4765">
      <c r="A4765" s="4" t="s">
        <v>9299</v>
      </c>
      <c r="B4765" s="29" t="s">
        <v>8685</v>
      </c>
    </row>
    <row r="4766">
      <c r="A4766" s="4" t="s">
        <v>9300</v>
      </c>
      <c r="B4766" s="29" t="s">
        <v>8685</v>
      </c>
    </row>
    <row r="4767">
      <c r="A4767" s="4" t="s">
        <v>9301</v>
      </c>
      <c r="B4767" s="29" t="s">
        <v>8685</v>
      </c>
    </row>
    <row r="4768">
      <c r="A4768" s="4" t="s">
        <v>9302</v>
      </c>
      <c r="B4768" s="29" t="s">
        <v>8685</v>
      </c>
    </row>
    <row r="4769">
      <c r="A4769" s="4" t="s">
        <v>9303</v>
      </c>
      <c r="B4769" s="29" t="s">
        <v>8685</v>
      </c>
    </row>
    <row r="4770">
      <c r="A4770" s="4" t="s">
        <v>9304</v>
      </c>
      <c r="B4770" s="29" t="s">
        <v>8685</v>
      </c>
    </row>
    <row r="4771">
      <c r="A4771" s="4" t="s">
        <v>9305</v>
      </c>
      <c r="B4771" s="29" t="s">
        <v>8685</v>
      </c>
    </row>
    <row r="4772">
      <c r="A4772" s="4" t="s">
        <v>9306</v>
      </c>
      <c r="B4772" s="29" t="s">
        <v>8685</v>
      </c>
    </row>
    <row r="4773">
      <c r="A4773" s="4" t="s">
        <v>9307</v>
      </c>
      <c r="B4773" s="29" t="s">
        <v>8685</v>
      </c>
    </row>
    <row r="4774">
      <c r="A4774" s="4" t="s">
        <v>9308</v>
      </c>
      <c r="B4774" s="29" t="s">
        <v>8685</v>
      </c>
    </row>
    <row r="4775">
      <c r="A4775" s="4" t="s">
        <v>9309</v>
      </c>
      <c r="B4775" s="29" t="s">
        <v>8685</v>
      </c>
    </row>
    <row r="4776">
      <c r="A4776" s="4" t="s">
        <v>9310</v>
      </c>
      <c r="B4776" s="29" t="s">
        <v>8685</v>
      </c>
    </row>
    <row r="4777">
      <c r="A4777" s="4" t="s">
        <v>9311</v>
      </c>
      <c r="B4777" s="29" t="s">
        <v>8685</v>
      </c>
    </row>
    <row r="4778">
      <c r="A4778" s="4" t="s">
        <v>9312</v>
      </c>
      <c r="B4778" s="29" t="s">
        <v>8685</v>
      </c>
    </row>
    <row r="4779">
      <c r="A4779" s="4" t="s">
        <v>9313</v>
      </c>
      <c r="B4779" s="29" t="s">
        <v>8685</v>
      </c>
    </row>
    <row r="4780">
      <c r="A4780" s="4" t="s">
        <v>9314</v>
      </c>
      <c r="B4780" s="29" t="s">
        <v>8685</v>
      </c>
    </row>
    <row r="4781">
      <c r="A4781" s="4" t="s">
        <v>9315</v>
      </c>
      <c r="B4781" s="29" t="s">
        <v>8685</v>
      </c>
    </row>
    <row r="4782">
      <c r="A4782" s="4" t="s">
        <v>9316</v>
      </c>
      <c r="B4782" s="29" t="s">
        <v>8685</v>
      </c>
    </row>
    <row r="4783">
      <c r="A4783" s="4" t="s">
        <v>9317</v>
      </c>
      <c r="B4783" s="29" t="s">
        <v>8685</v>
      </c>
    </row>
    <row r="4784">
      <c r="A4784" s="4" t="s">
        <v>9318</v>
      </c>
      <c r="B4784" s="29" t="s">
        <v>8685</v>
      </c>
    </row>
    <row r="4785">
      <c r="A4785" s="4" t="s">
        <v>9319</v>
      </c>
      <c r="B4785" s="29" t="s">
        <v>8685</v>
      </c>
    </row>
    <row r="4786">
      <c r="A4786" s="4" t="s">
        <v>9320</v>
      </c>
      <c r="B4786" s="29" t="s">
        <v>8685</v>
      </c>
    </row>
    <row r="4787">
      <c r="A4787" s="4" t="s">
        <v>9321</v>
      </c>
      <c r="B4787" s="29" t="s">
        <v>8685</v>
      </c>
    </row>
    <row r="4788">
      <c r="A4788" s="4" t="s">
        <v>9322</v>
      </c>
      <c r="B4788" s="29" t="s">
        <v>8685</v>
      </c>
    </row>
    <row r="4789">
      <c r="A4789" s="4" t="s">
        <v>9323</v>
      </c>
      <c r="B4789" s="29" t="s">
        <v>8685</v>
      </c>
    </row>
    <row r="4790">
      <c r="A4790" s="4" t="s">
        <v>9324</v>
      </c>
      <c r="B4790" s="29" t="s">
        <v>8685</v>
      </c>
    </row>
    <row r="4791">
      <c r="A4791" s="4" t="s">
        <v>9325</v>
      </c>
      <c r="B4791" s="29" t="s">
        <v>8685</v>
      </c>
    </row>
    <row r="4792">
      <c r="A4792" s="4" t="s">
        <v>9326</v>
      </c>
      <c r="B4792" s="29" t="s">
        <v>8685</v>
      </c>
    </row>
    <row r="4793">
      <c r="A4793" s="4" t="s">
        <v>9327</v>
      </c>
      <c r="B4793" s="29" t="s">
        <v>8685</v>
      </c>
    </row>
    <row r="4794">
      <c r="A4794" s="4" t="s">
        <v>9328</v>
      </c>
      <c r="B4794" s="29" t="s">
        <v>8685</v>
      </c>
    </row>
    <row r="4795">
      <c r="A4795" s="4" t="s">
        <v>9329</v>
      </c>
      <c r="B4795" s="29" t="s">
        <v>8685</v>
      </c>
    </row>
    <row r="4796">
      <c r="A4796" s="4" t="s">
        <v>9330</v>
      </c>
      <c r="B4796" s="29" t="s">
        <v>8685</v>
      </c>
    </row>
    <row r="4797">
      <c r="A4797" s="4" t="s">
        <v>9331</v>
      </c>
      <c r="B4797" s="29" t="s">
        <v>8685</v>
      </c>
    </row>
    <row r="4798">
      <c r="A4798" s="4" t="s">
        <v>9332</v>
      </c>
      <c r="B4798" s="29" t="s">
        <v>8685</v>
      </c>
    </row>
    <row r="4799">
      <c r="A4799" s="4" t="s">
        <v>9333</v>
      </c>
      <c r="B4799" s="29" t="s">
        <v>8685</v>
      </c>
    </row>
    <row r="4800">
      <c r="A4800" s="4" t="s">
        <v>9334</v>
      </c>
      <c r="B4800" s="29" t="s">
        <v>8685</v>
      </c>
    </row>
    <row r="4801">
      <c r="A4801" s="4" t="s">
        <v>9335</v>
      </c>
      <c r="B4801" s="29" t="s">
        <v>8685</v>
      </c>
    </row>
    <row r="4802">
      <c r="A4802" s="4" t="s">
        <v>9336</v>
      </c>
      <c r="B4802" s="29" t="s">
        <v>8685</v>
      </c>
    </row>
    <row r="4803">
      <c r="A4803" s="4" t="s">
        <v>9337</v>
      </c>
      <c r="B4803" s="29" t="s">
        <v>8685</v>
      </c>
    </row>
    <row r="4804">
      <c r="A4804" s="4" t="s">
        <v>9338</v>
      </c>
      <c r="B4804" s="29" t="s">
        <v>8685</v>
      </c>
    </row>
    <row r="4805">
      <c r="A4805" s="4" t="s">
        <v>9339</v>
      </c>
      <c r="B4805" s="29" t="s">
        <v>8685</v>
      </c>
    </row>
    <row r="4806">
      <c r="A4806" s="4" t="s">
        <v>9340</v>
      </c>
      <c r="B4806" s="29" t="s">
        <v>8685</v>
      </c>
    </row>
    <row r="4807">
      <c r="A4807" s="4" t="s">
        <v>9341</v>
      </c>
      <c r="B4807" s="29" t="s">
        <v>8685</v>
      </c>
    </row>
    <row r="4808">
      <c r="A4808" s="4" t="s">
        <v>9342</v>
      </c>
      <c r="B4808" s="29" t="s">
        <v>8685</v>
      </c>
    </row>
    <row r="4809">
      <c r="A4809" s="4" t="s">
        <v>9343</v>
      </c>
      <c r="B4809" s="29" t="s">
        <v>8685</v>
      </c>
    </row>
    <row r="4810">
      <c r="A4810" s="4" t="s">
        <v>9344</v>
      </c>
      <c r="B4810" s="29" t="s">
        <v>8685</v>
      </c>
    </row>
    <row r="4811">
      <c r="A4811" s="4" t="s">
        <v>9345</v>
      </c>
      <c r="B4811" s="29" t="s">
        <v>8685</v>
      </c>
    </row>
    <row r="4812">
      <c r="A4812" s="4" t="s">
        <v>9346</v>
      </c>
      <c r="B4812" s="29" t="s">
        <v>8685</v>
      </c>
    </row>
    <row r="4813">
      <c r="A4813" s="4" t="s">
        <v>9347</v>
      </c>
      <c r="B4813" s="29" t="s">
        <v>8685</v>
      </c>
    </row>
    <row r="4814">
      <c r="A4814" s="4" t="s">
        <v>9348</v>
      </c>
      <c r="B4814" s="29" t="s">
        <v>8685</v>
      </c>
    </row>
    <row r="4815">
      <c r="A4815" s="4" t="s">
        <v>9349</v>
      </c>
      <c r="B4815" s="29" t="s">
        <v>8685</v>
      </c>
    </row>
    <row r="4816">
      <c r="A4816" s="4" t="s">
        <v>9350</v>
      </c>
      <c r="B4816" s="29" t="s">
        <v>8685</v>
      </c>
    </row>
    <row r="4817">
      <c r="A4817" s="4" t="s">
        <v>9351</v>
      </c>
      <c r="B4817" s="29" t="s">
        <v>8685</v>
      </c>
    </row>
    <row r="4818">
      <c r="A4818" s="4" t="s">
        <v>9352</v>
      </c>
      <c r="B4818" s="29" t="s">
        <v>8685</v>
      </c>
    </row>
    <row r="4819">
      <c r="A4819" s="4" t="s">
        <v>9353</v>
      </c>
      <c r="B4819" s="29" t="s">
        <v>8685</v>
      </c>
    </row>
    <row r="4820">
      <c r="A4820" s="4" t="s">
        <v>9354</v>
      </c>
      <c r="B4820" s="29" t="s">
        <v>8685</v>
      </c>
    </row>
    <row r="4821">
      <c r="A4821" s="4" t="s">
        <v>9355</v>
      </c>
      <c r="B4821" s="29" t="s">
        <v>8685</v>
      </c>
    </row>
    <row r="4822">
      <c r="A4822" s="4" t="s">
        <v>9356</v>
      </c>
      <c r="B4822" s="29" t="s">
        <v>8685</v>
      </c>
    </row>
    <row r="4823">
      <c r="A4823" s="4" t="s">
        <v>9357</v>
      </c>
      <c r="B4823" s="29" t="s">
        <v>8685</v>
      </c>
    </row>
    <row r="4824">
      <c r="A4824" s="4" t="s">
        <v>9358</v>
      </c>
      <c r="B4824" s="29" t="s">
        <v>8685</v>
      </c>
    </row>
    <row r="4825">
      <c r="A4825" s="4" t="s">
        <v>9359</v>
      </c>
      <c r="B4825" s="29" t="s">
        <v>8685</v>
      </c>
    </row>
    <row r="4826">
      <c r="A4826" s="4" t="s">
        <v>9360</v>
      </c>
      <c r="B4826" s="29" t="s">
        <v>8685</v>
      </c>
    </row>
    <row r="4827">
      <c r="A4827" s="4" t="s">
        <v>9361</v>
      </c>
      <c r="B4827" s="29" t="s">
        <v>8685</v>
      </c>
    </row>
    <row r="4828">
      <c r="A4828" s="4" t="s">
        <v>9362</v>
      </c>
      <c r="B4828" s="29" t="s">
        <v>8685</v>
      </c>
    </row>
    <row r="4829">
      <c r="A4829" s="4" t="s">
        <v>9363</v>
      </c>
      <c r="B4829" s="29" t="s">
        <v>8685</v>
      </c>
    </row>
    <row r="4830">
      <c r="A4830" s="4" t="s">
        <v>9364</v>
      </c>
      <c r="B4830" s="29" t="s">
        <v>8685</v>
      </c>
    </row>
    <row r="4831">
      <c r="A4831" s="4" t="s">
        <v>9365</v>
      </c>
      <c r="B4831" s="29" t="s">
        <v>8685</v>
      </c>
    </row>
    <row r="4832">
      <c r="A4832" s="4" t="s">
        <v>9366</v>
      </c>
      <c r="B4832" s="29" t="s">
        <v>8685</v>
      </c>
    </row>
    <row r="4833">
      <c r="A4833" s="4" t="s">
        <v>9367</v>
      </c>
      <c r="B4833" s="29" t="s">
        <v>8685</v>
      </c>
    </row>
    <row r="4834">
      <c r="A4834" s="4" t="s">
        <v>9368</v>
      </c>
      <c r="B4834" s="29" t="s">
        <v>8685</v>
      </c>
    </row>
    <row r="4835">
      <c r="A4835" s="4" t="s">
        <v>9369</v>
      </c>
      <c r="B4835" s="29" t="s">
        <v>8685</v>
      </c>
    </row>
    <row r="4836">
      <c r="A4836" s="4" t="s">
        <v>9370</v>
      </c>
      <c r="B4836" s="29" t="s">
        <v>8685</v>
      </c>
    </row>
    <row r="4837">
      <c r="A4837" s="4" t="s">
        <v>9371</v>
      </c>
      <c r="B4837" s="29" t="s">
        <v>8685</v>
      </c>
    </row>
    <row r="4838">
      <c r="A4838" s="4" t="s">
        <v>9372</v>
      </c>
      <c r="B4838" s="29" t="s">
        <v>8685</v>
      </c>
    </row>
    <row r="4839">
      <c r="A4839" s="4" t="s">
        <v>9373</v>
      </c>
      <c r="B4839" s="29" t="s">
        <v>8685</v>
      </c>
    </row>
    <row r="4840">
      <c r="A4840" s="4" t="s">
        <v>9374</v>
      </c>
      <c r="B4840" s="29" t="s">
        <v>8685</v>
      </c>
    </row>
    <row r="4841">
      <c r="A4841" s="4" t="s">
        <v>9375</v>
      </c>
      <c r="B4841" s="29" t="s">
        <v>8685</v>
      </c>
    </row>
    <row r="4842">
      <c r="A4842" s="4" t="s">
        <v>9376</v>
      </c>
      <c r="B4842" s="29" t="s">
        <v>8685</v>
      </c>
    </row>
    <row r="4843">
      <c r="A4843" s="4" t="s">
        <v>9377</v>
      </c>
      <c r="B4843" s="29" t="s">
        <v>8685</v>
      </c>
    </row>
    <row r="4844">
      <c r="A4844" s="4" t="s">
        <v>9378</v>
      </c>
      <c r="B4844" s="29" t="s">
        <v>8685</v>
      </c>
    </row>
    <row r="4845">
      <c r="A4845" s="4" t="s">
        <v>9379</v>
      </c>
      <c r="B4845" s="29" t="s">
        <v>8685</v>
      </c>
    </row>
    <row r="4846">
      <c r="A4846" s="4" t="s">
        <v>9380</v>
      </c>
      <c r="B4846" s="29" t="s">
        <v>8685</v>
      </c>
    </row>
    <row r="4847">
      <c r="A4847" s="4" t="s">
        <v>9381</v>
      </c>
      <c r="B4847" s="29" t="s">
        <v>8685</v>
      </c>
    </row>
    <row r="4848">
      <c r="A4848" s="4" t="s">
        <v>9382</v>
      </c>
      <c r="B4848" s="29" t="s">
        <v>8685</v>
      </c>
    </row>
    <row r="4849">
      <c r="A4849" s="4" t="s">
        <v>9383</v>
      </c>
      <c r="B4849" s="29" t="s">
        <v>8685</v>
      </c>
    </row>
    <row r="4850">
      <c r="A4850" s="4" t="s">
        <v>9384</v>
      </c>
      <c r="B4850" s="29" t="s">
        <v>8685</v>
      </c>
    </row>
    <row r="4851">
      <c r="A4851" s="4" t="s">
        <v>9385</v>
      </c>
      <c r="B4851" s="29" t="s">
        <v>8685</v>
      </c>
    </row>
    <row r="4852">
      <c r="A4852" s="4" t="s">
        <v>9386</v>
      </c>
      <c r="B4852" s="29" t="s">
        <v>8685</v>
      </c>
    </row>
    <row r="4853">
      <c r="A4853" s="4" t="s">
        <v>9387</v>
      </c>
      <c r="B4853" s="29" t="s">
        <v>8685</v>
      </c>
    </row>
    <row r="4854">
      <c r="A4854" s="4" t="s">
        <v>9388</v>
      </c>
      <c r="B4854" s="29" t="s">
        <v>8685</v>
      </c>
    </row>
    <row r="4855">
      <c r="A4855" s="4" t="s">
        <v>9389</v>
      </c>
      <c r="B4855" s="29" t="s">
        <v>8685</v>
      </c>
    </row>
    <row r="4856">
      <c r="A4856" s="4" t="s">
        <v>9390</v>
      </c>
      <c r="B4856" s="29" t="s">
        <v>8685</v>
      </c>
    </row>
    <row r="4857">
      <c r="A4857" s="4" t="s">
        <v>9391</v>
      </c>
      <c r="B4857" s="29" t="s">
        <v>8685</v>
      </c>
    </row>
    <row r="4858">
      <c r="A4858" s="4" t="s">
        <v>9392</v>
      </c>
      <c r="B4858" s="29" t="s">
        <v>8685</v>
      </c>
    </row>
    <row r="4859">
      <c r="A4859" s="4" t="s">
        <v>9393</v>
      </c>
      <c r="B4859" s="29" t="s">
        <v>8685</v>
      </c>
    </row>
    <row r="4860">
      <c r="A4860" s="4" t="s">
        <v>9394</v>
      </c>
      <c r="B4860" s="29" t="s">
        <v>8685</v>
      </c>
    </row>
    <row r="4861">
      <c r="A4861" s="4" t="s">
        <v>9395</v>
      </c>
      <c r="B4861" s="29" t="s">
        <v>8685</v>
      </c>
    </row>
    <row r="4862">
      <c r="A4862" s="4" t="s">
        <v>9396</v>
      </c>
      <c r="B4862" s="29" t="s">
        <v>8685</v>
      </c>
    </row>
    <row r="4863">
      <c r="A4863" s="4" t="s">
        <v>9397</v>
      </c>
      <c r="B4863" s="29" t="s">
        <v>8685</v>
      </c>
    </row>
    <row r="4864">
      <c r="A4864" s="4" t="s">
        <v>9398</v>
      </c>
      <c r="B4864" s="29" t="s">
        <v>8685</v>
      </c>
    </row>
    <row r="4865">
      <c r="A4865" s="4" t="s">
        <v>9399</v>
      </c>
      <c r="B4865" s="29" t="s">
        <v>8685</v>
      </c>
    </row>
    <row r="4866">
      <c r="A4866" s="4" t="s">
        <v>9400</v>
      </c>
      <c r="B4866" s="29" t="s">
        <v>8685</v>
      </c>
    </row>
    <row r="4867">
      <c r="A4867" s="4" t="s">
        <v>9401</v>
      </c>
      <c r="B4867" s="29" t="s">
        <v>8685</v>
      </c>
    </row>
    <row r="4868">
      <c r="A4868" s="4" t="s">
        <v>9402</v>
      </c>
      <c r="B4868" s="29" t="s">
        <v>8685</v>
      </c>
    </row>
    <row r="4869">
      <c r="A4869" s="4" t="s">
        <v>9403</v>
      </c>
      <c r="B4869" s="29" t="s">
        <v>8685</v>
      </c>
    </row>
    <row r="4870">
      <c r="A4870" s="4" t="s">
        <v>9404</v>
      </c>
      <c r="B4870" s="29" t="s">
        <v>8685</v>
      </c>
    </row>
    <row r="4871">
      <c r="A4871" s="4" t="s">
        <v>9405</v>
      </c>
      <c r="B4871" s="29" t="s">
        <v>8685</v>
      </c>
    </row>
    <row r="4872">
      <c r="A4872" s="4" t="s">
        <v>9406</v>
      </c>
      <c r="B4872" s="29" t="s">
        <v>8685</v>
      </c>
    </row>
    <row r="4873">
      <c r="A4873" s="4" t="s">
        <v>9407</v>
      </c>
      <c r="B4873" s="29" t="s">
        <v>8685</v>
      </c>
    </row>
    <row r="4874">
      <c r="A4874" s="4" t="s">
        <v>9408</v>
      </c>
      <c r="B4874" s="29" t="s">
        <v>8685</v>
      </c>
    </row>
    <row r="4875">
      <c r="A4875" s="4" t="s">
        <v>9409</v>
      </c>
      <c r="B4875" s="29" t="s">
        <v>8685</v>
      </c>
    </row>
    <row r="4876">
      <c r="A4876" s="4" t="s">
        <v>9410</v>
      </c>
      <c r="B4876" s="29" t="s">
        <v>8685</v>
      </c>
    </row>
    <row r="4877">
      <c r="A4877" s="4" t="s">
        <v>9411</v>
      </c>
      <c r="B4877" s="29" t="s">
        <v>8685</v>
      </c>
    </row>
    <row r="4878">
      <c r="A4878" s="4" t="s">
        <v>9412</v>
      </c>
      <c r="B4878" s="29" t="s">
        <v>8685</v>
      </c>
    </row>
    <row r="4879">
      <c r="A4879" s="4" t="s">
        <v>9413</v>
      </c>
      <c r="B4879" s="29" t="s">
        <v>8685</v>
      </c>
    </row>
    <row r="4880">
      <c r="A4880" s="4" t="s">
        <v>9414</v>
      </c>
      <c r="B4880" s="29" t="s">
        <v>8685</v>
      </c>
    </row>
    <row r="4881">
      <c r="A4881" s="4" t="s">
        <v>9415</v>
      </c>
      <c r="B4881" s="29" t="s">
        <v>8685</v>
      </c>
    </row>
    <row r="4882">
      <c r="A4882" s="4" t="s">
        <v>9416</v>
      </c>
      <c r="B4882" s="29" t="s">
        <v>8685</v>
      </c>
    </row>
    <row r="4883">
      <c r="A4883" s="4" t="s">
        <v>9417</v>
      </c>
      <c r="B4883" s="29" t="s">
        <v>8685</v>
      </c>
    </row>
    <row r="4884">
      <c r="A4884" s="4" t="s">
        <v>9418</v>
      </c>
      <c r="B4884" s="29" t="s">
        <v>8685</v>
      </c>
    </row>
    <row r="4885">
      <c r="A4885" s="4" t="s">
        <v>9419</v>
      </c>
      <c r="B4885" s="29" t="s">
        <v>8685</v>
      </c>
    </row>
    <row r="4886">
      <c r="A4886" s="4" t="s">
        <v>9420</v>
      </c>
      <c r="B4886" s="29" t="s">
        <v>8685</v>
      </c>
    </row>
    <row r="4887">
      <c r="A4887" s="4" t="s">
        <v>9421</v>
      </c>
      <c r="B4887" s="29" t="s">
        <v>8685</v>
      </c>
    </row>
    <row r="4888">
      <c r="A4888" s="4" t="s">
        <v>9422</v>
      </c>
      <c r="B4888" s="29" t="s">
        <v>8685</v>
      </c>
    </row>
    <row r="4889">
      <c r="A4889" s="4" t="s">
        <v>9423</v>
      </c>
      <c r="B4889" s="29" t="s">
        <v>8685</v>
      </c>
    </row>
    <row r="4890">
      <c r="A4890" s="4" t="s">
        <v>9424</v>
      </c>
      <c r="B4890" s="29" t="s">
        <v>8685</v>
      </c>
    </row>
    <row r="4891">
      <c r="A4891" s="4" t="s">
        <v>9425</v>
      </c>
      <c r="B4891" s="29" t="s">
        <v>8685</v>
      </c>
    </row>
    <row r="4892">
      <c r="A4892" s="4" t="s">
        <v>9426</v>
      </c>
      <c r="B4892" s="29" t="s">
        <v>8685</v>
      </c>
    </row>
    <row r="4893">
      <c r="A4893" s="4" t="s">
        <v>9427</v>
      </c>
      <c r="B4893" s="29" t="s">
        <v>8685</v>
      </c>
    </row>
    <row r="4894">
      <c r="A4894" s="4" t="s">
        <v>9428</v>
      </c>
      <c r="B4894" s="29" t="s">
        <v>8685</v>
      </c>
    </row>
    <row r="4895">
      <c r="A4895" s="4" t="s">
        <v>9429</v>
      </c>
      <c r="B4895" s="29" t="s">
        <v>8685</v>
      </c>
    </row>
    <row r="4896">
      <c r="A4896" s="4" t="s">
        <v>9430</v>
      </c>
      <c r="B4896" s="29" t="s">
        <v>8685</v>
      </c>
    </row>
    <row r="4897">
      <c r="A4897" s="4" t="s">
        <v>9431</v>
      </c>
      <c r="B4897" s="29" t="s">
        <v>8685</v>
      </c>
    </row>
    <row r="4898">
      <c r="A4898" s="4" t="s">
        <v>9432</v>
      </c>
      <c r="B4898" s="29" t="s">
        <v>8685</v>
      </c>
    </row>
    <row r="4899">
      <c r="A4899" s="4" t="s">
        <v>9433</v>
      </c>
      <c r="B4899" s="29" t="s">
        <v>8685</v>
      </c>
    </row>
    <row r="4900">
      <c r="A4900" s="4" t="s">
        <v>9434</v>
      </c>
      <c r="B4900" s="29" t="s">
        <v>8685</v>
      </c>
    </row>
    <row r="4901">
      <c r="A4901" s="4" t="s">
        <v>9435</v>
      </c>
      <c r="B4901" s="29" t="s">
        <v>8685</v>
      </c>
    </row>
    <row r="4902">
      <c r="A4902" s="4" t="s">
        <v>9436</v>
      </c>
      <c r="B4902" s="29" t="s">
        <v>8685</v>
      </c>
    </row>
    <row r="4903">
      <c r="A4903" s="4" t="s">
        <v>9437</v>
      </c>
      <c r="B4903" s="29" t="s">
        <v>8685</v>
      </c>
    </row>
    <row r="4904">
      <c r="A4904" s="4" t="s">
        <v>9438</v>
      </c>
      <c r="B4904" s="29" t="s">
        <v>8685</v>
      </c>
    </row>
    <row r="4905">
      <c r="A4905" s="4" t="s">
        <v>9439</v>
      </c>
      <c r="B4905" s="29" t="s">
        <v>8685</v>
      </c>
    </row>
    <row r="4906">
      <c r="A4906" s="4" t="s">
        <v>9440</v>
      </c>
      <c r="B4906" s="29" t="s">
        <v>8685</v>
      </c>
    </row>
    <row r="4907">
      <c r="A4907" s="4" t="s">
        <v>9441</v>
      </c>
      <c r="B4907" s="29" t="s">
        <v>8685</v>
      </c>
    </row>
    <row r="4908">
      <c r="A4908" s="4" t="s">
        <v>9442</v>
      </c>
      <c r="B4908" s="29" t="s">
        <v>8685</v>
      </c>
    </row>
    <row r="4909">
      <c r="A4909" s="4" t="s">
        <v>9443</v>
      </c>
      <c r="B4909" s="29" t="s">
        <v>8685</v>
      </c>
    </row>
    <row r="4910">
      <c r="A4910" s="4" t="s">
        <v>9444</v>
      </c>
      <c r="B4910" s="29" t="s">
        <v>8685</v>
      </c>
    </row>
    <row r="4911">
      <c r="A4911" s="4" t="s">
        <v>9445</v>
      </c>
      <c r="B4911" s="29" t="s">
        <v>8685</v>
      </c>
    </row>
    <row r="4912">
      <c r="A4912" s="4" t="s">
        <v>9446</v>
      </c>
      <c r="B4912" s="29" t="s">
        <v>8685</v>
      </c>
    </row>
    <row r="4913">
      <c r="A4913" s="4" t="s">
        <v>9447</v>
      </c>
      <c r="B4913" s="29" t="s">
        <v>8685</v>
      </c>
    </row>
    <row r="4914">
      <c r="A4914" s="4" t="s">
        <v>9448</v>
      </c>
      <c r="B4914" s="29" t="s">
        <v>8685</v>
      </c>
    </row>
    <row r="4915">
      <c r="A4915" s="4" t="s">
        <v>9449</v>
      </c>
      <c r="B4915" s="29" t="s">
        <v>8685</v>
      </c>
    </row>
    <row r="4916">
      <c r="A4916" s="4" t="s">
        <v>9450</v>
      </c>
      <c r="B4916" s="29" t="s">
        <v>8685</v>
      </c>
    </row>
    <row r="4917">
      <c r="A4917" s="4" t="s">
        <v>9451</v>
      </c>
      <c r="B4917" s="29" t="s">
        <v>8685</v>
      </c>
    </row>
    <row r="4918">
      <c r="A4918" s="4" t="s">
        <v>9452</v>
      </c>
      <c r="B4918" s="29" t="s">
        <v>8685</v>
      </c>
    </row>
    <row r="4919">
      <c r="A4919" s="4" t="s">
        <v>9453</v>
      </c>
      <c r="B4919" s="29" t="s">
        <v>8685</v>
      </c>
    </row>
    <row r="4920">
      <c r="A4920" s="4" t="s">
        <v>9454</v>
      </c>
      <c r="B4920" s="29" t="s">
        <v>8685</v>
      </c>
    </row>
    <row r="4921">
      <c r="A4921" s="4" t="s">
        <v>9455</v>
      </c>
      <c r="B4921" s="29" t="s">
        <v>8685</v>
      </c>
    </row>
    <row r="4922">
      <c r="A4922" s="4" t="s">
        <v>9456</v>
      </c>
      <c r="B4922" s="29" t="s">
        <v>8685</v>
      </c>
    </row>
    <row r="4923">
      <c r="A4923" s="4" t="s">
        <v>9457</v>
      </c>
      <c r="B4923" s="29" t="s">
        <v>8685</v>
      </c>
    </row>
    <row r="4924">
      <c r="A4924" s="4" t="s">
        <v>9458</v>
      </c>
      <c r="B4924" s="29" t="s">
        <v>8685</v>
      </c>
    </row>
    <row r="4925">
      <c r="A4925" s="4" t="s">
        <v>9459</v>
      </c>
      <c r="B4925" s="29" t="s">
        <v>8685</v>
      </c>
    </row>
    <row r="4926">
      <c r="A4926" s="4" t="s">
        <v>9460</v>
      </c>
      <c r="B4926" s="29" t="s">
        <v>8685</v>
      </c>
    </row>
    <row r="4927">
      <c r="A4927" s="4" t="s">
        <v>9461</v>
      </c>
      <c r="B4927" s="29" t="s">
        <v>8685</v>
      </c>
    </row>
    <row r="4928">
      <c r="A4928" s="4" t="s">
        <v>9462</v>
      </c>
      <c r="B4928" s="29" t="s">
        <v>8685</v>
      </c>
    </row>
    <row r="4929">
      <c r="A4929" s="4" t="s">
        <v>9463</v>
      </c>
      <c r="B4929" s="29" t="s">
        <v>8685</v>
      </c>
    </row>
    <row r="4930">
      <c r="A4930" s="4" t="s">
        <v>9464</v>
      </c>
      <c r="B4930" s="29" t="s">
        <v>8685</v>
      </c>
    </row>
    <row r="4931">
      <c r="A4931" s="4" t="s">
        <v>9465</v>
      </c>
      <c r="B4931" s="29" t="s">
        <v>8685</v>
      </c>
    </row>
    <row r="4932">
      <c r="A4932" s="4" t="s">
        <v>9466</v>
      </c>
      <c r="B4932" s="29" t="s">
        <v>8685</v>
      </c>
    </row>
    <row r="4933">
      <c r="A4933" s="4" t="s">
        <v>9467</v>
      </c>
      <c r="B4933" s="29" t="s">
        <v>8685</v>
      </c>
    </row>
    <row r="4934">
      <c r="A4934" s="4" t="s">
        <v>9468</v>
      </c>
      <c r="B4934" s="29" t="s">
        <v>8685</v>
      </c>
    </row>
    <row r="4935">
      <c r="A4935" s="4" t="s">
        <v>9469</v>
      </c>
      <c r="B4935" s="29" t="s">
        <v>8685</v>
      </c>
    </row>
    <row r="4936">
      <c r="A4936" s="4" t="s">
        <v>9470</v>
      </c>
      <c r="B4936" s="29" t="s">
        <v>8685</v>
      </c>
    </row>
    <row r="4937">
      <c r="A4937" s="4" t="s">
        <v>9471</v>
      </c>
      <c r="B4937" s="29" t="s">
        <v>8685</v>
      </c>
    </row>
    <row r="4938">
      <c r="A4938" s="4" t="s">
        <v>9472</v>
      </c>
      <c r="B4938" s="29" t="s">
        <v>8685</v>
      </c>
    </row>
    <row r="4939">
      <c r="A4939" s="4" t="s">
        <v>9473</v>
      </c>
      <c r="B4939" s="29" t="s">
        <v>8685</v>
      </c>
    </row>
    <row r="4940">
      <c r="A4940" s="4" t="s">
        <v>9474</v>
      </c>
      <c r="B4940" s="29" t="s">
        <v>8685</v>
      </c>
    </row>
    <row r="4941">
      <c r="A4941" s="4" t="s">
        <v>9475</v>
      </c>
      <c r="B4941" s="29" t="s">
        <v>8685</v>
      </c>
    </row>
    <row r="4942">
      <c r="A4942" s="4" t="s">
        <v>9476</v>
      </c>
      <c r="B4942" s="29" t="s">
        <v>8685</v>
      </c>
    </row>
    <row r="4943">
      <c r="A4943" s="4" t="s">
        <v>9477</v>
      </c>
      <c r="B4943" s="29" t="s">
        <v>8685</v>
      </c>
    </row>
    <row r="4944">
      <c r="A4944" s="4" t="s">
        <v>9478</v>
      </c>
      <c r="B4944" s="29" t="s">
        <v>8685</v>
      </c>
    </row>
    <row r="4945">
      <c r="A4945" s="4" t="s">
        <v>9479</v>
      </c>
      <c r="B4945" s="29" t="s">
        <v>8685</v>
      </c>
    </row>
    <row r="4946">
      <c r="A4946" s="4" t="s">
        <v>9480</v>
      </c>
      <c r="B4946" s="29" t="s">
        <v>8685</v>
      </c>
    </row>
    <row r="4947">
      <c r="A4947" s="4" t="s">
        <v>9481</v>
      </c>
      <c r="B4947" s="29" t="s">
        <v>8685</v>
      </c>
    </row>
    <row r="4948">
      <c r="A4948" s="4" t="s">
        <v>9482</v>
      </c>
      <c r="B4948" s="29" t="s">
        <v>8685</v>
      </c>
    </row>
    <row r="4949">
      <c r="A4949" s="4" t="s">
        <v>9483</v>
      </c>
      <c r="B4949" s="29" t="s">
        <v>8685</v>
      </c>
    </row>
    <row r="4950">
      <c r="A4950" s="4" t="s">
        <v>9484</v>
      </c>
      <c r="B4950" s="29" t="s">
        <v>8685</v>
      </c>
    </row>
    <row r="4951">
      <c r="A4951" s="4" t="s">
        <v>9485</v>
      </c>
      <c r="B4951" s="29" t="s">
        <v>8685</v>
      </c>
    </row>
    <row r="4952">
      <c r="A4952" s="4" t="s">
        <v>9486</v>
      </c>
      <c r="B4952" s="29" t="s">
        <v>8685</v>
      </c>
    </row>
    <row r="4953">
      <c r="A4953" s="4" t="s">
        <v>9487</v>
      </c>
      <c r="B4953" s="29" t="s">
        <v>8685</v>
      </c>
    </row>
    <row r="4954">
      <c r="A4954" s="4" t="s">
        <v>9488</v>
      </c>
      <c r="B4954" s="29" t="s">
        <v>8685</v>
      </c>
    </row>
    <row r="4955">
      <c r="A4955" s="4" t="s">
        <v>9489</v>
      </c>
      <c r="B4955" s="29" t="s">
        <v>8685</v>
      </c>
    </row>
    <row r="4956">
      <c r="A4956" s="4" t="s">
        <v>9490</v>
      </c>
      <c r="B4956" s="29" t="s">
        <v>8685</v>
      </c>
    </row>
    <row r="4957">
      <c r="A4957" s="4" t="s">
        <v>9491</v>
      </c>
      <c r="B4957" s="29" t="s">
        <v>8685</v>
      </c>
    </row>
    <row r="4958">
      <c r="A4958" s="4" t="s">
        <v>9492</v>
      </c>
      <c r="B4958" s="29" t="s">
        <v>8685</v>
      </c>
    </row>
    <row r="4959">
      <c r="A4959" s="4" t="s">
        <v>9493</v>
      </c>
      <c r="B4959" s="29" t="s">
        <v>8685</v>
      </c>
    </row>
    <row r="4960">
      <c r="A4960" s="4" t="s">
        <v>9494</v>
      </c>
      <c r="B4960" s="29" t="s">
        <v>8685</v>
      </c>
    </row>
    <row r="4961">
      <c r="A4961" s="4" t="s">
        <v>9495</v>
      </c>
      <c r="B4961" s="29" t="s">
        <v>8685</v>
      </c>
    </row>
    <row r="4962">
      <c r="A4962" s="4" t="s">
        <v>9496</v>
      </c>
      <c r="B4962" s="29" t="s">
        <v>8685</v>
      </c>
    </row>
    <row r="4963">
      <c r="A4963" s="4" t="s">
        <v>9497</v>
      </c>
      <c r="B4963" s="29" t="s">
        <v>8685</v>
      </c>
    </row>
    <row r="4964">
      <c r="A4964" s="4" t="s">
        <v>9498</v>
      </c>
      <c r="B4964" s="29" t="s">
        <v>8685</v>
      </c>
    </row>
    <row r="4965">
      <c r="A4965" s="4" t="s">
        <v>9499</v>
      </c>
      <c r="B4965" s="29" t="s">
        <v>8685</v>
      </c>
    </row>
    <row r="4966">
      <c r="A4966" s="4" t="s">
        <v>9500</v>
      </c>
      <c r="B4966" s="29" t="s">
        <v>8685</v>
      </c>
    </row>
    <row r="4967">
      <c r="A4967" s="4" t="s">
        <v>9501</v>
      </c>
      <c r="B4967" s="29" t="s">
        <v>8685</v>
      </c>
    </row>
    <row r="4968">
      <c r="A4968" s="4" t="s">
        <v>9502</v>
      </c>
      <c r="B4968" s="29" t="s">
        <v>8685</v>
      </c>
    </row>
    <row r="4969">
      <c r="A4969" s="4" t="s">
        <v>9503</v>
      </c>
      <c r="B4969" s="29" t="s">
        <v>8685</v>
      </c>
    </row>
    <row r="4970">
      <c r="A4970" s="4" t="s">
        <v>9504</v>
      </c>
      <c r="B4970" s="29" t="s">
        <v>8685</v>
      </c>
    </row>
    <row r="4971">
      <c r="A4971" s="4" t="s">
        <v>9505</v>
      </c>
      <c r="B4971" s="29" t="s">
        <v>8685</v>
      </c>
    </row>
    <row r="4972">
      <c r="A4972" s="4" t="s">
        <v>9506</v>
      </c>
      <c r="B4972" s="29" t="s">
        <v>8685</v>
      </c>
    </row>
    <row r="4973">
      <c r="A4973" s="4" t="s">
        <v>9507</v>
      </c>
      <c r="B4973" s="29" t="s">
        <v>8685</v>
      </c>
    </row>
    <row r="4974">
      <c r="A4974" s="4" t="s">
        <v>9508</v>
      </c>
      <c r="B4974" s="29" t="s">
        <v>8685</v>
      </c>
    </row>
    <row r="4975">
      <c r="A4975" s="4" t="s">
        <v>9509</v>
      </c>
      <c r="B4975" s="29" t="s">
        <v>8685</v>
      </c>
    </row>
    <row r="4976">
      <c r="A4976" s="4" t="s">
        <v>9510</v>
      </c>
      <c r="B4976" s="29" t="s">
        <v>8685</v>
      </c>
    </row>
    <row r="4977">
      <c r="A4977" s="4" t="s">
        <v>9511</v>
      </c>
      <c r="B4977" s="29" t="s">
        <v>8685</v>
      </c>
    </row>
    <row r="4978">
      <c r="A4978" s="4" t="s">
        <v>9512</v>
      </c>
      <c r="B4978" s="29" t="s">
        <v>8685</v>
      </c>
    </row>
    <row r="4979">
      <c r="A4979" s="4" t="s">
        <v>9513</v>
      </c>
      <c r="B4979" s="29" t="s">
        <v>8685</v>
      </c>
    </row>
    <row r="4980">
      <c r="B4980" s="25"/>
    </row>
    <row r="4981">
      <c r="B4981" s="25"/>
    </row>
    <row r="4982">
      <c r="B4982" s="25"/>
    </row>
    <row r="4983">
      <c r="B4983" s="25"/>
    </row>
    <row r="4984">
      <c r="B4984" s="25"/>
    </row>
    <row r="4985">
      <c r="B4985" s="25"/>
    </row>
    <row r="4986">
      <c r="B4986" s="25"/>
    </row>
    <row r="4987">
      <c r="B4987" s="25"/>
    </row>
    <row r="4988">
      <c r="B4988" s="25"/>
    </row>
    <row r="4989">
      <c r="B4989" s="25"/>
    </row>
  </sheetData>
  <mergeCells count="2201"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2:I22"/>
    <mergeCell ref="B23:I23"/>
    <mergeCell ref="B2799:I2799"/>
    <mergeCell ref="B2800:I2800"/>
    <mergeCell ref="B2801:I2801"/>
    <mergeCell ref="B2802:I2802"/>
    <mergeCell ref="B2803:I2803"/>
    <mergeCell ref="B2804:I2804"/>
    <mergeCell ref="B2805:I2805"/>
    <mergeCell ref="B2806:I2806"/>
    <mergeCell ref="B2807:I2807"/>
    <mergeCell ref="B2808:I2808"/>
    <mergeCell ref="B2809:I2809"/>
    <mergeCell ref="B2810:I2810"/>
    <mergeCell ref="B2811:I2811"/>
    <mergeCell ref="B2812:I2812"/>
    <mergeCell ref="B2813:I2813"/>
    <mergeCell ref="B2814:I2814"/>
    <mergeCell ref="B2815:I2815"/>
    <mergeCell ref="B2816:I2816"/>
    <mergeCell ref="B2817:I2817"/>
    <mergeCell ref="B2818:I2818"/>
    <mergeCell ref="B2819:I2819"/>
    <mergeCell ref="B2820:I2820"/>
    <mergeCell ref="B2821:I2821"/>
    <mergeCell ref="B2822:I2822"/>
    <mergeCell ref="B2823:I2823"/>
    <mergeCell ref="B2824:I2824"/>
    <mergeCell ref="B2825:I2825"/>
    <mergeCell ref="B2826:I2826"/>
    <mergeCell ref="B2827:I2827"/>
    <mergeCell ref="B2828:I2828"/>
    <mergeCell ref="B2829:I2829"/>
    <mergeCell ref="B2830:I2830"/>
    <mergeCell ref="B2831:I2831"/>
    <mergeCell ref="B2832:I2832"/>
    <mergeCell ref="B2833:I2833"/>
    <mergeCell ref="B2834:I2834"/>
    <mergeCell ref="B2835:I2835"/>
    <mergeCell ref="B2836:I2836"/>
    <mergeCell ref="B2837:I2837"/>
    <mergeCell ref="B2838:I2838"/>
    <mergeCell ref="B2839:I2839"/>
    <mergeCell ref="B2840:I2840"/>
    <mergeCell ref="B2841:I2841"/>
    <mergeCell ref="B2842:I2842"/>
    <mergeCell ref="B2843:I2843"/>
    <mergeCell ref="B2844:I2844"/>
    <mergeCell ref="B2845:I2845"/>
    <mergeCell ref="B2846:I2846"/>
    <mergeCell ref="B2847:I2847"/>
    <mergeCell ref="B2848:I2848"/>
    <mergeCell ref="B2849:I2849"/>
    <mergeCell ref="B2850:I2850"/>
    <mergeCell ref="B2851:I2851"/>
    <mergeCell ref="B2852:I2852"/>
    <mergeCell ref="B2853:I2853"/>
    <mergeCell ref="B2854:I2854"/>
    <mergeCell ref="B2855:I2855"/>
    <mergeCell ref="B2856:I2856"/>
    <mergeCell ref="B2857:I2857"/>
    <mergeCell ref="B2858:I2858"/>
    <mergeCell ref="B2859:I2859"/>
    <mergeCell ref="B2860:I2860"/>
    <mergeCell ref="B2861:I2861"/>
    <mergeCell ref="B2862:I2862"/>
    <mergeCell ref="B2863:I2863"/>
    <mergeCell ref="B2864:I2864"/>
    <mergeCell ref="B2865:I2865"/>
    <mergeCell ref="B2866:I2866"/>
    <mergeCell ref="B2867:I2867"/>
    <mergeCell ref="B2868:I2868"/>
    <mergeCell ref="B2869:I2869"/>
    <mergeCell ref="B2870:I2870"/>
    <mergeCell ref="B2871:I2871"/>
    <mergeCell ref="B2872:I2872"/>
    <mergeCell ref="B2873:I2873"/>
    <mergeCell ref="B2874:I2874"/>
    <mergeCell ref="B2875:I2875"/>
    <mergeCell ref="B2876:I2876"/>
    <mergeCell ref="B2877:I2877"/>
    <mergeCell ref="B2878:I2878"/>
    <mergeCell ref="B2879:I2879"/>
    <mergeCell ref="B2880:I2880"/>
    <mergeCell ref="B2881:I2881"/>
    <mergeCell ref="B2882:I2882"/>
    <mergeCell ref="B2883:I2883"/>
    <mergeCell ref="B2884:I2884"/>
    <mergeCell ref="B2885:I2885"/>
    <mergeCell ref="B2886:I2886"/>
    <mergeCell ref="B2887:I2887"/>
    <mergeCell ref="B2888:I2888"/>
    <mergeCell ref="B2889:I2889"/>
    <mergeCell ref="B2890:I2890"/>
    <mergeCell ref="B2891:I2891"/>
    <mergeCell ref="B2892:I2892"/>
    <mergeCell ref="B2893:I2893"/>
    <mergeCell ref="B2894:I2894"/>
    <mergeCell ref="B2895:I2895"/>
    <mergeCell ref="B2896:I2896"/>
    <mergeCell ref="B2897:I2897"/>
    <mergeCell ref="B2898:I2898"/>
    <mergeCell ref="B2899:I2899"/>
    <mergeCell ref="B2900:I2900"/>
    <mergeCell ref="B2901:I2901"/>
    <mergeCell ref="B2902:I2902"/>
    <mergeCell ref="B2903:I2903"/>
    <mergeCell ref="B2904:I2904"/>
    <mergeCell ref="B2905:I2905"/>
    <mergeCell ref="B2906:I2906"/>
    <mergeCell ref="B2907:I2907"/>
    <mergeCell ref="B2908:I2908"/>
    <mergeCell ref="B2909:I2909"/>
    <mergeCell ref="B2910:I2910"/>
    <mergeCell ref="B2911:I2911"/>
    <mergeCell ref="B2912:I2912"/>
    <mergeCell ref="B2913:I2913"/>
    <mergeCell ref="B2914:I2914"/>
    <mergeCell ref="B2915:I2915"/>
    <mergeCell ref="B2916:I2916"/>
    <mergeCell ref="B2917:I2917"/>
    <mergeCell ref="B2918:I2918"/>
    <mergeCell ref="B2919:I2919"/>
    <mergeCell ref="B2920:I2920"/>
    <mergeCell ref="B2921:I2921"/>
    <mergeCell ref="B2922:I2922"/>
    <mergeCell ref="B2923:I2923"/>
    <mergeCell ref="B2924:I2924"/>
    <mergeCell ref="B2925:I2925"/>
    <mergeCell ref="B2926:I2926"/>
    <mergeCell ref="B2927:I2927"/>
    <mergeCell ref="B2928:I2928"/>
    <mergeCell ref="B2929:I2929"/>
    <mergeCell ref="B2930:I2930"/>
    <mergeCell ref="B2931:I2931"/>
    <mergeCell ref="B2932:I2932"/>
    <mergeCell ref="B2933:I2933"/>
    <mergeCell ref="B2934:I2934"/>
    <mergeCell ref="B2935:I2935"/>
    <mergeCell ref="B2936:I2936"/>
    <mergeCell ref="B2937:I2937"/>
    <mergeCell ref="B2938:I2938"/>
    <mergeCell ref="B2939:I2939"/>
    <mergeCell ref="B2940:I2940"/>
    <mergeCell ref="B2941:I2941"/>
    <mergeCell ref="B2942:I2942"/>
    <mergeCell ref="B2943:I2943"/>
    <mergeCell ref="B2944:I2944"/>
    <mergeCell ref="B2945:I2945"/>
    <mergeCell ref="B2946:I2946"/>
    <mergeCell ref="B2947:I2947"/>
    <mergeCell ref="B2948:I2948"/>
    <mergeCell ref="B2949:I2949"/>
    <mergeCell ref="B2950:I2950"/>
    <mergeCell ref="B2951:I2951"/>
    <mergeCell ref="B2952:I2952"/>
    <mergeCell ref="B2953:I2953"/>
    <mergeCell ref="B2954:I2954"/>
    <mergeCell ref="B2955:I2955"/>
    <mergeCell ref="B2956:I2956"/>
    <mergeCell ref="B2957:I2957"/>
    <mergeCell ref="B2958:I2958"/>
    <mergeCell ref="B2959:I2959"/>
    <mergeCell ref="B2960:I2960"/>
    <mergeCell ref="B2961:I2961"/>
    <mergeCell ref="B2962:I2962"/>
    <mergeCell ref="B2963:I2963"/>
    <mergeCell ref="B2964:I2964"/>
    <mergeCell ref="B2965:I2965"/>
    <mergeCell ref="B2966:I2966"/>
    <mergeCell ref="B2967:I2967"/>
    <mergeCell ref="B2968:I2968"/>
    <mergeCell ref="B2969:I2969"/>
    <mergeCell ref="B2970:I2970"/>
    <mergeCell ref="B2971:I2971"/>
    <mergeCell ref="B2972:I2972"/>
    <mergeCell ref="B2973:I2973"/>
    <mergeCell ref="B2974:I2974"/>
    <mergeCell ref="B2975:I2975"/>
    <mergeCell ref="B2976:I2976"/>
    <mergeCell ref="B2977:I2977"/>
    <mergeCell ref="B2978:I2978"/>
    <mergeCell ref="B2979:I2979"/>
    <mergeCell ref="B2980:I2980"/>
    <mergeCell ref="B2981:I2981"/>
    <mergeCell ref="B2982:I2982"/>
    <mergeCell ref="B2983:I2983"/>
    <mergeCell ref="B2984:I2984"/>
    <mergeCell ref="B2985:I2985"/>
    <mergeCell ref="B2986:I2986"/>
    <mergeCell ref="B2987:I2987"/>
    <mergeCell ref="B2988:I2988"/>
    <mergeCell ref="B2989:I2989"/>
    <mergeCell ref="B2990:I2990"/>
    <mergeCell ref="B2991:I2991"/>
    <mergeCell ref="B2992:I2992"/>
    <mergeCell ref="B2993:I2993"/>
    <mergeCell ref="B2994:I2994"/>
    <mergeCell ref="B2995:I2995"/>
    <mergeCell ref="B2996:I2996"/>
    <mergeCell ref="B2997:I2997"/>
    <mergeCell ref="B2998:I2998"/>
    <mergeCell ref="B2999:I2999"/>
    <mergeCell ref="B3000:I3000"/>
    <mergeCell ref="B3001:I3001"/>
    <mergeCell ref="B3002:I3002"/>
    <mergeCell ref="B3003:I3003"/>
    <mergeCell ref="B3004:I3004"/>
    <mergeCell ref="B3005:I3005"/>
    <mergeCell ref="B3006:I3006"/>
    <mergeCell ref="B3007:I3007"/>
    <mergeCell ref="B3008:I3008"/>
    <mergeCell ref="B3009:I3009"/>
    <mergeCell ref="B3010:I3010"/>
    <mergeCell ref="B3011:I3011"/>
    <mergeCell ref="B3012:I3012"/>
    <mergeCell ref="B3013:I3013"/>
    <mergeCell ref="B3014:I3014"/>
    <mergeCell ref="B3015:I3015"/>
    <mergeCell ref="B3016:I3016"/>
    <mergeCell ref="B3017:I3017"/>
    <mergeCell ref="B3018:I3018"/>
    <mergeCell ref="B3019:I3019"/>
    <mergeCell ref="B3020:I3020"/>
    <mergeCell ref="B3021:I3021"/>
    <mergeCell ref="B3022:I3022"/>
    <mergeCell ref="B3023:I3023"/>
    <mergeCell ref="B3024:I3024"/>
    <mergeCell ref="B3025:I3025"/>
    <mergeCell ref="B3026:I3026"/>
    <mergeCell ref="B3027:I3027"/>
    <mergeCell ref="B3028:I3028"/>
    <mergeCell ref="B3029:I3029"/>
    <mergeCell ref="B3030:I3030"/>
    <mergeCell ref="B3031:I3031"/>
    <mergeCell ref="B3032:I3032"/>
    <mergeCell ref="B3033:I3033"/>
    <mergeCell ref="B3034:I3034"/>
    <mergeCell ref="B3035:I3035"/>
    <mergeCell ref="B3036:I3036"/>
    <mergeCell ref="B3037:I3037"/>
    <mergeCell ref="B3038:I3038"/>
    <mergeCell ref="B3039:I3039"/>
    <mergeCell ref="B3040:I3040"/>
    <mergeCell ref="B3041:I3041"/>
    <mergeCell ref="B3042:I3042"/>
    <mergeCell ref="B3043:I3043"/>
    <mergeCell ref="B3044:I3044"/>
    <mergeCell ref="B3045:I3045"/>
    <mergeCell ref="B3046:I3046"/>
    <mergeCell ref="B3047:I3047"/>
    <mergeCell ref="B3048:I3048"/>
    <mergeCell ref="B3049:I3049"/>
    <mergeCell ref="B3050:I3050"/>
    <mergeCell ref="B3051:I3051"/>
    <mergeCell ref="B3052:I3052"/>
    <mergeCell ref="B3053:I3053"/>
    <mergeCell ref="B3054:I3054"/>
    <mergeCell ref="B3055:I3055"/>
    <mergeCell ref="B3056:I3056"/>
    <mergeCell ref="B3057:I3057"/>
    <mergeCell ref="B3058:I3058"/>
    <mergeCell ref="B3059:I3059"/>
    <mergeCell ref="B3060:I3060"/>
    <mergeCell ref="B3061:I3061"/>
    <mergeCell ref="B3062:I3062"/>
    <mergeCell ref="B3063:I3063"/>
    <mergeCell ref="B3064:I3064"/>
    <mergeCell ref="B3065:I3065"/>
    <mergeCell ref="B3066:I3066"/>
    <mergeCell ref="B3067:I3067"/>
    <mergeCell ref="B3068:I3068"/>
    <mergeCell ref="B3069:I3069"/>
    <mergeCell ref="B3070:I3070"/>
    <mergeCell ref="B3071:I3071"/>
    <mergeCell ref="B3072:I3072"/>
    <mergeCell ref="B3073:I3073"/>
    <mergeCell ref="B3074:I3074"/>
    <mergeCell ref="B3075:I3075"/>
    <mergeCell ref="B3076:I3076"/>
    <mergeCell ref="B3077:I3077"/>
    <mergeCell ref="B3078:I3078"/>
    <mergeCell ref="B3079:I3079"/>
    <mergeCell ref="B3080:I3080"/>
    <mergeCell ref="B3081:I3081"/>
    <mergeCell ref="B3082:I3082"/>
    <mergeCell ref="B3083:I3083"/>
    <mergeCell ref="B3084:I3084"/>
    <mergeCell ref="B3085:I3085"/>
    <mergeCell ref="B3086:I3086"/>
    <mergeCell ref="B3087:I3087"/>
    <mergeCell ref="B3088:I3088"/>
    <mergeCell ref="B3089:I3089"/>
    <mergeCell ref="B3090:I3090"/>
    <mergeCell ref="B3091:I3091"/>
    <mergeCell ref="B3092:I3092"/>
    <mergeCell ref="B3093:I3093"/>
    <mergeCell ref="B3094:I3094"/>
    <mergeCell ref="B3095:I3095"/>
    <mergeCell ref="B3096:I3096"/>
    <mergeCell ref="B3097:I3097"/>
    <mergeCell ref="B3098:I3098"/>
    <mergeCell ref="B3099:I3099"/>
    <mergeCell ref="B3100:I3100"/>
    <mergeCell ref="B3101:I3101"/>
    <mergeCell ref="B3102:I3102"/>
    <mergeCell ref="B3103:I3103"/>
    <mergeCell ref="B3104:I3104"/>
    <mergeCell ref="B3105:I3105"/>
    <mergeCell ref="B3106:I3106"/>
    <mergeCell ref="B3107:I3107"/>
    <mergeCell ref="B3108:I3108"/>
    <mergeCell ref="B3109:I3109"/>
    <mergeCell ref="B3110:I3110"/>
    <mergeCell ref="B3111:I3111"/>
    <mergeCell ref="B3112:I3112"/>
    <mergeCell ref="B3113:I3113"/>
    <mergeCell ref="B3114:I3114"/>
    <mergeCell ref="B3115:I3115"/>
    <mergeCell ref="B3116:I3116"/>
    <mergeCell ref="B3117:I3117"/>
    <mergeCell ref="B3118:I3118"/>
    <mergeCell ref="B3119:I3119"/>
    <mergeCell ref="B3120:I3120"/>
    <mergeCell ref="B3121:I3121"/>
    <mergeCell ref="B3122:I3122"/>
    <mergeCell ref="B3123:I3123"/>
    <mergeCell ref="B3124:I3124"/>
    <mergeCell ref="B3125:I3125"/>
    <mergeCell ref="B3126:I3126"/>
    <mergeCell ref="B3127:I3127"/>
    <mergeCell ref="B3128:I3128"/>
    <mergeCell ref="B3129:I3129"/>
    <mergeCell ref="B3130:I3130"/>
    <mergeCell ref="B3131:I3131"/>
    <mergeCell ref="B3132:I3132"/>
    <mergeCell ref="B3133:I3133"/>
    <mergeCell ref="B3134:I3134"/>
    <mergeCell ref="B3135:I3135"/>
    <mergeCell ref="B3136:I3136"/>
    <mergeCell ref="B3137:I3137"/>
    <mergeCell ref="B3138:I3138"/>
    <mergeCell ref="B3139:I3139"/>
    <mergeCell ref="B3140:I3140"/>
    <mergeCell ref="B3141:I3141"/>
    <mergeCell ref="B3142:I3142"/>
    <mergeCell ref="B3143:I3143"/>
    <mergeCell ref="B3144:I3144"/>
    <mergeCell ref="B3145:I3145"/>
    <mergeCell ref="B3146:I3146"/>
    <mergeCell ref="B3147:I3147"/>
    <mergeCell ref="B3148:I3148"/>
    <mergeCell ref="B3149:I3149"/>
    <mergeCell ref="B3150:I3150"/>
    <mergeCell ref="B3151:I3151"/>
    <mergeCell ref="B3152:I3152"/>
    <mergeCell ref="B3153:I3153"/>
    <mergeCell ref="B3154:I3154"/>
    <mergeCell ref="B3155:I3155"/>
    <mergeCell ref="B3156:I3156"/>
    <mergeCell ref="B3157:I3157"/>
    <mergeCell ref="B3158:I3158"/>
    <mergeCell ref="B3159:I3159"/>
    <mergeCell ref="B3160:I3160"/>
    <mergeCell ref="B3161:I3161"/>
    <mergeCell ref="B3162:I3162"/>
    <mergeCell ref="B3163:I3163"/>
    <mergeCell ref="B3164:I3164"/>
    <mergeCell ref="B3165:I3165"/>
    <mergeCell ref="B3166:I3166"/>
    <mergeCell ref="B3167:I3167"/>
    <mergeCell ref="B3168:I3168"/>
    <mergeCell ref="B3169:I3169"/>
    <mergeCell ref="B3170:I3170"/>
    <mergeCell ref="B3171:I3171"/>
    <mergeCell ref="B3172:I3172"/>
    <mergeCell ref="B3173:I3173"/>
    <mergeCell ref="B3174:I3174"/>
    <mergeCell ref="B3175:I3175"/>
    <mergeCell ref="B3176:I3176"/>
    <mergeCell ref="B3177:I3177"/>
    <mergeCell ref="B3178:I3178"/>
    <mergeCell ref="B3179:I3179"/>
    <mergeCell ref="B3180:I3180"/>
    <mergeCell ref="B3181:I3181"/>
    <mergeCell ref="B3182:I3182"/>
    <mergeCell ref="B3183:I3183"/>
    <mergeCell ref="B3184:I3184"/>
    <mergeCell ref="B3185:I3185"/>
    <mergeCell ref="B3186:I3186"/>
    <mergeCell ref="B3187:I3187"/>
    <mergeCell ref="B3188:I3188"/>
    <mergeCell ref="B3189:I3189"/>
    <mergeCell ref="B3190:I3190"/>
    <mergeCell ref="B3191:I3191"/>
    <mergeCell ref="B3192:I3192"/>
    <mergeCell ref="B3193:I3193"/>
    <mergeCell ref="B3194:I3194"/>
    <mergeCell ref="B3195:I3195"/>
    <mergeCell ref="B3196:I3196"/>
    <mergeCell ref="B3197:I3197"/>
    <mergeCell ref="B3198:I3198"/>
    <mergeCell ref="B3199:I3199"/>
    <mergeCell ref="B3200:I3200"/>
    <mergeCell ref="B3201:I3201"/>
    <mergeCell ref="B3202:I3202"/>
    <mergeCell ref="B3203:I3203"/>
    <mergeCell ref="B3204:I3204"/>
    <mergeCell ref="B3205:I3205"/>
    <mergeCell ref="B3206:I3206"/>
    <mergeCell ref="B3207:I3207"/>
    <mergeCell ref="B3208:I3208"/>
    <mergeCell ref="B3209:I3209"/>
    <mergeCell ref="B3210:I3210"/>
    <mergeCell ref="B3211:I3211"/>
    <mergeCell ref="B3212:I3212"/>
    <mergeCell ref="B3213:I3213"/>
    <mergeCell ref="B3214:I3214"/>
    <mergeCell ref="B3215:I3215"/>
    <mergeCell ref="B3216:I3216"/>
    <mergeCell ref="B3217:I3217"/>
    <mergeCell ref="B3218:I3218"/>
    <mergeCell ref="B3219:I3219"/>
    <mergeCell ref="B3220:I3220"/>
    <mergeCell ref="B3221:I3221"/>
    <mergeCell ref="B3222:I3222"/>
    <mergeCell ref="B3223:I3223"/>
    <mergeCell ref="B3224:I3224"/>
    <mergeCell ref="B3225:I3225"/>
    <mergeCell ref="B3226:I3226"/>
    <mergeCell ref="B3227:I3227"/>
    <mergeCell ref="B3228:I3228"/>
    <mergeCell ref="B3229:I3229"/>
    <mergeCell ref="B3230:I3230"/>
    <mergeCell ref="B3231:I3231"/>
    <mergeCell ref="B3232:I3232"/>
    <mergeCell ref="B3233:I3233"/>
    <mergeCell ref="B3234:I3234"/>
    <mergeCell ref="B3235:I3235"/>
    <mergeCell ref="B3236:I3236"/>
    <mergeCell ref="B3237:I3237"/>
    <mergeCell ref="B3238:I3238"/>
    <mergeCell ref="B3239:I3239"/>
    <mergeCell ref="B3240:I3240"/>
    <mergeCell ref="B3241:I3241"/>
    <mergeCell ref="B3242:I3242"/>
    <mergeCell ref="B3243:I3243"/>
    <mergeCell ref="B3244:I3244"/>
    <mergeCell ref="B3245:I3245"/>
    <mergeCell ref="B3246:I3246"/>
    <mergeCell ref="B3247:I3247"/>
    <mergeCell ref="B3248:I3248"/>
    <mergeCell ref="B3249:I3249"/>
    <mergeCell ref="B3250:I3250"/>
    <mergeCell ref="B3251:I3251"/>
    <mergeCell ref="B3252:I3252"/>
    <mergeCell ref="B3253:I3253"/>
    <mergeCell ref="B3254:I3254"/>
    <mergeCell ref="B3255:I3255"/>
    <mergeCell ref="B3256:I3256"/>
    <mergeCell ref="B3257:I3257"/>
    <mergeCell ref="B3258:I3258"/>
    <mergeCell ref="B3259:I3259"/>
    <mergeCell ref="B3260:I3260"/>
    <mergeCell ref="B3261:I3261"/>
    <mergeCell ref="B3262:I3262"/>
    <mergeCell ref="B3263:I3263"/>
    <mergeCell ref="B3264:I3264"/>
    <mergeCell ref="B3265:I3265"/>
    <mergeCell ref="B3266:I3266"/>
    <mergeCell ref="B3267:I3267"/>
    <mergeCell ref="B3268:I3268"/>
    <mergeCell ref="B3269:I3269"/>
    <mergeCell ref="B3270:I3270"/>
    <mergeCell ref="B3271:I3271"/>
    <mergeCell ref="B3272:I3272"/>
    <mergeCell ref="B3273:I3273"/>
    <mergeCell ref="B3274:I3274"/>
    <mergeCell ref="B3275:I3275"/>
    <mergeCell ref="B3276:I3276"/>
    <mergeCell ref="B3277:I3277"/>
    <mergeCell ref="B3278:I3278"/>
    <mergeCell ref="B3279:I3279"/>
    <mergeCell ref="B3280:I3280"/>
    <mergeCell ref="B3281:I3281"/>
    <mergeCell ref="B3282:I3282"/>
    <mergeCell ref="B3283:I3283"/>
    <mergeCell ref="B3284:I3284"/>
    <mergeCell ref="B3285:I3285"/>
    <mergeCell ref="B3286:I3286"/>
    <mergeCell ref="B3287:I3287"/>
    <mergeCell ref="B3288:I3288"/>
    <mergeCell ref="B3289:I3289"/>
    <mergeCell ref="B3290:I3290"/>
    <mergeCell ref="B3291:I3291"/>
    <mergeCell ref="B3292:I3292"/>
    <mergeCell ref="B3293:I3293"/>
    <mergeCell ref="B3294:I3294"/>
    <mergeCell ref="B3295:I3295"/>
    <mergeCell ref="B3296:I3296"/>
    <mergeCell ref="B3297:I3297"/>
    <mergeCell ref="B3298:I3298"/>
    <mergeCell ref="B3299:I3299"/>
    <mergeCell ref="B3300:I3300"/>
    <mergeCell ref="B3301:I3301"/>
    <mergeCell ref="B3302:I3302"/>
    <mergeCell ref="B3303:I3303"/>
    <mergeCell ref="B3304:I3304"/>
    <mergeCell ref="B3305:I3305"/>
    <mergeCell ref="B3306:I3306"/>
    <mergeCell ref="B3307:I3307"/>
    <mergeCell ref="B3308:I3308"/>
    <mergeCell ref="B3309:I3309"/>
    <mergeCell ref="B3310:I3310"/>
    <mergeCell ref="B3311:I3311"/>
    <mergeCell ref="B3312:I3312"/>
    <mergeCell ref="B3313:I3313"/>
    <mergeCell ref="B3314:I3314"/>
    <mergeCell ref="B3315:I3315"/>
    <mergeCell ref="B3316:I3316"/>
    <mergeCell ref="B3317:I3317"/>
    <mergeCell ref="B3318:I3318"/>
    <mergeCell ref="B3319:I3319"/>
    <mergeCell ref="B3320:I3320"/>
    <mergeCell ref="B3321:I3321"/>
    <mergeCell ref="B3322:I3322"/>
    <mergeCell ref="B3323:I3323"/>
    <mergeCell ref="B3324:I3324"/>
    <mergeCell ref="B3325:I3325"/>
    <mergeCell ref="B3326:I3326"/>
    <mergeCell ref="B3327:I3327"/>
    <mergeCell ref="B3328:I3328"/>
    <mergeCell ref="B3329:I3329"/>
    <mergeCell ref="B3330:I3330"/>
    <mergeCell ref="B3331:I3331"/>
    <mergeCell ref="B3332:I3332"/>
    <mergeCell ref="B3333:I3333"/>
    <mergeCell ref="B3334:I3334"/>
    <mergeCell ref="B3335:I3335"/>
    <mergeCell ref="B3336:I3336"/>
    <mergeCell ref="B3337:I3337"/>
    <mergeCell ref="B3338:I3338"/>
    <mergeCell ref="B3339:I3339"/>
    <mergeCell ref="B3340:I3340"/>
    <mergeCell ref="B3341:I3341"/>
    <mergeCell ref="B3342:I3342"/>
    <mergeCell ref="B3343:I3343"/>
    <mergeCell ref="B3344:I3344"/>
    <mergeCell ref="B3345:I3345"/>
    <mergeCell ref="B3346:I3346"/>
    <mergeCell ref="B3347:I3347"/>
    <mergeCell ref="B3348:I3348"/>
    <mergeCell ref="B3349:I3349"/>
    <mergeCell ref="B3350:I3350"/>
    <mergeCell ref="B3351:I3351"/>
    <mergeCell ref="B3352:I3352"/>
    <mergeCell ref="B3353:I3353"/>
    <mergeCell ref="B3354:I3354"/>
    <mergeCell ref="B3355:I3355"/>
    <mergeCell ref="B3356:I3356"/>
    <mergeCell ref="B3357:I3357"/>
    <mergeCell ref="B3358:I3358"/>
    <mergeCell ref="B3359:I3359"/>
    <mergeCell ref="B3360:I3360"/>
    <mergeCell ref="B3361:I3361"/>
    <mergeCell ref="B3362:I3362"/>
    <mergeCell ref="B3363:I3363"/>
    <mergeCell ref="B3364:I3364"/>
    <mergeCell ref="B3365:I3365"/>
    <mergeCell ref="B3366:I3366"/>
    <mergeCell ref="B3367:I3367"/>
    <mergeCell ref="B3368:I3368"/>
    <mergeCell ref="B3369:I3369"/>
    <mergeCell ref="B3370:I3370"/>
    <mergeCell ref="B3371:I3371"/>
    <mergeCell ref="B3372:I3372"/>
    <mergeCell ref="B3373:I3373"/>
    <mergeCell ref="B3374:I3374"/>
    <mergeCell ref="B3375:I3375"/>
    <mergeCell ref="B3376:I3376"/>
    <mergeCell ref="B3377:I3377"/>
    <mergeCell ref="B3378:I3378"/>
    <mergeCell ref="B3379:I3379"/>
    <mergeCell ref="B3380:I3380"/>
    <mergeCell ref="B3381:I3381"/>
    <mergeCell ref="B3382:I3382"/>
    <mergeCell ref="B3383:I3383"/>
    <mergeCell ref="B3384:I3384"/>
    <mergeCell ref="B3385:I3385"/>
    <mergeCell ref="B3386:I3386"/>
    <mergeCell ref="B3387:I3387"/>
    <mergeCell ref="B3388:I3388"/>
    <mergeCell ref="B3389:I3389"/>
    <mergeCell ref="B3390:I3390"/>
    <mergeCell ref="B3391:I3391"/>
    <mergeCell ref="B3392:I3392"/>
    <mergeCell ref="B3393:I3393"/>
    <mergeCell ref="B3394:I3394"/>
    <mergeCell ref="B3395:I3395"/>
    <mergeCell ref="B3396:I3396"/>
    <mergeCell ref="B3397:I3397"/>
    <mergeCell ref="B3398:I3398"/>
    <mergeCell ref="B3399:I3399"/>
    <mergeCell ref="B3400:I3400"/>
    <mergeCell ref="B3401:I3401"/>
    <mergeCell ref="B3402:I3402"/>
    <mergeCell ref="B3403:I3403"/>
    <mergeCell ref="B3404:I3404"/>
    <mergeCell ref="B3405:I3405"/>
    <mergeCell ref="B3406:I3406"/>
    <mergeCell ref="B3407:I3407"/>
    <mergeCell ref="B3408:I3408"/>
    <mergeCell ref="B3409:I3409"/>
    <mergeCell ref="B3410:I3410"/>
    <mergeCell ref="B3411:I3411"/>
    <mergeCell ref="B3412:I3412"/>
    <mergeCell ref="B3413:I3413"/>
    <mergeCell ref="B3414:I3414"/>
    <mergeCell ref="B3415:I3415"/>
    <mergeCell ref="B3416:I3416"/>
    <mergeCell ref="B3417:I3417"/>
    <mergeCell ref="B3418:I3418"/>
    <mergeCell ref="B3419:I3419"/>
    <mergeCell ref="B3420:I3420"/>
    <mergeCell ref="B3421:I3421"/>
    <mergeCell ref="B3422:I3422"/>
    <mergeCell ref="B3423:I3423"/>
    <mergeCell ref="B3424:I3424"/>
    <mergeCell ref="B3425:I3425"/>
    <mergeCell ref="B3426:I3426"/>
    <mergeCell ref="B3427:I3427"/>
    <mergeCell ref="B3428:I3428"/>
    <mergeCell ref="B3429:I3429"/>
    <mergeCell ref="B3430:I3430"/>
    <mergeCell ref="B3431:I3431"/>
    <mergeCell ref="B3432:I3432"/>
    <mergeCell ref="B3433:I3433"/>
    <mergeCell ref="B3434:I3434"/>
    <mergeCell ref="B3435:I3435"/>
    <mergeCell ref="B3436:I3436"/>
    <mergeCell ref="B3437:I3437"/>
    <mergeCell ref="B3438:I3438"/>
    <mergeCell ref="B3439:I3439"/>
    <mergeCell ref="B3440:I3440"/>
    <mergeCell ref="B3441:I3441"/>
    <mergeCell ref="B3442:I3442"/>
    <mergeCell ref="B3443:I3443"/>
    <mergeCell ref="B3444:I3444"/>
    <mergeCell ref="B3445:I3445"/>
    <mergeCell ref="B3446:I3446"/>
    <mergeCell ref="B3447:I3447"/>
    <mergeCell ref="B3448:I3448"/>
    <mergeCell ref="B3449:I3449"/>
    <mergeCell ref="B3450:I3450"/>
    <mergeCell ref="B3451:I3451"/>
    <mergeCell ref="B3452:I3452"/>
    <mergeCell ref="B3453:I3453"/>
    <mergeCell ref="B3454:I3454"/>
    <mergeCell ref="B3455:I3455"/>
    <mergeCell ref="B3456:I3456"/>
    <mergeCell ref="B3457:I3457"/>
    <mergeCell ref="B3458:I3458"/>
    <mergeCell ref="B3459:I3459"/>
    <mergeCell ref="B3460:I3460"/>
    <mergeCell ref="B3461:I3461"/>
    <mergeCell ref="B3462:I3462"/>
    <mergeCell ref="B3463:I3463"/>
    <mergeCell ref="B3464:I3464"/>
    <mergeCell ref="B3465:I3465"/>
    <mergeCell ref="B3466:I3466"/>
    <mergeCell ref="B3467:I3467"/>
    <mergeCell ref="B3468:I3468"/>
    <mergeCell ref="B3469:I3469"/>
    <mergeCell ref="B3470:I3470"/>
    <mergeCell ref="B3471:I3471"/>
    <mergeCell ref="B3472:I3472"/>
    <mergeCell ref="B3473:I3473"/>
    <mergeCell ref="B3474:I3474"/>
    <mergeCell ref="B3475:I3475"/>
    <mergeCell ref="B3476:I3476"/>
    <mergeCell ref="B3477:I3477"/>
    <mergeCell ref="B3478:I3478"/>
    <mergeCell ref="B3479:I3479"/>
    <mergeCell ref="B3480:I3480"/>
    <mergeCell ref="B3481:I3481"/>
    <mergeCell ref="B3482:I3482"/>
    <mergeCell ref="B3483:I3483"/>
    <mergeCell ref="B3484:I3484"/>
    <mergeCell ref="B3485:I3485"/>
    <mergeCell ref="B3486:I3486"/>
    <mergeCell ref="B3487:I3487"/>
    <mergeCell ref="B3488:I3488"/>
    <mergeCell ref="B3489:I3489"/>
    <mergeCell ref="B3490:I3490"/>
    <mergeCell ref="B3491:I3491"/>
    <mergeCell ref="B3492:I3492"/>
    <mergeCell ref="B3493:I3493"/>
    <mergeCell ref="B3494:I3494"/>
    <mergeCell ref="B3495:I3495"/>
    <mergeCell ref="B3496:I3496"/>
    <mergeCell ref="B3497:I3497"/>
    <mergeCell ref="B3498:I3498"/>
    <mergeCell ref="B3499:I3499"/>
    <mergeCell ref="B3500:I3500"/>
    <mergeCell ref="B3501:I3501"/>
    <mergeCell ref="B3502:I3502"/>
    <mergeCell ref="B3503:I3503"/>
    <mergeCell ref="B3504:I3504"/>
    <mergeCell ref="B3505:I3505"/>
    <mergeCell ref="B3506:I3506"/>
    <mergeCell ref="B3507:I3507"/>
    <mergeCell ref="B3508:I3508"/>
    <mergeCell ref="B3509:I3509"/>
    <mergeCell ref="B3510:I3510"/>
    <mergeCell ref="B3511:I3511"/>
    <mergeCell ref="B3512:I3512"/>
    <mergeCell ref="B3513:I3513"/>
    <mergeCell ref="B3514:I3514"/>
    <mergeCell ref="B3515:I3515"/>
    <mergeCell ref="B3516:I3516"/>
    <mergeCell ref="B3517:I3517"/>
    <mergeCell ref="B3518:I3518"/>
    <mergeCell ref="B3519:I3519"/>
    <mergeCell ref="B3520:I3520"/>
    <mergeCell ref="B3521:I3521"/>
    <mergeCell ref="B3522:I3522"/>
    <mergeCell ref="B3523:I3523"/>
    <mergeCell ref="B3524:I3524"/>
    <mergeCell ref="B3525:I3525"/>
    <mergeCell ref="B3526:I3526"/>
    <mergeCell ref="B3527:I3527"/>
    <mergeCell ref="B3528:I3528"/>
    <mergeCell ref="B3529:I3529"/>
    <mergeCell ref="B3530:I3530"/>
    <mergeCell ref="B3531:I3531"/>
    <mergeCell ref="B3532:I3532"/>
    <mergeCell ref="B3533:I3533"/>
    <mergeCell ref="B3534:I3534"/>
    <mergeCell ref="B3535:I3535"/>
    <mergeCell ref="B3536:I3536"/>
    <mergeCell ref="B3537:I3537"/>
    <mergeCell ref="B3538:I3538"/>
    <mergeCell ref="B3539:I3539"/>
    <mergeCell ref="B3540:I3540"/>
    <mergeCell ref="B3541:I3541"/>
    <mergeCell ref="B3542:I3542"/>
    <mergeCell ref="B3543:I3543"/>
    <mergeCell ref="B3544:I3544"/>
    <mergeCell ref="B3545:I3545"/>
    <mergeCell ref="B3546:I3546"/>
    <mergeCell ref="B3547:I3547"/>
    <mergeCell ref="B3548:I3548"/>
    <mergeCell ref="B3549:I3549"/>
    <mergeCell ref="B3550:I3550"/>
    <mergeCell ref="B3551:I3551"/>
    <mergeCell ref="B3552:I3552"/>
    <mergeCell ref="B3553:I3553"/>
    <mergeCell ref="B3554:I3554"/>
    <mergeCell ref="B3555:I3555"/>
    <mergeCell ref="B3556:I3556"/>
    <mergeCell ref="B3557:I3557"/>
    <mergeCell ref="B3558:I3558"/>
    <mergeCell ref="B3559:I3559"/>
    <mergeCell ref="B3560:I3560"/>
    <mergeCell ref="B3561:I3561"/>
    <mergeCell ref="B3562:I3562"/>
    <mergeCell ref="B3563:I3563"/>
    <mergeCell ref="B3564:I3564"/>
    <mergeCell ref="B3565:I3565"/>
    <mergeCell ref="B3566:I3566"/>
    <mergeCell ref="B3567:I3567"/>
    <mergeCell ref="B3568:I3568"/>
    <mergeCell ref="B3569:I3569"/>
    <mergeCell ref="B3570:I3570"/>
    <mergeCell ref="B3571:I3571"/>
    <mergeCell ref="B3572:I3572"/>
    <mergeCell ref="B3573:I3573"/>
    <mergeCell ref="B3574:I3574"/>
    <mergeCell ref="B3575:I3575"/>
    <mergeCell ref="B3576:I3576"/>
    <mergeCell ref="B3577:I3577"/>
    <mergeCell ref="B3578:I3578"/>
    <mergeCell ref="B3579:I3579"/>
    <mergeCell ref="B3580:I3580"/>
    <mergeCell ref="B3581:I3581"/>
    <mergeCell ref="B3582:I3582"/>
    <mergeCell ref="B3583:I3583"/>
    <mergeCell ref="B3584:I3584"/>
    <mergeCell ref="B3585:I3585"/>
    <mergeCell ref="B3586:I3586"/>
    <mergeCell ref="B3587:I3587"/>
    <mergeCell ref="B3588:I3588"/>
    <mergeCell ref="B3589:I3589"/>
    <mergeCell ref="B3590:I3590"/>
    <mergeCell ref="B3591:I3591"/>
    <mergeCell ref="B3592:I3592"/>
    <mergeCell ref="B3593:I3593"/>
    <mergeCell ref="B3594:I3594"/>
    <mergeCell ref="B3595:I3595"/>
    <mergeCell ref="B3596:I3596"/>
    <mergeCell ref="B3597:I3597"/>
    <mergeCell ref="B3598:I3598"/>
    <mergeCell ref="B3599:I3599"/>
    <mergeCell ref="B3600:I3600"/>
    <mergeCell ref="B3601:I3601"/>
    <mergeCell ref="B3602:I3602"/>
    <mergeCell ref="B3603:I3603"/>
    <mergeCell ref="B3604:I3604"/>
    <mergeCell ref="B3605:I3605"/>
    <mergeCell ref="B3606:I3606"/>
    <mergeCell ref="B3607:I3607"/>
    <mergeCell ref="B3608:I3608"/>
    <mergeCell ref="B3609:I3609"/>
    <mergeCell ref="B3610:I3610"/>
    <mergeCell ref="B3611:I3611"/>
    <mergeCell ref="B3612:I3612"/>
    <mergeCell ref="B3613:I3613"/>
    <mergeCell ref="B3614:I3614"/>
    <mergeCell ref="B3615:I3615"/>
    <mergeCell ref="B3616:I3616"/>
    <mergeCell ref="B3617:I3617"/>
    <mergeCell ref="B3618:I3618"/>
    <mergeCell ref="B3619:I3619"/>
    <mergeCell ref="B3620:I3620"/>
    <mergeCell ref="B3621:I3621"/>
    <mergeCell ref="B3622:I3622"/>
    <mergeCell ref="B3623:I3623"/>
    <mergeCell ref="B3624:I3624"/>
    <mergeCell ref="B3625:I3625"/>
    <mergeCell ref="B3626:I3626"/>
    <mergeCell ref="B3627:I3627"/>
    <mergeCell ref="B3628:I3628"/>
    <mergeCell ref="B3629:I3629"/>
    <mergeCell ref="B3630:I3630"/>
    <mergeCell ref="B3631:I3631"/>
    <mergeCell ref="B3632:I3632"/>
    <mergeCell ref="B3633:I3633"/>
    <mergeCell ref="B3634:I3634"/>
    <mergeCell ref="B3635:I3635"/>
    <mergeCell ref="B3636:I3636"/>
    <mergeCell ref="B3637:I3637"/>
    <mergeCell ref="B3638:I3638"/>
    <mergeCell ref="B3639:I3639"/>
    <mergeCell ref="B3640:I3640"/>
    <mergeCell ref="B3641:I3641"/>
    <mergeCell ref="B3642:I3642"/>
    <mergeCell ref="B3643:I3643"/>
    <mergeCell ref="B3644:I3644"/>
    <mergeCell ref="B3645:I3645"/>
    <mergeCell ref="B3646:I3646"/>
    <mergeCell ref="B3647:I3647"/>
    <mergeCell ref="B3648:I3648"/>
    <mergeCell ref="B3649:I3649"/>
    <mergeCell ref="B3650:I3650"/>
    <mergeCell ref="B3651:I3651"/>
    <mergeCell ref="B3652:I3652"/>
    <mergeCell ref="B3653:I3653"/>
    <mergeCell ref="B3654:I3654"/>
    <mergeCell ref="B3655:I3655"/>
    <mergeCell ref="B3656:I3656"/>
    <mergeCell ref="B3657:I3657"/>
    <mergeCell ref="B3658:I3658"/>
    <mergeCell ref="B3659:I3659"/>
    <mergeCell ref="B3660:I3660"/>
    <mergeCell ref="B3661:I3661"/>
    <mergeCell ref="B3662:I3662"/>
    <mergeCell ref="B3663:I3663"/>
    <mergeCell ref="B3664:I3664"/>
    <mergeCell ref="B3665:I3665"/>
    <mergeCell ref="B3666:I3666"/>
    <mergeCell ref="B3667:I3667"/>
    <mergeCell ref="B3668:I3668"/>
    <mergeCell ref="B3669:I3669"/>
    <mergeCell ref="B3670:I3670"/>
    <mergeCell ref="B3671:I3671"/>
    <mergeCell ref="B3672:I3672"/>
    <mergeCell ref="B3673:I3673"/>
    <mergeCell ref="B3674:I3674"/>
    <mergeCell ref="B3675:I3675"/>
    <mergeCell ref="B3676:I3676"/>
    <mergeCell ref="B3677:I3677"/>
    <mergeCell ref="B3678:I3678"/>
    <mergeCell ref="B3679:I3679"/>
    <mergeCell ref="B3680:I3680"/>
    <mergeCell ref="B3681:I3681"/>
    <mergeCell ref="B3682:I3682"/>
    <mergeCell ref="B3683:I3683"/>
    <mergeCell ref="B3684:I3684"/>
    <mergeCell ref="B3685:I3685"/>
    <mergeCell ref="B3686:I3686"/>
    <mergeCell ref="B3687:I3687"/>
    <mergeCell ref="B3688:I3688"/>
    <mergeCell ref="B3689:I3689"/>
    <mergeCell ref="B3690:I3690"/>
    <mergeCell ref="B3691:I3691"/>
    <mergeCell ref="B3692:I3692"/>
    <mergeCell ref="B3693:I3693"/>
    <mergeCell ref="B3694:I3694"/>
    <mergeCell ref="B3695:I3695"/>
    <mergeCell ref="B3696:I3696"/>
    <mergeCell ref="B3697:I3697"/>
    <mergeCell ref="B3698:I3698"/>
    <mergeCell ref="B3699:I3699"/>
    <mergeCell ref="B3700:I3700"/>
    <mergeCell ref="B3701:I3701"/>
    <mergeCell ref="B3702:I3702"/>
    <mergeCell ref="B3703:I3703"/>
    <mergeCell ref="B3704:I3704"/>
    <mergeCell ref="B3705:I3705"/>
    <mergeCell ref="B3706:I3706"/>
    <mergeCell ref="B3707:I3707"/>
    <mergeCell ref="B3708:I3708"/>
    <mergeCell ref="B3709:I3709"/>
    <mergeCell ref="B3710:I3710"/>
    <mergeCell ref="B3711:I3711"/>
    <mergeCell ref="B3712:I3712"/>
    <mergeCell ref="B3713:I3713"/>
    <mergeCell ref="B3714:I3714"/>
    <mergeCell ref="B3715:I3715"/>
    <mergeCell ref="B3716:I3716"/>
    <mergeCell ref="B3717:I3717"/>
    <mergeCell ref="B3718:I3718"/>
    <mergeCell ref="B3719:I3719"/>
    <mergeCell ref="B3720:I3720"/>
    <mergeCell ref="B3721:I3721"/>
    <mergeCell ref="B3722:I3722"/>
    <mergeCell ref="B3723:I3723"/>
    <mergeCell ref="B3724:I3724"/>
    <mergeCell ref="B3725:I3725"/>
    <mergeCell ref="B3726:I3726"/>
    <mergeCell ref="B3727:I3727"/>
    <mergeCell ref="B3728:I3728"/>
    <mergeCell ref="B3729:I3729"/>
    <mergeCell ref="B3730:I3730"/>
    <mergeCell ref="B3731:I3731"/>
    <mergeCell ref="B3732:I3732"/>
    <mergeCell ref="B3733:I3733"/>
    <mergeCell ref="B3734:I3734"/>
    <mergeCell ref="B3735:I3735"/>
    <mergeCell ref="B3736:I3736"/>
    <mergeCell ref="B3737:I3737"/>
    <mergeCell ref="B3738:I3738"/>
    <mergeCell ref="B3739:I3739"/>
    <mergeCell ref="B3740:I3740"/>
    <mergeCell ref="B3741:I3741"/>
    <mergeCell ref="B3742:I3742"/>
    <mergeCell ref="B3743:I3743"/>
    <mergeCell ref="B3744:I3744"/>
    <mergeCell ref="B3745:I3745"/>
    <mergeCell ref="B3746:I3746"/>
    <mergeCell ref="B3747:I3747"/>
    <mergeCell ref="B3748:I3748"/>
    <mergeCell ref="B3749:I3749"/>
    <mergeCell ref="B3750:I3750"/>
    <mergeCell ref="B3751:I3751"/>
    <mergeCell ref="B3752:I3752"/>
    <mergeCell ref="B3753:I3753"/>
    <mergeCell ref="B3754:I3754"/>
    <mergeCell ref="B3755:I3755"/>
    <mergeCell ref="B3756:I3756"/>
    <mergeCell ref="B3757:I3757"/>
    <mergeCell ref="B3758:I3758"/>
    <mergeCell ref="B3759:I3759"/>
    <mergeCell ref="B3760:I3760"/>
    <mergeCell ref="B3761:I3761"/>
    <mergeCell ref="B3762:I3762"/>
    <mergeCell ref="B3763:I3763"/>
    <mergeCell ref="B3764:I3764"/>
    <mergeCell ref="B3765:I3765"/>
    <mergeCell ref="B3766:I3766"/>
    <mergeCell ref="B3767:I3767"/>
    <mergeCell ref="B3768:I3768"/>
    <mergeCell ref="B3769:I3769"/>
    <mergeCell ref="B3770:I3770"/>
    <mergeCell ref="B3771:I3771"/>
    <mergeCell ref="B3772:I3772"/>
    <mergeCell ref="B3773:I3773"/>
    <mergeCell ref="B3774:I3774"/>
    <mergeCell ref="B3775:I3775"/>
    <mergeCell ref="B3776:I3776"/>
    <mergeCell ref="B3777:I3777"/>
    <mergeCell ref="B3778:I3778"/>
    <mergeCell ref="B3779:I3779"/>
    <mergeCell ref="B3780:I3780"/>
    <mergeCell ref="B3781:I3781"/>
    <mergeCell ref="B3782:I3782"/>
    <mergeCell ref="B3783:I3783"/>
    <mergeCell ref="B3784:I3784"/>
    <mergeCell ref="B3785:I3785"/>
    <mergeCell ref="B3786:I3786"/>
    <mergeCell ref="B3787:I3787"/>
    <mergeCell ref="B3788:I3788"/>
    <mergeCell ref="B3789:I3789"/>
    <mergeCell ref="B3790:I3790"/>
    <mergeCell ref="B3791:I3791"/>
    <mergeCell ref="B3792:I3792"/>
    <mergeCell ref="B3793:I3793"/>
    <mergeCell ref="B3794:I3794"/>
    <mergeCell ref="B3795:I3795"/>
    <mergeCell ref="B3796:I3796"/>
    <mergeCell ref="B3797:I3797"/>
    <mergeCell ref="B3798:I3798"/>
    <mergeCell ref="B3799:I3799"/>
    <mergeCell ref="B3800:I3800"/>
    <mergeCell ref="B3801:I3801"/>
    <mergeCell ref="B3802:I3802"/>
    <mergeCell ref="B3803:I3803"/>
    <mergeCell ref="B3804:I3804"/>
    <mergeCell ref="B3805:I3805"/>
    <mergeCell ref="B3806:I3806"/>
    <mergeCell ref="B3807:I3807"/>
    <mergeCell ref="B3808:I3808"/>
    <mergeCell ref="B3809:I3809"/>
    <mergeCell ref="B3810:I3810"/>
    <mergeCell ref="B3811:I3811"/>
    <mergeCell ref="B3812:I3812"/>
    <mergeCell ref="B3813:I3813"/>
    <mergeCell ref="B3814:I3814"/>
    <mergeCell ref="B3815:I3815"/>
    <mergeCell ref="B3816:I3816"/>
    <mergeCell ref="B3817:I3817"/>
    <mergeCell ref="B3818:I3818"/>
    <mergeCell ref="B3819:I3819"/>
    <mergeCell ref="B3820:I3820"/>
    <mergeCell ref="B3821:I3821"/>
    <mergeCell ref="B3822:I3822"/>
    <mergeCell ref="B3823:I3823"/>
    <mergeCell ref="B3824:I3824"/>
    <mergeCell ref="B3825:I3825"/>
    <mergeCell ref="B3826:I3826"/>
    <mergeCell ref="B3827:I3827"/>
    <mergeCell ref="B3828:I3828"/>
    <mergeCell ref="B3829:I3829"/>
    <mergeCell ref="B3830:I3830"/>
    <mergeCell ref="B3831:I3831"/>
    <mergeCell ref="B3832:I3832"/>
    <mergeCell ref="B3833:I3833"/>
    <mergeCell ref="B3834:I3834"/>
    <mergeCell ref="B3835:I3835"/>
    <mergeCell ref="B3836:I3836"/>
    <mergeCell ref="B3837:I3837"/>
    <mergeCell ref="B3838:I3838"/>
    <mergeCell ref="B3839:I3839"/>
    <mergeCell ref="B3840:I3840"/>
    <mergeCell ref="B3841:I3841"/>
    <mergeCell ref="B3842:I3842"/>
    <mergeCell ref="B3843:I3843"/>
    <mergeCell ref="B3844:I3844"/>
    <mergeCell ref="B3845:I3845"/>
    <mergeCell ref="B3846:I3846"/>
    <mergeCell ref="B3847:I3847"/>
    <mergeCell ref="B3848:I3848"/>
    <mergeCell ref="B3849:I3849"/>
    <mergeCell ref="B3850:I3850"/>
    <mergeCell ref="B3851:I3851"/>
    <mergeCell ref="B3852:I3852"/>
    <mergeCell ref="B3853:I3853"/>
    <mergeCell ref="B3854:I3854"/>
    <mergeCell ref="B3855:I3855"/>
    <mergeCell ref="B3856:I3856"/>
    <mergeCell ref="B3857:I3857"/>
    <mergeCell ref="B3858:I3858"/>
    <mergeCell ref="B3859:I3859"/>
    <mergeCell ref="B3860:I3860"/>
    <mergeCell ref="B3861:I3861"/>
    <mergeCell ref="B3862:I3862"/>
    <mergeCell ref="B3863:I3863"/>
    <mergeCell ref="B3864:I3864"/>
    <mergeCell ref="B3865:I3865"/>
    <mergeCell ref="B3866:I3866"/>
    <mergeCell ref="B3867:I3867"/>
    <mergeCell ref="B3868:I3868"/>
    <mergeCell ref="B3869:I3869"/>
    <mergeCell ref="B3870:I3870"/>
    <mergeCell ref="B3871:I3871"/>
    <mergeCell ref="B3872:I3872"/>
    <mergeCell ref="B3873:I3873"/>
    <mergeCell ref="B3874:I3874"/>
    <mergeCell ref="B3875:I3875"/>
    <mergeCell ref="B3876:I3876"/>
    <mergeCell ref="B3877:I3877"/>
    <mergeCell ref="B3878:I3878"/>
    <mergeCell ref="B3879:I3879"/>
    <mergeCell ref="B3880:I3880"/>
    <mergeCell ref="B3881:I3881"/>
    <mergeCell ref="B3882:I3882"/>
    <mergeCell ref="B3883:I3883"/>
    <mergeCell ref="B3884:I3884"/>
    <mergeCell ref="B3885:I3885"/>
    <mergeCell ref="B3886:I3886"/>
    <mergeCell ref="B3887:I3887"/>
    <mergeCell ref="B3888:I3888"/>
    <mergeCell ref="B3889:I3889"/>
    <mergeCell ref="B3890:I3890"/>
    <mergeCell ref="B3891:I3891"/>
    <mergeCell ref="B3892:I3892"/>
    <mergeCell ref="B3893:I3893"/>
    <mergeCell ref="B3894:I3894"/>
    <mergeCell ref="B3895:I3895"/>
    <mergeCell ref="B3896:I3896"/>
    <mergeCell ref="B3897:I3897"/>
    <mergeCell ref="B3898:I3898"/>
    <mergeCell ref="B3899:I3899"/>
    <mergeCell ref="B3900:I3900"/>
    <mergeCell ref="B3901:I3901"/>
    <mergeCell ref="B3902:I3902"/>
    <mergeCell ref="B3903:I3903"/>
    <mergeCell ref="B3904:I3904"/>
    <mergeCell ref="B3905:I3905"/>
    <mergeCell ref="B3906:I3906"/>
    <mergeCell ref="B3907:I3907"/>
    <mergeCell ref="B3908:I3908"/>
    <mergeCell ref="B3909:I3909"/>
    <mergeCell ref="B3910:I3910"/>
    <mergeCell ref="B3911:I3911"/>
    <mergeCell ref="B3912:I3912"/>
    <mergeCell ref="B3913:I3913"/>
    <mergeCell ref="B3914:I3914"/>
    <mergeCell ref="B3915:I3915"/>
    <mergeCell ref="B3916:I3916"/>
    <mergeCell ref="B3917:I3917"/>
    <mergeCell ref="B3918:I3918"/>
    <mergeCell ref="B3919:I3919"/>
    <mergeCell ref="B3920:I3920"/>
    <mergeCell ref="B3921:I3921"/>
    <mergeCell ref="B3922:I3922"/>
    <mergeCell ref="B3923:I3923"/>
    <mergeCell ref="B3924:I3924"/>
    <mergeCell ref="B3925:I3925"/>
    <mergeCell ref="B3926:I3926"/>
    <mergeCell ref="B3927:I3927"/>
    <mergeCell ref="B3928:I3928"/>
    <mergeCell ref="B3929:I3929"/>
    <mergeCell ref="B3930:I3930"/>
    <mergeCell ref="B3931:I3931"/>
    <mergeCell ref="B3932:I3932"/>
    <mergeCell ref="B3933:I3933"/>
    <mergeCell ref="B3934:I3934"/>
    <mergeCell ref="B3935:I3935"/>
    <mergeCell ref="B3936:I3936"/>
    <mergeCell ref="B3937:I3937"/>
    <mergeCell ref="B3938:I3938"/>
    <mergeCell ref="B3939:I3939"/>
    <mergeCell ref="B3940:I3940"/>
    <mergeCell ref="B3941:I3941"/>
    <mergeCell ref="B3942:I3942"/>
    <mergeCell ref="B3943:I3943"/>
    <mergeCell ref="B3944:I3944"/>
    <mergeCell ref="B3945:I3945"/>
    <mergeCell ref="B3946:I3946"/>
    <mergeCell ref="B3947:I3947"/>
    <mergeCell ref="B3948:I3948"/>
    <mergeCell ref="B3949:I3949"/>
    <mergeCell ref="B3950:I3950"/>
    <mergeCell ref="B3951:I3951"/>
    <mergeCell ref="B3952:I3952"/>
    <mergeCell ref="B3953:I3953"/>
    <mergeCell ref="B3954:I3954"/>
    <mergeCell ref="B3955:I3955"/>
    <mergeCell ref="B3956:I3956"/>
    <mergeCell ref="B3957:I3957"/>
    <mergeCell ref="B3958:I3958"/>
    <mergeCell ref="B3959:I3959"/>
    <mergeCell ref="B3960:I3960"/>
    <mergeCell ref="B3961:I3961"/>
    <mergeCell ref="B3962:I3962"/>
    <mergeCell ref="B3963:I3963"/>
    <mergeCell ref="B3964:I3964"/>
    <mergeCell ref="B3965:I3965"/>
    <mergeCell ref="B3966:I3966"/>
    <mergeCell ref="B3967:I3967"/>
    <mergeCell ref="B3968:I3968"/>
    <mergeCell ref="B3969:I3969"/>
    <mergeCell ref="B3970:I3970"/>
    <mergeCell ref="B3971:I3971"/>
    <mergeCell ref="B3972:I3972"/>
    <mergeCell ref="B3973:I3973"/>
    <mergeCell ref="B3974:I3974"/>
    <mergeCell ref="B3975:I3975"/>
    <mergeCell ref="B3976:I3976"/>
    <mergeCell ref="B3977:I3977"/>
    <mergeCell ref="B3978:I3978"/>
    <mergeCell ref="B3979:I3979"/>
    <mergeCell ref="B3980:I3980"/>
    <mergeCell ref="B3981:I3981"/>
    <mergeCell ref="B3982:I3982"/>
    <mergeCell ref="B3983:I3983"/>
    <mergeCell ref="B3984:I3984"/>
    <mergeCell ref="B3985:I3985"/>
    <mergeCell ref="B3986:I3986"/>
    <mergeCell ref="B3987:I3987"/>
    <mergeCell ref="B3988:I3988"/>
    <mergeCell ref="B3989:I3989"/>
    <mergeCell ref="B3990:I3990"/>
    <mergeCell ref="B3991:I3991"/>
    <mergeCell ref="B3992:I3992"/>
    <mergeCell ref="B3993:I3993"/>
    <mergeCell ref="B3994:I3994"/>
    <mergeCell ref="B3995:I3995"/>
    <mergeCell ref="B3996:I3996"/>
    <mergeCell ref="B3997:I3997"/>
    <mergeCell ref="B3998:I3998"/>
    <mergeCell ref="B3999:I3999"/>
    <mergeCell ref="B4000:I4000"/>
    <mergeCell ref="B4001:I4001"/>
    <mergeCell ref="B4002:I4002"/>
    <mergeCell ref="B4003:I4003"/>
    <mergeCell ref="B4004:I4004"/>
    <mergeCell ref="B4005:I4005"/>
    <mergeCell ref="B4006:I4006"/>
    <mergeCell ref="B4007:I4007"/>
    <mergeCell ref="B4008:I4008"/>
    <mergeCell ref="B4009:I4009"/>
    <mergeCell ref="B4010:I4010"/>
    <mergeCell ref="B4011:I4011"/>
    <mergeCell ref="B4012:I4012"/>
    <mergeCell ref="B4013:I4013"/>
    <mergeCell ref="B4014:I4014"/>
    <mergeCell ref="B4015:I4015"/>
    <mergeCell ref="B4016:I4016"/>
    <mergeCell ref="B4017:I4017"/>
    <mergeCell ref="B4018:I4018"/>
    <mergeCell ref="B4019:I4019"/>
    <mergeCell ref="B4020:I4020"/>
    <mergeCell ref="B4021:I4021"/>
    <mergeCell ref="B4022:I4022"/>
    <mergeCell ref="B4023:I4023"/>
    <mergeCell ref="B4024:I4024"/>
    <mergeCell ref="B4025:I4025"/>
    <mergeCell ref="B4026:I4026"/>
    <mergeCell ref="B4027:I4027"/>
    <mergeCell ref="B4028:I4028"/>
    <mergeCell ref="B4029:I4029"/>
    <mergeCell ref="B4030:I4030"/>
    <mergeCell ref="B4031:I4031"/>
    <mergeCell ref="B4032:I4032"/>
    <mergeCell ref="B4033:I4033"/>
    <mergeCell ref="B4034:I4034"/>
    <mergeCell ref="B4035:I4035"/>
    <mergeCell ref="B4036:I4036"/>
    <mergeCell ref="B4037:I4037"/>
    <mergeCell ref="B4038:I4038"/>
    <mergeCell ref="B4039:I4039"/>
    <mergeCell ref="B4040:I4040"/>
    <mergeCell ref="B4041:I4041"/>
    <mergeCell ref="B4042:I4042"/>
    <mergeCell ref="B4043:I4043"/>
    <mergeCell ref="B4044:I4044"/>
    <mergeCell ref="B4045:I4045"/>
    <mergeCell ref="B4046:I4046"/>
    <mergeCell ref="B4047:I4047"/>
    <mergeCell ref="B4048:I4048"/>
    <mergeCell ref="B4049:I4049"/>
    <mergeCell ref="B4050:I4050"/>
    <mergeCell ref="B4051:I4051"/>
    <mergeCell ref="B4052:I4052"/>
    <mergeCell ref="B4053:I4053"/>
    <mergeCell ref="B4054:I4054"/>
    <mergeCell ref="B4055:I4055"/>
    <mergeCell ref="B4056:I4056"/>
    <mergeCell ref="B4057:I4057"/>
    <mergeCell ref="B4058:I4058"/>
    <mergeCell ref="B4059:I4059"/>
    <mergeCell ref="B4060:I4060"/>
    <mergeCell ref="B4061:I4061"/>
    <mergeCell ref="B4062:I4062"/>
    <mergeCell ref="B4063:I4063"/>
    <mergeCell ref="B4064:I4064"/>
    <mergeCell ref="B4065:I4065"/>
    <mergeCell ref="B4066:I4066"/>
    <mergeCell ref="B4067:I4067"/>
    <mergeCell ref="B4068:I4068"/>
    <mergeCell ref="B4069:I4069"/>
    <mergeCell ref="B4070:I4070"/>
    <mergeCell ref="B4071:I4071"/>
    <mergeCell ref="B4072:I4072"/>
    <mergeCell ref="B4073:I4073"/>
    <mergeCell ref="B4074:I4074"/>
    <mergeCell ref="B4075:I4075"/>
    <mergeCell ref="B4076:I4076"/>
    <mergeCell ref="B4077:I4077"/>
    <mergeCell ref="B4078:I4078"/>
    <mergeCell ref="B4079:I4079"/>
    <mergeCell ref="B4080:I4080"/>
    <mergeCell ref="B4081:I4081"/>
    <mergeCell ref="B4082:I4082"/>
    <mergeCell ref="B4083:I4083"/>
    <mergeCell ref="B4084:I4084"/>
    <mergeCell ref="B4085:I4085"/>
    <mergeCell ref="B4086:I4086"/>
    <mergeCell ref="B4087:I4087"/>
    <mergeCell ref="B4088:I4088"/>
    <mergeCell ref="B4089:I4089"/>
    <mergeCell ref="B4090:I4090"/>
    <mergeCell ref="B4091:I4091"/>
    <mergeCell ref="B4092:I4092"/>
    <mergeCell ref="B4093:I4093"/>
    <mergeCell ref="B4094:I4094"/>
    <mergeCell ref="B4095:I4095"/>
    <mergeCell ref="B4096:I4096"/>
    <mergeCell ref="B4097:I4097"/>
    <mergeCell ref="B4098:I4098"/>
    <mergeCell ref="B4099:I4099"/>
    <mergeCell ref="B4100:I4100"/>
    <mergeCell ref="B4101:I4101"/>
    <mergeCell ref="B4102:I4102"/>
    <mergeCell ref="B4103:I4103"/>
    <mergeCell ref="B4104:I4104"/>
    <mergeCell ref="B4105:I4105"/>
    <mergeCell ref="B4106:I4106"/>
    <mergeCell ref="B4107:I4107"/>
    <mergeCell ref="B4108:I4108"/>
    <mergeCell ref="B4109:I4109"/>
    <mergeCell ref="B4110:I4110"/>
    <mergeCell ref="B4111:I4111"/>
    <mergeCell ref="B4112:I4112"/>
    <mergeCell ref="B4113:I4113"/>
    <mergeCell ref="B4114:I4114"/>
    <mergeCell ref="B4115:I4115"/>
    <mergeCell ref="B4116:I4116"/>
    <mergeCell ref="B4117:I4117"/>
    <mergeCell ref="B4118:I4118"/>
    <mergeCell ref="B4119:I4119"/>
    <mergeCell ref="B4120:I4120"/>
    <mergeCell ref="B4121:I4121"/>
    <mergeCell ref="B4122:I4122"/>
    <mergeCell ref="B4123:I4123"/>
    <mergeCell ref="B4124:I4124"/>
    <mergeCell ref="B4125:I4125"/>
    <mergeCell ref="B4126:I4126"/>
    <mergeCell ref="B4127:I4127"/>
    <mergeCell ref="B4128:I4128"/>
    <mergeCell ref="B4129:I4129"/>
    <mergeCell ref="B4130:I4130"/>
    <mergeCell ref="B4131:I4131"/>
    <mergeCell ref="B4132:I4132"/>
    <mergeCell ref="B4133:I4133"/>
    <mergeCell ref="B4134:I4134"/>
    <mergeCell ref="B4135:I4135"/>
    <mergeCell ref="B4136:I4136"/>
    <mergeCell ref="B4137:I4137"/>
    <mergeCell ref="B4138:I4138"/>
    <mergeCell ref="B4139:I4139"/>
    <mergeCell ref="B4140:I4140"/>
    <mergeCell ref="B4141:I4141"/>
    <mergeCell ref="B4142:I4142"/>
    <mergeCell ref="B4143:I4143"/>
    <mergeCell ref="B4144:I4144"/>
    <mergeCell ref="B4145:I4145"/>
    <mergeCell ref="B4146:I4146"/>
    <mergeCell ref="B4147:I4147"/>
    <mergeCell ref="B4148:I4148"/>
    <mergeCell ref="B4149:I4149"/>
    <mergeCell ref="B4150:I4150"/>
    <mergeCell ref="B4151:I4151"/>
    <mergeCell ref="B4152:I4152"/>
    <mergeCell ref="B4153:I4153"/>
    <mergeCell ref="B4154:I4154"/>
    <mergeCell ref="B4155:I4155"/>
    <mergeCell ref="B4156:I4156"/>
    <mergeCell ref="B4157:I4157"/>
    <mergeCell ref="B4158:I4158"/>
    <mergeCell ref="B4159:I4159"/>
    <mergeCell ref="B4160:I4160"/>
    <mergeCell ref="B4161:I4161"/>
    <mergeCell ref="B4162:I4162"/>
    <mergeCell ref="B4163:I4163"/>
    <mergeCell ref="B4164:I4164"/>
    <mergeCell ref="B4165:I4165"/>
    <mergeCell ref="B4166:I4166"/>
    <mergeCell ref="B4167:I4167"/>
    <mergeCell ref="B4168:I4168"/>
    <mergeCell ref="B4169:I4169"/>
    <mergeCell ref="B4170:I4170"/>
    <mergeCell ref="B4171:I4171"/>
    <mergeCell ref="B4172:I4172"/>
    <mergeCell ref="B4173:I4173"/>
    <mergeCell ref="B4174:I4174"/>
    <mergeCell ref="B4175:I4175"/>
    <mergeCell ref="B4176:I4176"/>
    <mergeCell ref="B4177:I4177"/>
    <mergeCell ref="B4178:I4178"/>
    <mergeCell ref="B4179:I4179"/>
    <mergeCell ref="B4180:I4180"/>
    <mergeCell ref="B4181:I4181"/>
    <mergeCell ref="B4182:I4182"/>
    <mergeCell ref="B4183:I4183"/>
    <mergeCell ref="B4184:I4184"/>
    <mergeCell ref="B4185:I4185"/>
    <mergeCell ref="B4186:I4186"/>
    <mergeCell ref="B4187:I4187"/>
    <mergeCell ref="B4188:I4188"/>
    <mergeCell ref="B4189:I4189"/>
    <mergeCell ref="B4190:I4190"/>
    <mergeCell ref="B4191:I4191"/>
    <mergeCell ref="B4192:I4192"/>
    <mergeCell ref="B4193:I4193"/>
    <mergeCell ref="B4194:I4194"/>
    <mergeCell ref="B4195:I4195"/>
    <mergeCell ref="B4196:I4196"/>
    <mergeCell ref="B4197:I4197"/>
    <mergeCell ref="B4198:I4198"/>
    <mergeCell ref="B4199:I4199"/>
    <mergeCell ref="B4200:I4200"/>
    <mergeCell ref="B4201:I4201"/>
    <mergeCell ref="B4202:I4202"/>
    <mergeCell ref="B4203:I4203"/>
    <mergeCell ref="B4204:I4204"/>
    <mergeCell ref="B4205:I4205"/>
    <mergeCell ref="B4206:I4206"/>
    <mergeCell ref="B4207:I4207"/>
    <mergeCell ref="B4208:I4208"/>
    <mergeCell ref="B4209:I4209"/>
    <mergeCell ref="B4210:I4210"/>
    <mergeCell ref="B4211:I4211"/>
    <mergeCell ref="B4212:I4212"/>
    <mergeCell ref="B4213:I4213"/>
    <mergeCell ref="B4214:I4214"/>
    <mergeCell ref="B4215:I4215"/>
    <mergeCell ref="B4216:I4216"/>
    <mergeCell ref="B4217:I4217"/>
    <mergeCell ref="B4218:I4218"/>
    <mergeCell ref="B4219:I4219"/>
    <mergeCell ref="B4220:I4220"/>
    <mergeCell ref="B4221:I4221"/>
    <mergeCell ref="B4222:I4222"/>
    <mergeCell ref="B4223:I4223"/>
    <mergeCell ref="B4224:I4224"/>
    <mergeCell ref="B4225:I4225"/>
    <mergeCell ref="B4226:I4226"/>
    <mergeCell ref="B4227:I4227"/>
    <mergeCell ref="B4228:I4228"/>
    <mergeCell ref="B4229:I4229"/>
    <mergeCell ref="B4230:I4230"/>
    <mergeCell ref="B4231:I4231"/>
    <mergeCell ref="B4232:I4232"/>
    <mergeCell ref="B4233:I4233"/>
    <mergeCell ref="B4234:I4234"/>
    <mergeCell ref="B4235:I4235"/>
    <mergeCell ref="B4236:I4236"/>
    <mergeCell ref="B4237:I4237"/>
    <mergeCell ref="B4238:I4238"/>
    <mergeCell ref="B4239:I4239"/>
    <mergeCell ref="B4240:I4240"/>
    <mergeCell ref="B4241:I4241"/>
    <mergeCell ref="B4242:I4242"/>
    <mergeCell ref="B4243:I4243"/>
    <mergeCell ref="B4244:I4244"/>
    <mergeCell ref="B4245:I4245"/>
    <mergeCell ref="B4246:I4246"/>
    <mergeCell ref="B4247:I4247"/>
    <mergeCell ref="B4248:I4248"/>
    <mergeCell ref="B4249:I4249"/>
    <mergeCell ref="B4250:I4250"/>
    <mergeCell ref="B4251:I4251"/>
    <mergeCell ref="B4252:I4252"/>
    <mergeCell ref="B4253:I4253"/>
    <mergeCell ref="B4254:I4254"/>
    <mergeCell ref="B4255:I4255"/>
    <mergeCell ref="B4256:I4256"/>
    <mergeCell ref="B4257:I4257"/>
    <mergeCell ref="B4258:I4258"/>
    <mergeCell ref="B4259:I4259"/>
    <mergeCell ref="B4260:I4260"/>
    <mergeCell ref="B4261:I4261"/>
    <mergeCell ref="B4262:I4262"/>
    <mergeCell ref="B4263:I4263"/>
    <mergeCell ref="B4264:I4264"/>
    <mergeCell ref="B4265:I4265"/>
    <mergeCell ref="B4266:I4266"/>
    <mergeCell ref="B4267:I4267"/>
    <mergeCell ref="B4268:I4268"/>
    <mergeCell ref="B4269:I4269"/>
    <mergeCell ref="B4270:I4270"/>
    <mergeCell ref="B4271:I4271"/>
    <mergeCell ref="B4272:I4272"/>
    <mergeCell ref="B4273:I4273"/>
    <mergeCell ref="B4274:I4274"/>
    <mergeCell ref="B4275:I4275"/>
    <mergeCell ref="B4276:I4276"/>
    <mergeCell ref="B4277:I4277"/>
    <mergeCell ref="B4278:I4278"/>
    <mergeCell ref="B4279:I4279"/>
    <mergeCell ref="B4280:I4280"/>
    <mergeCell ref="B4281:I4281"/>
    <mergeCell ref="B4282:I4282"/>
    <mergeCell ref="B4283:I4283"/>
    <mergeCell ref="B4284:I4284"/>
    <mergeCell ref="B4285:I4285"/>
    <mergeCell ref="B4286:I4286"/>
    <mergeCell ref="B4287:I4287"/>
    <mergeCell ref="B4288:I4288"/>
    <mergeCell ref="B4289:I4289"/>
    <mergeCell ref="B4290:I4290"/>
    <mergeCell ref="B4291:I4291"/>
    <mergeCell ref="B4292:I4292"/>
    <mergeCell ref="B4293:I4293"/>
    <mergeCell ref="B4294:I4294"/>
    <mergeCell ref="B4295:I4295"/>
    <mergeCell ref="B4296:I4296"/>
    <mergeCell ref="B4297:I4297"/>
    <mergeCell ref="B4298:I4298"/>
    <mergeCell ref="B4299:I4299"/>
    <mergeCell ref="B4300:I4300"/>
    <mergeCell ref="B4301:I4301"/>
    <mergeCell ref="B4302:I4302"/>
    <mergeCell ref="B4303:I4303"/>
    <mergeCell ref="B4304:I4304"/>
    <mergeCell ref="B4305:I4305"/>
    <mergeCell ref="B4306:I4306"/>
    <mergeCell ref="B4307:I4307"/>
    <mergeCell ref="B4308:I4308"/>
    <mergeCell ref="B4309:I4309"/>
    <mergeCell ref="B4310:I4310"/>
    <mergeCell ref="B4311:I4311"/>
    <mergeCell ref="B4312:I4312"/>
    <mergeCell ref="B4313:I4313"/>
    <mergeCell ref="B4314:I4314"/>
    <mergeCell ref="B4315:I4315"/>
    <mergeCell ref="B4316:I4316"/>
    <mergeCell ref="B4317:I4317"/>
    <mergeCell ref="B4318:I4318"/>
    <mergeCell ref="B4319:I4319"/>
    <mergeCell ref="B4320:I4320"/>
    <mergeCell ref="B4321:I4321"/>
    <mergeCell ref="B4322:I4322"/>
    <mergeCell ref="B4323:I4323"/>
    <mergeCell ref="B4324:I4324"/>
    <mergeCell ref="B4325:I4325"/>
    <mergeCell ref="B4326:I4326"/>
    <mergeCell ref="B4327:I4327"/>
    <mergeCell ref="B4328:I4328"/>
    <mergeCell ref="B4329:I4329"/>
    <mergeCell ref="B4330:I4330"/>
    <mergeCell ref="B4331:I4331"/>
    <mergeCell ref="B4332:I4332"/>
    <mergeCell ref="B4333:I4333"/>
    <mergeCell ref="B4334:I4334"/>
    <mergeCell ref="B4335:I4335"/>
    <mergeCell ref="B4336:I4336"/>
    <mergeCell ref="B4337:I4337"/>
    <mergeCell ref="B4338:I4338"/>
    <mergeCell ref="B4339:I4339"/>
    <mergeCell ref="B4340:I4340"/>
    <mergeCell ref="B4341:I4341"/>
    <mergeCell ref="B4342:I4342"/>
    <mergeCell ref="B4343:I4343"/>
    <mergeCell ref="B4344:I4344"/>
    <mergeCell ref="B4345:I4345"/>
    <mergeCell ref="B4346:I4346"/>
    <mergeCell ref="B4347:I4347"/>
    <mergeCell ref="B4348:I4348"/>
    <mergeCell ref="B4349:I4349"/>
    <mergeCell ref="B4350:I4350"/>
    <mergeCell ref="B4351:I4351"/>
    <mergeCell ref="B4352:I4352"/>
    <mergeCell ref="B4353:I4353"/>
    <mergeCell ref="B4354:I4354"/>
    <mergeCell ref="B4355:I4355"/>
    <mergeCell ref="B4356:I4356"/>
    <mergeCell ref="B4357:I4357"/>
    <mergeCell ref="B4358:I4358"/>
    <mergeCell ref="B4359:I4359"/>
    <mergeCell ref="B4360:I4360"/>
    <mergeCell ref="B4361:I4361"/>
    <mergeCell ref="B4362:I4362"/>
    <mergeCell ref="B4363:I4363"/>
    <mergeCell ref="B4364:I4364"/>
    <mergeCell ref="B4365:I4365"/>
    <mergeCell ref="B4366:I4366"/>
    <mergeCell ref="B4367:I4367"/>
    <mergeCell ref="B4368:I4368"/>
    <mergeCell ref="B4369:I4369"/>
    <mergeCell ref="B4370:I4370"/>
    <mergeCell ref="B4371:I4371"/>
    <mergeCell ref="B4372:I4372"/>
    <mergeCell ref="B4373:I4373"/>
    <mergeCell ref="B4374:I4374"/>
    <mergeCell ref="B4375:I4375"/>
    <mergeCell ref="B4376:I4376"/>
    <mergeCell ref="B4377:I4377"/>
    <mergeCell ref="B4378:I4378"/>
    <mergeCell ref="B4379:I4379"/>
    <mergeCell ref="B4380:I4380"/>
    <mergeCell ref="B4381:I4381"/>
    <mergeCell ref="B4382:I4382"/>
    <mergeCell ref="B4383:I4383"/>
    <mergeCell ref="B4384:I4384"/>
    <mergeCell ref="B4385:I4385"/>
    <mergeCell ref="B4386:I4386"/>
    <mergeCell ref="B4387:I4387"/>
    <mergeCell ref="B4388:I4388"/>
    <mergeCell ref="B4389:I4389"/>
    <mergeCell ref="B4390:I4390"/>
    <mergeCell ref="B4391:I4391"/>
    <mergeCell ref="B4392:I4392"/>
    <mergeCell ref="B4393:I4393"/>
    <mergeCell ref="B4394:I4394"/>
    <mergeCell ref="B4395:I4395"/>
    <mergeCell ref="B4396:I4396"/>
    <mergeCell ref="B4397:I4397"/>
    <mergeCell ref="B4398:I4398"/>
    <mergeCell ref="B4399:I4399"/>
    <mergeCell ref="B4400:I4400"/>
    <mergeCell ref="B4401:I4401"/>
    <mergeCell ref="B4402:I4402"/>
    <mergeCell ref="B4403:I4403"/>
    <mergeCell ref="B4404:I4404"/>
    <mergeCell ref="B4405:I4405"/>
    <mergeCell ref="B4406:I4406"/>
    <mergeCell ref="B4407:I4407"/>
    <mergeCell ref="B4408:I4408"/>
    <mergeCell ref="B4409:I4409"/>
    <mergeCell ref="B4410:I4410"/>
    <mergeCell ref="B4411:I4411"/>
    <mergeCell ref="B4412:I4412"/>
    <mergeCell ref="B4413:I4413"/>
    <mergeCell ref="B4414:I4414"/>
    <mergeCell ref="B4415:I4415"/>
    <mergeCell ref="B4416:I4416"/>
    <mergeCell ref="B4417:I4417"/>
    <mergeCell ref="B4418:I4418"/>
    <mergeCell ref="B4419:I4419"/>
    <mergeCell ref="B4420:I4420"/>
    <mergeCell ref="B4421:I4421"/>
    <mergeCell ref="B4422:I4422"/>
    <mergeCell ref="B4423:I4423"/>
    <mergeCell ref="B4424:I4424"/>
    <mergeCell ref="B4425:I4425"/>
    <mergeCell ref="B4426:I4426"/>
    <mergeCell ref="B4427:I4427"/>
    <mergeCell ref="B4428:I4428"/>
    <mergeCell ref="B4429:I4429"/>
    <mergeCell ref="B4430:I4430"/>
    <mergeCell ref="B4431:I4431"/>
    <mergeCell ref="B4432:I4432"/>
    <mergeCell ref="B4433:I4433"/>
    <mergeCell ref="B4434:I4434"/>
    <mergeCell ref="B4435:I4435"/>
    <mergeCell ref="B4436:I4436"/>
    <mergeCell ref="B4437:I4437"/>
    <mergeCell ref="B4438:I4438"/>
    <mergeCell ref="B4439:I4439"/>
    <mergeCell ref="B4440:I4440"/>
    <mergeCell ref="B4441:I4441"/>
    <mergeCell ref="B4442:I4442"/>
    <mergeCell ref="B4443:I4443"/>
    <mergeCell ref="B4444:I4444"/>
    <mergeCell ref="B4445:I4445"/>
    <mergeCell ref="B4446:I4446"/>
    <mergeCell ref="B4447:I4447"/>
    <mergeCell ref="B4448:I4448"/>
    <mergeCell ref="B4449:I4449"/>
    <mergeCell ref="B4450:I4450"/>
    <mergeCell ref="B4451:I4451"/>
    <mergeCell ref="B4452:I4452"/>
    <mergeCell ref="B4453:I4453"/>
    <mergeCell ref="B4454:I4454"/>
    <mergeCell ref="B4455:I4455"/>
    <mergeCell ref="B4456:I4456"/>
    <mergeCell ref="B4457:I4457"/>
    <mergeCell ref="B4458:I4458"/>
    <mergeCell ref="B4459:I4459"/>
    <mergeCell ref="B4460:I4460"/>
    <mergeCell ref="B4461:I4461"/>
    <mergeCell ref="B4462:I4462"/>
    <mergeCell ref="B4463:I4463"/>
    <mergeCell ref="B4464:I4464"/>
    <mergeCell ref="B4465:I4465"/>
    <mergeCell ref="B4466:I4466"/>
    <mergeCell ref="B4467:I4467"/>
    <mergeCell ref="B4468:I4468"/>
    <mergeCell ref="B4469:I4469"/>
    <mergeCell ref="B4470:I4470"/>
    <mergeCell ref="B4471:I4471"/>
    <mergeCell ref="B4472:I4472"/>
    <mergeCell ref="B4473:I4473"/>
    <mergeCell ref="B4474:I4474"/>
    <mergeCell ref="B4475:I4475"/>
    <mergeCell ref="B4476:I4476"/>
    <mergeCell ref="B4477:I4477"/>
    <mergeCell ref="B4478:I4478"/>
    <mergeCell ref="B4479:I4479"/>
    <mergeCell ref="B4480:I4480"/>
    <mergeCell ref="B4481:I4481"/>
    <mergeCell ref="B4482:I4482"/>
    <mergeCell ref="B4483:I4483"/>
    <mergeCell ref="B4484:I4484"/>
    <mergeCell ref="B4485:I4485"/>
    <mergeCell ref="B4486:I4486"/>
    <mergeCell ref="B4487:I4487"/>
    <mergeCell ref="B4488:I4488"/>
    <mergeCell ref="B4489:I4489"/>
    <mergeCell ref="B4490:I4490"/>
    <mergeCell ref="B4491:I4491"/>
    <mergeCell ref="B4492:I4492"/>
    <mergeCell ref="B4493:I4493"/>
    <mergeCell ref="B4837:I4837"/>
    <mergeCell ref="B4838:I4838"/>
    <mergeCell ref="B4839:I4839"/>
    <mergeCell ref="B4840:I4840"/>
    <mergeCell ref="B4841:I4841"/>
    <mergeCell ref="B4842:I4842"/>
    <mergeCell ref="B4843:I4843"/>
    <mergeCell ref="B4844:I4844"/>
    <mergeCell ref="B4845:I4845"/>
    <mergeCell ref="B4846:I4846"/>
    <mergeCell ref="B4847:I4847"/>
    <mergeCell ref="B4848:I4848"/>
    <mergeCell ref="B4849:I4849"/>
    <mergeCell ref="B4850:I4850"/>
    <mergeCell ref="B4851:I4851"/>
    <mergeCell ref="B4852:I4852"/>
    <mergeCell ref="B4853:I4853"/>
    <mergeCell ref="B4854:I4854"/>
    <mergeCell ref="B4855:I4855"/>
    <mergeCell ref="B4856:I4856"/>
    <mergeCell ref="B4857:I4857"/>
    <mergeCell ref="B4858:I4858"/>
    <mergeCell ref="B4859:I4859"/>
    <mergeCell ref="B4860:I4860"/>
    <mergeCell ref="B4861:I4861"/>
    <mergeCell ref="B4862:I4862"/>
    <mergeCell ref="B4863:I4863"/>
    <mergeCell ref="B4864:I4864"/>
    <mergeCell ref="B4865:I4865"/>
    <mergeCell ref="B4866:I4866"/>
    <mergeCell ref="B4867:I4867"/>
    <mergeCell ref="B4868:I4868"/>
    <mergeCell ref="B4869:I4869"/>
    <mergeCell ref="B4870:I4870"/>
    <mergeCell ref="B4871:I4871"/>
    <mergeCell ref="B4872:I4872"/>
    <mergeCell ref="B4873:I4873"/>
    <mergeCell ref="B4874:I4874"/>
    <mergeCell ref="B4875:I4875"/>
    <mergeCell ref="B4876:I4876"/>
    <mergeCell ref="B4877:I4877"/>
    <mergeCell ref="B4878:I4878"/>
    <mergeCell ref="B4879:I4879"/>
    <mergeCell ref="B4880:I4880"/>
    <mergeCell ref="B4881:I4881"/>
    <mergeCell ref="B4882:I4882"/>
    <mergeCell ref="B4883:I4883"/>
    <mergeCell ref="B4884:I4884"/>
    <mergeCell ref="B4885:I4885"/>
    <mergeCell ref="B4935:I4935"/>
    <mergeCell ref="B4936:I4936"/>
    <mergeCell ref="B4937:I4937"/>
    <mergeCell ref="B4938:I4938"/>
    <mergeCell ref="B4939:I4939"/>
    <mergeCell ref="B4940:I4940"/>
    <mergeCell ref="B4941:I4941"/>
    <mergeCell ref="B4942:I4942"/>
    <mergeCell ref="B4943:I4943"/>
    <mergeCell ref="B4944:I4944"/>
    <mergeCell ref="B4945:I4945"/>
    <mergeCell ref="B4946:I4946"/>
    <mergeCell ref="B4947:I4947"/>
    <mergeCell ref="B4948:I4948"/>
    <mergeCell ref="B4949:I4949"/>
    <mergeCell ref="B4950:I4950"/>
    <mergeCell ref="B4951:I4951"/>
    <mergeCell ref="B4952:I4952"/>
    <mergeCell ref="B4953:I4953"/>
    <mergeCell ref="B4954:I4954"/>
    <mergeCell ref="B4955:I4955"/>
    <mergeCell ref="B4956:I4956"/>
    <mergeCell ref="B4957:I4957"/>
    <mergeCell ref="B4958:I4958"/>
    <mergeCell ref="B4959:I4959"/>
    <mergeCell ref="B4960:I4960"/>
    <mergeCell ref="B4961:I4961"/>
    <mergeCell ref="B4962:I4962"/>
    <mergeCell ref="B4963:I4963"/>
    <mergeCell ref="B4964:I4964"/>
    <mergeCell ref="B4965:I4965"/>
    <mergeCell ref="B4966:I4966"/>
    <mergeCell ref="B4967:I4967"/>
    <mergeCell ref="B4968:I4968"/>
    <mergeCell ref="B4969:I4969"/>
    <mergeCell ref="B4977:I4977"/>
    <mergeCell ref="B4978:I4978"/>
    <mergeCell ref="B4979:I4979"/>
    <mergeCell ref="B4970:I4970"/>
    <mergeCell ref="B4971:I4971"/>
    <mergeCell ref="B4972:I4972"/>
    <mergeCell ref="B4973:I4973"/>
    <mergeCell ref="B4974:I4974"/>
    <mergeCell ref="B4975:I4975"/>
    <mergeCell ref="B4976:I4976"/>
    <mergeCell ref="B4886:I4886"/>
    <mergeCell ref="B4887:I4887"/>
    <mergeCell ref="B4888:I4888"/>
    <mergeCell ref="B4889:I4889"/>
    <mergeCell ref="B4890:I4890"/>
    <mergeCell ref="B4891:I4891"/>
    <mergeCell ref="B4892:I4892"/>
    <mergeCell ref="B4893:I4893"/>
    <mergeCell ref="B4894:I4894"/>
    <mergeCell ref="B4895:I4895"/>
    <mergeCell ref="B4896:I4896"/>
    <mergeCell ref="B4897:I4897"/>
    <mergeCell ref="B4898:I4898"/>
    <mergeCell ref="B4899:I4899"/>
    <mergeCell ref="B4900:I4900"/>
    <mergeCell ref="B4901:I4901"/>
    <mergeCell ref="B4902:I4902"/>
    <mergeCell ref="B4903:I4903"/>
    <mergeCell ref="B4904:I4904"/>
    <mergeCell ref="B4905:I4905"/>
    <mergeCell ref="B4906:I4906"/>
    <mergeCell ref="B4907:I4907"/>
    <mergeCell ref="B4908:I4908"/>
    <mergeCell ref="B4909:I4909"/>
    <mergeCell ref="B4910:I4910"/>
    <mergeCell ref="B4911:I4911"/>
    <mergeCell ref="B4912:I4912"/>
    <mergeCell ref="B4913:I4913"/>
    <mergeCell ref="B4914:I4914"/>
    <mergeCell ref="B4915:I4915"/>
    <mergeCell ref="B4916:I4916"/>
    <mergeCell ref="B4917:I4917"/>
    <mergeCell ref="B4918:I4918"/>
    <mergeCell ref="B4919:I4919"/>
    <mergeCell ref="B4920:I4920"/>
    <mergeCell ref="B4921:I4921"/>
    <mergeCell ref="B4922:I4922"/>
    <mergeCell ref="B4923:I4923"/>
    <mergeCell ref="B4924:I4924"/>
    <mergeCell ref="B4925:I4925"/>
    <mergeCell ref="B4926:I4926"/>
    <mergeCell ref="B4927:I4927"/>
    <mergeCell ref="B4928:I4928"/>
    <mergeCell ref="B4929:I4929"/>
    <mergeCell ref="B4930:I4930"/>
    <mergeCell ref="B4931:I4931"/>
    <mergeCell ref="B4932:I4932"/>
    <mergeCell ref="B4933:I4933"/>
    <mergeCell ref="B4934:I4934"/>
    <mergeCell ref="B4494:I4494"/>
    <mergeCell ref="B4495:I4495"/>
    <mergeCell ref="B4496:I4496"/>
    <mergeCell ref="B4497:I4497"/>
    <mergeCell ref="B4498:I4498"/>
    <mergeCell ref="B4499:I4499"/>
    <mergeCell ref="B4500:I4500"/>
    <mergeCell ref="B4501:I4501"/>
    <mergeCell ref="B4502:I4502"/>
    <mergeCell ref="B4503:I4503"/>
    <mergeCell ref="B4504:I4504"/>
    <mergeCell ref="B4505:I4505"/>
    <mergeCell ref="B4506:I4506"/>
    <mergeCell ref="B4507:I4507"/>
    <mergeCell ref="B4508:I4508"/>
    <mergeCell ref="B4509:I4509"/>
    <mergeCell ref="B4510:I4510"/>
    <mergeCell ref="B4511:I4511"/>
    <mergeCell ref="B4512:I4512"/>
    <mergeCell ref="B4513:I4513"/>
    <mergeCell ref="B4514:I4514"/>
    <mergeCell ref="B4515:I4515"/>
    <mergeCell ref="B4516:I4516"/>
    <mergeCell ref="B4517:I4517"/>
    <mergeCell ref="B4518:I4518"/>
    <mergeCell ref="B4519:I4519"/>
    <mergeCell ref="B4520:I4520"/>
    <mergeCell ref="B4521:I4521"/>
    <mergeCell ref="B4522:I4522"/>
    <mergeCell ref="B4523:I4523"/>
    <mergeCell ref="B4524:I4524"/>
    <mergeCell ref="B4525:I4525"/>
    <mergeCell ref="B4526:I4526"/>
    <mergeCell ref="B4527:I4527"/>
    <mergeCell ref="B4528:I4528"/>
    <mergeCell ref="B4529:I4529"/>
    <mergeCell ref="B4530:I4530"/>
    <mergeCell ref="B4531:I4531"/>
    <mergeCell ref="B4532:I4532"/>
    <mergeCell ref="B4533:I4533"/>
    <mergeCell ref="B4534:I4534"/>
    <mergeCell ref="B4535:I4535"/>
    <mergeCell ref="B4536:I4536"/>
    <mergeCell ref="B4537:I4537"/>
    <mergeCell ref="B4538:I4538"/>
    <mergeCell ref="B4539:I4539"/>
    <mergeCell ref="B4540:I4540"/>
    <mergeCell ref="B4541:I4541"/>
    <mergeCell ref="B4542:I4542"/>
    <mergeCell ref="B4543:I4543"/>
    <mergeCell ref="B4544:I4544"/>
    <mergeCell ref="B4545:I4545"/>
    <mergeCell ref="B4546:I4546"/>
    <mergeCell ref="B4547:I4547"/>
    <mergeCell ref="B4548:I4548"/>
    <mergeCell ref="B4549:I4549"/>
    <mergeCell ref="B4550:I4550"/>
    <mergeCell ref="B4551:I4551"/>
    <mergeCell ref="B4552:I4552"/>
    <mergeCell ref="B4553:I4553"/>
    <mergeCell ref="B4554:I4554"/>
    <mergeCell ref="B4555:I4555"/>
    <mergeCell ref="B4556:I4556"/>
    <mergeCell ref="B4557:I4557"/>
    <mergeCell ref="B4558:I4558"/>
    <mergeCell ref="B4559:I4559"/>
    <mergeCell ref="B4560:I4560"/>
    <mergeCell ref="B4561:I4561"/>
    <mergeCell ref="B4562:I4562"/>
    <mergeCell ref="B4563:I4563"/>
    <mergeCell ref="B4564:I4564"/>
    <mergeCell ref="B4565:I4565"/>
    <mergeCell ref="B4566:I4566"/>
    <mergeCell ref="B4567:I4567"/>
    <mergeCell ref="B4568:I4568"/>
    <mergeCell ref="B4569:I4569"/>
    <mergeCell ref="B4570:I4570"/>
    <mergeCell ref="B4571:I4571"/>
    <mergeCell ref="B4572:I4572"/>
    <mergeCell ref="B4573:I4573"/>
    <mergeCell ref="B4574:I4574"/>
    <mergeCell ref="B4575:I4575"/>
    <mergeCell ref="B4576:I4576"/>
    <mergeCell ref="B4577:I4577"/>
    <mergeCell ref="B4578:I4578"/>
    <mergeCell ref="B4579:I4579"/>
    <mergeCell ref="B4580:I4580"/>
    <mergeCell ref="B4581:I4581"/>
    <mergeCell ref="B4582:I4582"/>
    <mergeCell ref="B4583:I4583"/>
    <mergeCell ref="B4584:I4584"/>
    <mergeCell ref="B4585:I4585"/>
    <mergeCell ref="B4586:I4586"/>
    <mergeCell ref="B4587:I4587"/>
    <mergeCell ref="B4588:I4588"/>
    <mergeCell ref="B4589:I4589"/>
    <mergeCell ref="B4590:I4590"/>
    <mergeCell ref="B4591:I4591"/>
    <mergeCell ref="B4592:I4592"/>
    <mergeCell ref="B4593:I4593"/>
    <mergeCell ref="B4594:I4594"/>
    <mergeCell ref="B4595:I4595"/>
    <mergeCell ref="B4596:I4596"/>
    <mergeCell ref="B4597:I4597"/>
    <mergeCell ref="B4598:I4598"/>
    <mergeCell ref="B4599:I4599"/>
    <mergeCell ref="B4600:I4600"/>
    <mergeCell ref="B4601:I4601"/>
    <mergeCell ref="B4602:I4602"/>
    <mergeCell ref="B4603:I4603"/>
    <mergeCell ref="B4604:I4604"/>
    <mergeCell ref="B4605:I4605"/>
    <mergeCell ref="B4606:I4606"/>
    <mergeCell ref="B4607:I4607"/>
    <mergeCell ref="B4608:I4608"/>
    <mergeCell ref="B4609:I4609"/>
    <mergeCell ref="B4610:I4610"/>
    <mergeCell ref="B4611:I4611"/>
    <mergeCell ref="B4612:I4612"/>
    <mergeCell ref="B4613:I4613"/>
    <mergeCell ref="B4614:I4614"/>
    <mergeCell ref="B4615:I4615"/>
    <mergeCell ref="B4616:I4616"/>
    <mergeCell ref="B4617:I4617"/>
    <mergeCell ref="B4618:I4618"/>
    <mergeCell ref="B4619:I4619"/>
    <mergeCell ref="B4620:I4620"/>
    <mergeCell ref="B4621:I4621"/>
    <mergeCell ref="B4622:I4622"/>
    <mergeCell ref="B4623:I4623"/>
    <mergeCell ref="B4624:I4624"/>
    <mergeCell ref="B4625:I4625"/>
    <mergeCell ref="B4626:I4626"/>
    <mergeCell ref="B4627:I4627"/>
    <mergeCell ref="B4628:I4628"/>
    <mergeCell ref="B4629:I4629"/>
    <mergeCell ref="B4630:I4630"/>
    <mergeCell ref="B4631:I4631"/>
    <mergeCell ref="B4632:I4632"/>
    <mergeCell ref="B4633:I4633"/>
    <mergeCell ref="B4634:I4634"/>
    <mergeCell ref="B4635:I4635"/>
    <mergeCell ref="B4636:I4636"/>
    <mergeCell ref="B4637:I4637"/>
    <mergeCell ref="B4638:I4638"/>
    <mergeCell ref="B4639:I4639"/>
    <mergeCell ref="B4640:I4640"/>
    <mergeCell ref="B4641:I4641"/>
    <mergeCell ref="B4642:I4642"/>
    <mergeCell ref="B4643:I4643"/>
    <mergeCell ref="B4644:I4644"/>
    <mergeCell ref="B4645:I4645"/>
    <mergeCell ref="B4646:I4646"/>
    <mergeCell ref="B4647:I4647"/>
    <mergeCell ref="B4648:I4648"/>
    <mergeCell ref="B4649:I4649"/>
    <mergeCell ref="B4650:I4650"/>
    <mergeCell ref="B4651:I4651"/>
    <mergeCell ref="B4652:I4652"/>
    <mergeCell ref="B4653:I4653"/>
    <mergeCell ref="B4654:I4654"/>
    <mergeCell ref="B4655:I4655"/>
    <mergeCell ref="B4656:I4656"/>
    <mergeCell ref="B4657:I4657"/>
    <mergeCell ref="B4658:I4658"/>
    <mergeCell ref="B4659:I4659"/>
    <mergeCell ref="B4660:I4660"/>
    <mergeCell ref="B4661:I4661"/>
    <mergeCell ref="B4662:I4662"/>
    <mergeCell ref="B4663:I4663"/>
    <mergeCell ref="B4664:I4664"/>
    <mergeCell ref="B4665:I4665"/>
    <mergeCell ref="B4666:I4666"/>
    <mergeCell ref="B4667:I4667"/>
    <mergeCell ref="B4668:I4668"/>
    <mergeCell ref="B4669:I4669"/>
    <mergeCell ref="B4670:I4670"/>
    <mergeCell ref="B4671:I4671"/>
    <mergeCell ref="B4672:I4672"/>
    <mergeCell ref="B4673:I4673"/>
    <mergeCell ref="B4674:I4674"/>
    <mergeCell ref="B4675:I4675"/>
    <mergeCell ref="B4676:I4676"/>
    <mergeCell ref="B4677:I4677"/>
    <mergeCell ref="B4678:I4678"/>
    <mergeCell ref="B4679:I4679"/>
    <mergeCell ref="B4680:I4680"/>
    <mergeCell ref="B4681:I4681"/>
    <mergeCell ref="B4682:I4682"/>
    <mergeCell ref="B4683:I4683"/>
    <mergeCell ref="B4684:I4684"/>
    <mergeCell ref="B4685:I4685"/>
    <mergeCell ref="B4686:I4686"/>
    <mergeCell ref="B4687:I4687"/>
    <mergeCell ref="B4688:I4688"/>
    <mergeCell ref="B4689:I4689"/>
    <mergeCell ref="B4690:I4690"/>
    <mergeCell ref="B4691:I4691"/>
    <mergeCell ref="B4692:I4692"/>
    <mergeCell ref="B4693:I4693"/>
    <mergeCell ref="B4694:I4694"/>
    <mergeCell ref="B4695:I4695"/>
    <mergeCell ref="B4696:I4696"/>
    <mergeCell ref="B4697:I4697"/>
    <mergeCell ref="B4698:I4698"/>
    <mergeCell ref="B4699:I4699"/>
    <mergeCell ref="B4700:I4700"/>
    <mergeCell ref="B4701:I4701"/>
    <mergeCell ref="B4702:I4702"/>
    <mergeCell ref="B4703:I4703"/>
    <mergeCell ref="B4704:I4704"/>
    <mergeCell ref="B4705:I4705"/>
    <mergeCell ref="B4706:I4706"/>
    <mergeCell ref="B4707:I4707"/>
    <mergeCell ref="B4708:I4708"/>
    <mergeCell ref="B4709:I4709"/>
    <mergeCell ref="B4710:I4710"/>
    <mergeCell ref="B4711:I4711"/>
    <mergeCell ref="B4712:I4712"/>
    <mergeCell ref="B4713:I4713"/>
    <mergeCell ref="B4714:I4714"/>
    <mergeCell ref="B4715:I4715"/>
    <mergeCell ref="B4716:I4716"/>
    <mergeCell ref="B4717:I4717"/>
    <mergeCell ref="B4718:I4718"/>
    <mergeCell ref="B4719:I4719"/>
    <mergeCell ref="B4720:I4720"/>
    <mergeCell ref="B4721:I4721"/>
    <mergeCell ref="B4722:I4722"/>
    <mergeCell ref="B4723:I4723"/>
    <mergeCell ref="B4724:I4724"/>
    <mergeCell ref="B4725:I4725"/>
    <mergeCell ref="B4726:I4726"/>
    <mergeCell ref="B4727:I4727"/>
    <mergeCell ref="B4728:I4728"/>
    <mergeCell ref="B4729:I4729"/>
    <mergeCell ref="B4730:I4730"/>
    <mergeCell ref="B4731:I4731"/>
    <mergeCell ref="B4732:I4732"/>
    <mergeCell ref="B4733:I4733"/>
    <mergeCell ref="B4734:I4734"/>
    <mergeCell ref="B4735:I4735"/>
    <mergeCell ref="B4736:I4736"/>
    <mergeCell ref="B4737:I4737"/>
    <mergeCell ref="B4738:I4738"/>
    <mergeCell ref="B4739:I4739"/>
    <mergeCell ref="B4740:I4740"/>
    <mergeCell ref="B4741:I4741"/>
    <mergeCell ref="B4742:I4742"/>
    <mergeCell ref="B4743:I4743"/>
    <mergeCell ref="B4744:I4744"/>
    <mergeCell ref="B4745:I4745"/>
    <mergeCell ref="B4746:I4746"/>
    <mergeCell ref="B4747:I4747"/>
    <mergeCell ref="B4748:I4748"/>
    <mergeCell ref="B4749:I4749"/>
    <mergeCell ref="B4750:I4750"/>
    <mergeCell ref="B4751:I4751"/>
    <mergeCell ref="B4752:I4752"/>
    <mergeCell ref="B4753:I4753"/>
    <mergeCell ref="B4754:I4754"/>
    <mergeCell ref="B4755:I4755"/>
    <mergeCell ref="B4756:I4756"/>
    <mergeCell ref="B4757:I4757"/>
    <mergeCell ref="B4758:I4758"/>
    <mergeCell ref="B4759:I4759"/>
    <mergeCell ref="B4760:I4760"/>
    <mergeCell ref="B4761:I4761"/>
    <mergeCell ref="B4762:I4762"/>
    <mergeCell ref="B4763:I4763"/>
    <mergeCell ref="B4764:I4764"/>
    <mergeCell ref="B4765:I4765"/>
    <mergeCell ref="B4766:I4766"/>
    <mergeCell ref="B4767:I4767"/>
    <mergeCell ref="B4768:I4768"/>
    <mergeCell ref="B4769:I4769"/>
    <mergeCell ref="B4770:I4770"/>
    <mergeCell ref="B4771:I4771"/>
    <mergeCell ref="B4772:I4772"/>
    <mergeCell ref="B4773:I4773"/>
    <mergeCell ref="B4774:I4774"/>
    <mergeCell ref="B4775:I4775"/>
    <mergeCell ref="B4776:I4776"/>
    <mergeCell ref="B4777:I4777"/>
    <mergeCell ref="B4778:I4778"/>
    <mergeCell ref="B4779:I4779"/>
    <mergeCell ref="B4780:I4780"/>
    <mergeCell ref="B4781:I4781"/>
    <mergeCell ref="B4782:I4782"/>
    <mergeCell ref="B4783:I4783"/>
    <mergeCell ref="B4784:I4784"/>
    <mergeCell ref="B4785:I4785"/>
    <mergeCell ref="B4786:I4786"/>
    <mergeCell ref="B4787:I4787"/>
    <mergeCell ref="B4788:I4788"/>
    <mergeCell ref="B4789:I4789"/>
    <mergeCell ref="B4790:I4790"/>
    <mergeCell ref="B4791:I4791"/>
    <mergeCell ref="B4792:I4792"/>
    <mergeCell ref="B4793:I4793"/>
    <mergeCell ref="B4794:I4794"/>
    <mergeCell ref="B4795:I4795"/>
    <mergeCell ref="B4796:I4796"/>
    <mergeCell ref="B4797:I4797"/>
    <mergeCell ref="B4798:I4798"/>
    <mergeCell ref="B4799:I4799"/>
    <mergeCell ref="B4800:I4800"/>
    <mergeCell ref="B4801:I4801"/>
    <mergeCell ref="B4802:I4802"/>
    <mergeCell ref="B4803:I4803"/>
    <mergeCell ref="B4804:I4804"/>
    <mergeCell ref="B4805:I4805"/>
    <mergeCell ref="B4806:I4806"/>
    <mergeCell ref="B4807:I4807"/>
    <mergeCell ref="B4808:I4808"/>
    <mergeCell ref="B4809:I4809"/>
    <mergeCell ref="B4810:I4810"/>
    <mergeCell ref="B4811:I4811"/>
    <mergeCell ref="B4812:I4812"/>
    <mergeCell ref="B4813:I4813"/>
    <mergeCell ref="B4814:I4814"/>
    <mergeCell ref="B4815:I4815"/>
    <mergeCell ref="B4816:I4816"/>
    <mergeCell ref="B4817:I4817"/>
    <mergeCell ref="B4818:I4818"/>
    <mergeCell ref="B4819:I4819"/>
    <mergeCell ref="B4820:I4820"/>
    <mergeCell ref="B4821:I4821"/>
    <mergeCell ref="B4822:I4822"/>
    <mergeCell ref="B4823:I4823"/>
    <mergeCell ref="B4824:I4824"/>
    <mergeCell ref="B4825:I4825"/>
    <mergeCell ref="B4826:I4826"/>
    <mergeCell ref="B4827:I4827"/>
    <mergeCell ref="B4828:I4828"/>
    <mergeCell ref="B4829:I4829"/>
    <mergeCell ref="B4830:I4830"/>
    <mergeCell ref="B4831:I4831"/>
    <mergeCell ref="B4832:I4832"/>
    <mergeCell ref="B4833:I4833"/>
    <mergeCell ref="B4834:I4834"/>
    <mergeCell ref="B4835:I4835"/>
    <mergeCell ref="B4836:I4836"/>
  </mergeCells>
  <conditionalFormatting sqref="I24:I2798">
    <cfRule type="cellIs" dxfId="2" priority="1" operator="equal">
      <formula>15</formula>
    </cfRule>
  </conditionalFormatting>
  <conditionalFormatting sqref="H24:H2798">
    <cfRule type="cellIs" dxfId="2" priority="2" operator="equal">
      <formula>13</formula>
    </cfRule>
  </conditionalFormatting>
  <conditionalFormatting sqref="G24:G2798">
    <cfRule type="cellIs" dxfId="2" priority="3" operator="equal">
      <formula>10</formula>
    </cfRule>
  </conditionalFormatting>
  <conditionalFormatting sqref="F24:F2798">
    <cfRule type="cellIs" dxfId="2" priority="4" operator="equal">
      <formula>9</formula>
    </cfRule>
  </conditionalFormatting>
  <conditionalFormatting sqref="E24:E2798">
    <cfRule type="cellIs" dxfId="2" priority="5" operator="equal">
      <formula>2</formula>
    </cfRule>
  </conditionalFormatting>
  <conditionalFormatting sqref="E24:I2798">
    <cfRule type="containsBlanks" dxfId="6" priority="6">
      <formula>LEN(TRIM(E24))=0</formula>
    </cfRule>
  </conditionalFormatting>
  <conditionalFormatting sqref="I24:I2798">
    <cfRule type="cellIs" dxfId="1" priority="7" operator="notEqual">
      <formula>15</formula>
    </cfRule>
  </conditionalFormatting>
  <conditionalFormatting sqref="H24:H2798">
    <cfRule type="cellIs" dxfId="1" priority="8" operator="notEqual">
      <formula>13</formula>
    </cfRule>
  </conditionalFormatting>
  <conditionalFormatting sqref="G24:G2798">
    <cfRule type="cellIs" dxfId="1" priority="9" operator="notEqual">
      <formula>10</formula>
    </cfRule>
  </conditionalFormatting>
  <conditionalFormatting sqref="F24:F2798">
    <cfRule type="cellIs" dxfId="1" priority="10" operator="notEqual">
      <formula>9</formula>
    </cfRule>
  </conditionalFormatting>
  <conditionalFormatting sqref="E24:E2798">
    <cfRule type="cellIs" dxfId="7" priority="11" operator="notEqual">
      <formula>2</formula>
    </cfRule>
  </conditionalFormatting>
  <conditionalFormatting sqref="D24:D2798">
    <cfRule type="cellIs" dxfId="2" priority="12" operator="equal">
      <formula>1</formula>
    </cfRule>
  </conditionalFormatting>
  <conditionalFormatting sqref="D24:D2798">
    <cfRule type="containsBlanks" dxfId="3" priority="13">
      <formula>LEN(TRIM(D24))=0</formula>
    </cfRule>
  </conditionalFormatting>
  <conditionalFormatting sqref="D24:D2798">
    <cfRule type="cellIs" dxfId="1" priority="14" operator="notEqual">
      <formula>1</formula>
    </cfRule>
  </conditionalFormatting>
  <conditionalFormatting sqref="B24:B2798">
    <cfRule type="cellIs" dxfId="0" priority="15" operator="equal">
      <formula>"YES"</formula>
    </cfRule>
  </conditionalFormatting>
  <conditionalFormatting sqref="B24:B2798">
    <cfRule type="cellIs" dxfId="1" priority="16" operator="equal">
      <formula>"NO"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38"/>
    <col customWidth="1" min="2" max="2" width="15.13"/>
    <col customWidth="1" min="3" max="3" width="13.75"/>
    <col customWidth="1" min="4" max="4" width="5.88"/>
    <col customWidth="1" min="5" max="5" width="4.5"/>
    <col customWidth="1" min="6" max="6" width="5.5"/>
    <col customWidth="1" min="7" max="7" width="16.25"/>
    <col customWidth="1" min="8" max="8" width="6.13"/>
    <col customWidth="1" min="9" max="9" width="9.38"/>
    <col customWidth="1" min="10" max="10" width="7.25"/>
    <col customWidth="1" min="11" max="11" width="19.5"/>
    <col customWidth="1" min="12" max="12" width="8.63"/>
    <col customWidth="1" min="13" max="13" width="11.0"/>
    <col customWidth="1" min="14" max="14" width="7.88"/>
    <col customWidth="1" min="15" max="15" width="4.75"/>
    <col customWidth="1" min="16" max="16" width="8.13"/>
    <col customWidth="1" min="17" max="17" width="2.88"/>
    <col customWidth="1" min="18" max="18" width="8.13"/>
    <col customWidth="1" min="19" max="19" width="2.88"/>
    <col customWidth="1" min="20" max="20" width="8.13"/>
    <col customWidth="1" min="21" max="21" width="4.25"/>
    <col customWidth="1" min="22" max="24" width="3.38"/>
    <col customWidth="1" min="25" max="29" width="4.25"/>
  </cols>
  <sheetData>
    <row r="1">
      <c r="A1" s="5" t="s">
        <v>1289</v>
      </c>
      <c r="B1" s="26" t="s">
        <v>9</v>
      </c>
      <c r="C1" s="23" t="s">
        <v>1290</v>
      </c>
      <c r="D1" s="6" t="s">
        <v>11</v>
      </c>
      <c r="E1" s="23" t="s">
        <v>1291</v>
      </c>
      <c r="F1" s="6" t="s">
        <v>13</v>
      </c>
      <c r="G1" s="23" t="s">
        <v>1292</v>
      </c>
      <c r="H1" s="6" t="s">
        <v>15</v>
      </c>
      <c r="I1" s="8">
        <v>45560.0</v>
      </c>
      <c r="J1" s="6" t="s">
        <v>16</v>
      </c>
      <c r="K1" s="9" t="s">
        <v>9514</v>
      </c>
      <c r="L1" s="6" t="s">
        <v>18</v>
      </c>
      <c r="M1" s="9" t="s">
        <v>9515</v>
      </c>
      <c r="N1" s="6" t="s">
        <v>20</v>
      </c>
      <c r="O1" s="9">
        <f>COUNTA(A4:A5262)-COUNTIF(B:B,"TRAVEL BACK")-COUNTIF(B:B,"COLOR SAMPLE")-COUNTIF(B:B,"TRASH")</f>
        <v>1262</v>
      </c>
    </row>
    <row r="2">
      <c r="A2" s="10" t="s">
        <v>21</v>
      </c>
      <c r="B2" s="10" t="s">
        <v>22</v>
      </c>
      <c r="C2" s="10">
        <f>COUNTIF(B4:B7757,"YES")</f>
        <v>279</v>
      </c>
      <c r="D2" s="10" t="s">
        <v>23</v>
      </c>
      <c r="E2" s="10">
        <f>COUNTIF(C4:C7757,"1")</f>
        <v>228</v>
      </c>
      <c r="F2" s="10" t="s">
        <v>24</v>
      </c>
      <c r="G2" s="10">
        <f>COUNTIF(C4:C7757,"2")</f>
        <v>20</v>
      </c>
      <c r="H2" s="10" t="s">
        <v>25</v>
      </c>
      <c r="I2" s="11">
        <f>COUNTIF(C4:C7757,"3")</f>
        <v>21</v>
      </c>
      <c r="J2" s="10" t="s">
        <v>26</v>
      </c>
      <c r="K2" s="12">
        <f>COUNTIF(C4:C7757,"4")</f>
        <v>9</v>
      </c>
      <c r="L2" s="10" t="s">
        <v>27</v>
      </c>
      <c r="M2" s="12">
        <f>COUNTIF(C4:C7757,"5")</f>
        <v>1</v>
      </c>
      <c r="N2" s="11" t="s">
        <v>1294</v>
      </c>
      <c r="O2" s="12">
        <f>COUNTIF(C4:C7757,"6")</f>
        <v>0</v>
      </c>
      <c r="P2" s="10" t="s">
        <v>28</v>
      </c>
      <c r="Q2" s="12">
        <f>G2+I2+K2+M2+O2</f>
        <v>51</v>
      </c>
    </row>
    <row r="3">
      <c r="A3" s="1" t="s">
        <v>29</v>
      </c>
      <c r="B3" s="1" t="s">
        <v>30</v>
      </c>
      <c r="C3" s="1" t="s">
        <v>31</v>
      </c>
      <c r="D3" s="1" t="s">
        <v>1295</v>
      </c>
      <c r="E3" s="1" t="s">
        <v>1296</v>
      </c>
      <c r="F3" s="1" t="s">
        <v>1297</v>
      </c>
      <c r="G3" s="1" t="s">
        <v>1298</v>
      </c>
      <c r="H3" s="1" t="s">
        <v>1299</v>
      </c>
      <c r="I3" s="1" t="s">
        <v>1300</v>
      </c>
      <c r="J3" s="11" t="s">
        <v>1301</v>
      </c>
      <c r="K3" s="12">
        <f>COUNTIF(D4:J7757,"1")</f>
        <v>79</v>
      </c>
      <c r="L3" s="11" t="s">
        <v>1302</v>
      </c>
      <c r="M3" s="12">
        <f>COUNTIF(D4:J7757,"2")</f>
        <v>66</v>
      </c>
      <c r="N3" s="11" t="s">
        <v>1303</v>
      </c>
      <c r="O3" s="12">
        <f>COUNTIF(D4:J7757,"9")</f>
        <v>61</v>
      </c>
      <c r="P3" s="11" t="s">
        <v>1304</v>
      </c>
      <c r="Q3" s="12">
        <f>COUNTIF(D4:J7757,"10")</f>
        <v>36</v>
      </c>
      <c r="R3" s="11" t="s">
        <v>1305</v>
      </c>
      <c r="S3" s="12">
        <f>COUNTIF(D4:J7757,"13")</f>
        <v>79</v>
      </c>
      <c r="T3" s="11" t="s">
        <v>1306</v>
      </c>
      <c r="U3" s="12">
        <f>COUNTIF(D4:J7757,"15")</f>
        <v>51</v>
      </c>
    </row>
    <row r="4">
      <c r="A4" s="4" t="s">
        <v>9516</v>
      </c>
      <c r="B4" s="13" t="s">
        <v>48</v>
      </c>
      <c r="C4" s="4">
        <v>1.0</v>
      </c>
      <c r="D4" s="4">
        <v>1.0</v>
      </c>
      <c r="E4" s="3"/>
      <c r="F4" s="3"/>
      <c r="G4" s="3"/>
      <c r="H4" s="3"/>
      <c r="I4" s="3"/>
      <c r="L4" s="4" t="s">
        <v>44</v>
      </c>
    </row>
    <row r="5">
      <c r="A5" s="4" t="s">
        <v>9517</v>
      </c>
      <c r="B5" s="13" t="s">
        <v>48</v>
      </c>
      <c r="C5" s="4">
        <v>1.0</v>
      </c>
      <c r="D5" s="4">
        <v>1.0</v>
      </c>
      <c r="E5" s="3"/>
      <c r="F5" s="3"/>
      <c r="G5" s="3"/>
      <c r="H5" s="3"/>
      <c r="I5" s="3"/>
      <c r="L5" s="14">
        <f t="array" ref="L5:Q24">UNIQUE(D4:I4979)</f>
        <v>1</v>
      </c>
      <c r="M5" s="3"/>
      <c r="N5" s="3"/>
      <c r="O5" s="3"/>
      <c r="P5" s="3"/>
      <c r="Q5" s="3"/>
      <c r="R5" s="16">
        <f t="array" ref="R5">COUNTIF($D$4:$D$3228&amp;"|"&amp;$E$4:$E$3228&amp;"|"&amp;$F$4:$F$3228&amp;"|"&amp;$G$4:$G$3228&amp;"|"&amp;$H$4:$H$3228&amp;"|"&amp;$I$4:$I$3228,$L5&amp;"|"&amp;$M5&amp;"|"&amp;$N5&amp;"|"&amp;$O5&amp;"|"&amp;$P5&amp;"|"&amp;$Q5)</f>
        <v>61</v>
      </c>
    </row>
    <row r="6">
      <c r="A6" s="4" t="s">
        <v>9518</v>
      </c>
      <c r="B6" s="13" t="s">
        <v>48</v>
      </c>
      <c r="C6" s="4">
        <v>1.0</v>
      </c>
      <c r="D6" s="4">
        <v>1.0</v>
      </c>
      <c r="E6" s="3"/>
      <c r="F6" s="3"/>
      <c r="G6" s="3"/>
      <c r="H6" s="3"/>
      <c r="I6" s="3"/>
      <c r="L6" s="3"/>
      <c r="M6" s="3"/>
      <c r="N6" s="3"/>
      <c r="O6" s="3"/>
      <c r="P6" s="3"/>
      <c r="Q6" s="3"/>
      <c r="V6" s="4" t="s">
        <v>1295</v>
      </c>
      <c r="W6" s="4" t="s">
        <v>1296</v>
      </c>
      <c r="X6" s="4" t="s">
        <v>1297</v>
      </c>
      <c r="Y6" s="4" t="s">
        <v>1298</v>
      </c>
      <c r="Z6" s="4" t="s">
        <v>1299</v>
      </c>
      <c r="AA6" s="4" t="s">
        <v>1300</v>
      </c>
      <c r="AB6" s="4"/>
      <c r="AC6" s="4"/>
    </row>
    <row r="7">
      <c r="A7" s="4" t="s">
        <v>9519</v>
      </c>
      <c r="B7" s="13" t="s">
        <v>48</v>
      </c>
      <c r="C7" s="4">
        <v>1.0</v>
      </c>
      <c r="D7" s="4">
        <v>1.0</v>
      </c>
      <c r="E7" s="3"/>
      <c r="F7" s="3"/>
      <c r="G7" s="3"/>
      <c r="H7" s="3"/>
      <c r="I7" s="3"/>
      <c r="L7" s="3"/>
      <c r="M7" s="3"/>
      <c r="N7" s="3"/>
      <c r="O7" s="3"/>
      <c r="P7" s="3"/>
      <c r="Q7" s="3">
        <v>15.0</v>
      </c>
      <c r="R7" s="16">
        <f t="array" ref="R7">COUNTIF($D$4:$D$3228&amp;"|"&amp;$E$4:$E$3228&amp;"|"&amp;$F$4:$F$3228&amp;"|"&amp;$G$4:$G$3228&amp;"|"&amp;$H$4:$H$3228&amp;"|"&amp;$I$4:$I$3228,$L7&amp;"|"&amp;$M7&amp;"|"&amp;$N7&amp;"|"&amp;$O7&amp;"|"&amp;$P7&amp;"|"&amp;$Q7)</f>
        <v>23</v>
      </c>
      <c r="U7" s="4" t="s">
        <v>1295</v>
      </c>
      <c r="V7" s="17"/>
      <c r="W7" s="3">
        <f t="array" ref="W7">SUM((MMULT(--(L6:Q26=1),TRANSPOSE(COLUMN(L6:Q6)^0))&gt;0)*(MMULT(--(L6:Q26=2),TRANSPOSE(COLUMN(L6:Q6)^0))&gt;0)*R6:R26)</f>
        <v>2</v>
      </c>
      <c r="X7" s="3">
        <f t="array" ref="X7">SUM((MMULT(--(L6:Q26=1),TRANSPOSE(COLUMN(L6:Q6)^0))&gt;0)*(MMULT(--(L6:Q26=9),TRANSPOSE(COLUMN(L6:Q6)^0))&gt;0)*R6:R26)</f>
        <v>5</v>
      </c>
      <c r="Y7" s="3">
        <f t="array" ref="Y7">SUM((MMULT(--(L6:Q26=1),TRANSPOSE(COLUMN(L6:Q6)^0))&gt;0)*(MMULT(--(L6:Q26=10),TRANSPOSE(COLUMN(L6:Q6)^0))&gt;0)*R6:R26)</f>
        <v>0</v>
      </c>
      <c r="Z7" s="3">
        <f t="array" ref="Z7">SUM((MMULT(--(L6:Q26=1),TRANSPOSE(COLUMN(L6:Q6)^0))&gt;0)*(MMULT(--(L6:Q26=13),TRANSPOSE(COLUMN(L6:Q6)^0))&gt;0)*R6:R26)</f>
        <v>12</v>
      </c>
      <c r="AA7" s="3">
        <f t="array" ref="AA7">SUM((MMULT(--(L6:Q26=1),TRANSPOSE(COLUMN(L6:Q6)^0))&gt;0)*(MMULT(--(L6:Q26=15),TRANSPOSE(COLUMN(L6:Q6)^0))&gt;0)*R6:R26)</f>
        <v>17</v>
      </c>
    </row>
    <row r="8">
      <c r="A8" s="4" t="s">
        <v>9520</v>
      </c>
      <c r="B8" s="13" t="s">
        <v>48</v>
      </c>
      <c r="C8" s="4">
        <v>1.0</v>
      </c>
      <c r="D8" s="4">
        <v>1.0</v>
      </c>
      <c r="E8" s="3"/>
      <c r="F8" s="3"/>
      <c r="G8" s="3"/>
      <c r="H8" s="3"/>
      <c r="I8" s="3"/>
      <c r="L8" s="3"/>
      <c r="M8" s="3"/>
      <c r="N8" s="3"/>
      <c r="O8" s="3">
        <v>10.0</v>
      </c>
      <c r="P8" s="3"/>
      <c r="Q8" s="3"/>
      <c r="R8" s="16">
        <f t="array" ref="R8">COUNTIF($D$4:$D$3228&amp;"|"&amp;$E$4:$E$3228&amp;"|"&amp;$F$4:$F$3228&amp;"|"&amp;$G$4:$G$3228&amp;"|"&amp;$H$4:$H$3228&amp;"|"&amp;$I$4:$I$3228,$L8&amp;"|"&amp;$M8&amp;"|"&amp;$N8&amp;"|"&amp;$O8&amp;"|"&amp;$P8&amp;"|"&amp;$Q8)</f>
        <v>36</v>
      </c>
      <c r="U8" s="4" t="s">
        <v>1296</v>
      </c>
      <c r="V8" s="17"/>
      <c r="W8" s="17"/>
      <c r="X8" s="3">
        <f t="array" ref="X8">SUM((MMULT(--(L6:Q26=2),TRANSPOSE(COLUMN(L6:Q6)^0))&gt;0)*(MMULT(--(L6:Q26=9),TRANSPOSE(COLUMN(L6:Q6)^0))&gt;0)*R6:R26)</f>
        <v>19</v>
      </c>
      <c r="Y8" s="3">
        <f t="array" ref="Y8">SUM((MMULT(--(L6:Q26=2),TRANSPOSE(COLUMN(L6:Q6)^0))&gt;0)*(MMULT(--(L6:Q26=10),TRANSPOSE(COLUMN(L6:Q6)^0))&gt;0)*R6:R26)</f>
        <v>0</v>
      </c>
      <c r="Z8" s="3">
        <f t="array" ref="Z8">SUM((MMULT(--(L6:Q26=2),TRANSPOSE(COLUMN(L6:Q6)^0))&gt;0)*(MMULT(--(L6:Q26=13),TRANSPOSE(COLUMN(L6:Q6)^0))&gt;0)*R6:R26)</f>
        <v>19</v>
      </c>
      <c r="AA8" s="3">
        <f t="array" ref="AA8">SUM((MMULT(--(L6:Q26=2),TRANSPOSE(COLUMN(L6:Q6)^0))&gt;0)*(MMULT(--(L6:Q26=15),TRANSPOSE(COLUMN(L6:Q6)^0))&gt;0)*R6:R26)</f>
        <v>7</v>
      </c>
    </row>
    <row r="9">
      <c r="A9" s="4" t="s">
        <v>9521</v>
      </c>
      <c r="B9" s="13" t="s">
        <v>48</v>
      </c>
      <c r="C9" s="4">
        <v>1.0</v>
      </c>
      <c r="D9" s="4">
        <v>1.0</v>
      </c>
      <c r="E9" s="3"/>
      <c r="F9" s="3"/>
      <c r="G9" s="3"/>
      <c r="H9" s="3"/>
      <c r="I9" s="3"/>
      <c r="L9" s="3"/>
      <c r="M9" s="3"/>
      <c r="N9" s="3">
        <v>9.0</v>
      </c>
      <c r="O9" s="3"/>
      <c r="P9" s="3"/>
      <c r="Q9" s="3"/>
      <c r="R9" s="16">
        <f t="array" ref="R9">COUNTIF($D$4:$D$3228&amp;"|"&amp;$E$4:$E$3228&amp;"|"&amp;$F$4:$F$3228&amp;"|"&amp;$G$4:$G$3228&amp;"|"&amp;$H$4:$H$3228&amp;"|"&amp;$I$4:$I$3228,$L9&amp;"|"&amp;$M9&amp;"|"&amp;$N9&amp;"|"&amp;$O9&amp;"|"&amp;$P9&amp;"|"&amp;$Q9)</f>
        <v>27</v>
      </c>
      <c r="U9" s="4" t="s">
        <v>1297</v>
      </c>
      <c r="V9" s="17"/>
      <c r="W9" s="17"/>
      <c r="X9" s="17"/>
      <c r="Y9" s="3">
        <f t="array" ref="Y9">SUM((MMULT(--(L6:Q26=9),TRANSPOSE(COLUMN(L6:Q6)^0))&gt;0)*(MMULT(--(L6:Q26=10),TRANSPOSE(COLUMN(L6:Q6)^0))&gt;0)*R6:R26)</f>
        <v>0</v>
      </c>
      <c r="Z9" s="3">
        <f t="array" ref="Z9">SUM((MMULT(--(L6:Q26=9),TRANSPOSE(COLUMN(L6:Q6)^0))&gt;0)*(MMULT(--(L6:Q26=13),TRANSPOSE(COLUMN(L6:Q6)^0))&gt;0)*R6:R26)</f>
        <v>29</v>
      </c>
      <c r="AA9" s="3">
        <f t="array" ref="AA9">SUM((MMULT(--(L6:Q26=9),TRANSPOSE(COLUMN(L6:Q6)^0))&gt;0)*(MMULT(--(L6:Q26=15),TRANSPOSE(COLUMN(L6:Q6)^0))&gt;0)*R6:R26)</f>
        <v>16</v>
      </c>
    </row>
    <row r="10">
      <c r="A10" s="4" t="s">
        <v>9522</v>
      </c>
      <c r="B10" s="13" t="s">
        <v>48</v>
      </c>
      <c r="C10" s="4">
        <v>1.0</v>
      </c>
      <c r="D10" s="4">
        <v>1.0</v>
      </c>
      <c r="E10" s="3"/>
      <c r="F10" s="3"/>
      <c r="G10" s="3"/>
      <c r="H10" s="3"/>
      <c r="I10" s="3"/>
      <c r="L10" s="3"/>
      <c r="M10" s="3"/>
      <c r="N10" s="3">
        <v>9.0</v>
      </c>
      <c r="O10" s="3"/>
      <c r="P10" s="3">
        <v>13.0</v>
      </c>
      <c r="Q10" s="3">
        <v>15.0</v>
      </c>
      <c r="R10" s="16">
        <f t="array" ref="R10">COUNTIF($D$4:$D$3228&amp;"|"&amp;$E$4:$E$3228&amp;"|"&amp;$F$4:$F$3228&amp;"|"&amp;$G$4:$G$3228&amp;"|"&amp;$H$4:$H$3228&amp;"|"&amp;$I$4:$I$3228,$L10&amp;"|"&amp;$M10&amp;"|"&amp;$N10&amp;"|"&amp;$O10&amp;"|"&amp;$P10&amp;"|"&amp;$Q10)</f>
        <v>6</v>
      </c>
      <c r="U10" s="4" t="s">
        <v>1298</v>
      </c>
      <c r="V10" s="17"/>
      <c r="W10" s="17"/>
      <c r="X10" s="17"/>
      <c r="Y10" s="17"/>
      <c r="Z10" s="3">
        <f t="array" ref="Z10">SUM((MMULT(--(L6:Q26=10),TRANSPOSE(COLUMN(L6:Q6)^0))&gt;0)*(MMULT(--(L6:Q26=13),TRANSPOSE(COLUMN(L6:Q6)^0))&gt;0)*R6:R26)</f>
        <v>0</v>
      </c>
      <c r="AA10" s="3">
        <f t="array" ref="AA10">SUM((MMULT(--(L6:Q26=10),TRANSPOSE(COLUMN(L6:Q6)^0))&gt;0)*(MMULT(--(L6:Q26=15),TRANSPOSE(COLUMN(L6:Q6)^0))&gt;0)*R6:R26)</f>
        <v>0</v>
      </c>
    </row>
    <row r="11">
      <c r="A11" s="4" t="s">
        <v>9523</v>
      </c>
      <c r="B11" s="13" t="s">
        <v>48</v>
      </c>
      <c r="C11" s="4">
        <v>1.0</v>
      </c>
      <c r="D11" s="4">
        <v>1.0</v>
      </c>
      <c r="E11" s="3"/>
      <c r="F11" s="3"/>
      <c r="G11" s="3"/>
      <c r="H11" s="3"/>
      <c r="I11" s="3"/>
      <c r="L11" s="3">
        <v>1.0</v>
      </c>
      <c r="M11" s="3"/>
      <c r="N11" s="3">
        <v>9.0</v>
      </c>
      <c r="O11" s="3"/>
      <c r="P11" s="3">
        <v>13.0</v>
      </c>
      <c r="Q11" s="3">
        <v>15.0</v>
      </c>
      <c r="R11" s="16">
        <f t="array" ref="R11">COUNTIF($D$4:$D$3228&amp;"|"&amp;$E$4:$E$3228&amp;"|"&amp;$F$4:$F$3228&amp;"|"&amp;$G$4:$G$3228&amp;"|"&amp;$H$4:$H$3228&amp;"|"&amp;$I$4:$I$3228,$L11&amp;"|"&amp;$M11&amp;"|"&amp;$N11&amp;"|"&amp;$O11&amp;"|"&amp;$P11&amp;"|"&amp;$Q11)</f>
        <v>4</v>
      </c>
      <c r="U11" s="4" t="s">
        <v>1299</v>
      </c>
      <c r="V11" s="17"/>
      <c r="W11" s="17"/>
      <c r="X11" s="17"/>
      <c r="Y11" s="17"/>
      <c r="Z11" s="17"/>
      <c r="AA11" s="3">
        <f t="array" ref="AA11">SUM((MMULT(--(L6:Q26=13),TRANSPOSE(COLUMN(L6:Q6)^0))&gt;0)*(MMULT(--(L6:Q26=15),TRANSPOSE(COLUMN(L6:Q6)^0))&gt;0)*R6:R26)</f>
        <v>21</v>
      </c>
    </row>
    <row r="12">
      <c r="A12" s="4" t="s">
        <v>9524</v>
      </c>
      <c r="B12" s="13" t="s">
        <v>48</v>
      </c>
      <c r="C12" s="4">
        <v>1.0</v>
      </c>
      <c r="D12" s="4">
        <v>1.0</v>
      </c>
      <c r="E12" s="3"/>
      <c r="F12" s="3"/>
      <c r="G12" s="3"/>
      <c r="H12" s="3"/>
      <c r="I12" s="3"/>
      <c r="L12" s="3">
        <v>1.0</v>
      </c>
      <c r="M12" s="3"/>
      <c r="N12" s="3"/>
      <c r="O12" s="3"/>
      <c r="P12" s="3"/>
      <c r="Q12" s="3">
        <v>15.0</v>
      </c>
      <c r="R12" s="16">
        <f t="array" ref="R12">COUNTIF($D$4:$D$3228&amp;"|"&amp;$E$4:$E$3228&amp;"|"&amp;$F$4:$F$3228&amp;"|"&amp;$G$4:$G$3228&amp;"|"&amp;$H$4:$H$3228&amp;"|"&amp;$I$4:$I$3228,$L12&amp;"|"&amp;$M12&amp;"|"&amp;$N12&amp;"|"&amp;$O12&amp;"|"&amp;$P12&amp;"|"&amp;$Q12)</f>
        <v>6</v>
      </c>
      <c r="U12" s="4" t="s">
        <v>1300</v>
      </c>
      <c r="V12" s="17"/>
      <c r="W12" s="17"/>
      <c r="X12" s="17"/>
      <c r="Y12" s="17"/>
      <c r="Z12" s="17"/>
      <c r="AA12" s="17"/>
    </row>
    <row r="13">
      <c r="A13" s="4" t="s">
        <v>9525</v>
      </c>
      <c r="B13" s="13" t="s">
        <v>48</v>
      </c>
      <c r="C13" s="4">
        <v>1.0</v>
      </c>
      <c r="D13" s="4">
        <v>1.0</v>
      </c>
      <c r="E13" s="3"/>
      <c r="F13" s="3"/>
      <c r="G13" s="3"/>
      <c r="H13" s="3"/>
      <c r="I13" s="3"/>
      <c r="L13" s="3">
        <v>1.0</v>
      </c>
      <c r="M13" s="3"/>
      <c r="N13" s="3"/>
      <c r="O13" s="3"/>
      <c r="P13" s="3">
        <v>13.0</v>
      </c>
      <c r="Q13" s="3">
        <v>15.0</v>
      </c>
      <c r="R13" s="16">
        <f t="array" ref="R13">COUNTIF($D$4:$D$3228&amp;"|"&amp;$E$4:$E$3228&amp;"|"&amp;$F$4:$F$3228&amp;"|"&amp;$G$4:$G$3228&amp;"|"&amp;$H$4:$H$3228&amp;"|"&amp;$I$4:$I$3228,$L13&amp;"|"&amp;$M13&amp;"|"&amp;$N13&amp;"|"&amp;$O13&amp;"|"&amp;$P13&amp;"|"&amp;$Q13)</f>
        <v>5</v>
      </c>
    </row>
    <row r="14">
      <c r="A14" s="4" t="s">
        <v>9526</v>
      </c>
      <c r="B14" s="13" t="s">
        <v>48</v>
      </c>
      <c r="C14" s="4">
        <v>1.0</v>
      </c>
      <c r="D14" s="4">
        <v>1.0</v>
      </c>
      <c r="E14" s="3"/>
      <c r="F14" s="3"/>
      <c r="G14" s="3"/>
      <c r="H14" s="3"/>
      <c r="I14" s="3"/>
      <c r="L14" s="3">
        <v>1.0</v>
      </c>
      <c r="M14" s="3">
        <v>2.0</v>
      </c>
      <c r="N14" s="3"/>
      <c r="O14" s="3"/>
      <c r="P14" s="3">
        <v>13.0</v>
      </c>
      <c r="Q14" s="3">
        <v>15.0</v>
      </c>
      <c r="R14" s="16">
        <f t="array" ref="R14">COUNTIF($D$4:$D$3228&amp;"|"&amp;$E$4:$E$3228&amp;"|"&amp;$F$4:$F$3228&amp;"|"&amp;$G$4:$G$3228&amp;"|"&amp;$H$4:$H$3228&amp;"|"&amp;$I$4:$I$3228,$L14&amp;"|"&amp;$M14&amp;"|"&amp;$N14&amp;"|"&amp;$O14&amp;"|"&amp;$P14&amp;"|"&amp;$Q14)</f>
        <v>1</v>
      </c>
    </row>
    <row r="15">
      <c r="A15" s="4" t="s">
        <v>9527</v>
      </c>
      <c r="B15" s="13" t="s">
        <v>48</v>
      </c>
      <c r="C15" s="4">
        <v>1.0</v>
      </c>
      <c r="D15" s="4">
        <v>1.0</v>
      </c>
      <c r="E15" s="3"/>
      <c r="F15" s="3"/>
      <c r="G15" s="3"/>
      <c r="H15" s="3"/>
      <c r="I15" s="3"/>
      <c r="L15" s="3">
        <v>1.0</v>
      </c>
      <c r="M15" s="3">
        <v>2.0</v>
      </c>
      <c r="N15" s="3">
        <v>9.0</v>
      </c>
      <c r="O15" s="3"/>
      <c r="P15" s="3">
        <v>13.0</v>
      </c>
      <c r="Q15" s="3">
        <v>15.0</v>
      </c>
      <c r="R15" s="16">
        <f t="array" ref="R15">COUNTIF($D$4:$D$3228&amp;"|"&amp;$E$4:$E$3228&amp;"|"&amp;$F$4:$F$3228&amp;"|"&amp;$G$4:$G$3228&amp;"|"&amp;$H$4:$H$3228&amp;"|"&amp;$I$4:$I$3228,$L15&amp;"|"&amp;$M15&amp;"|"&amp;$N15&amp;"|"&amp;$O15&amp;"|"&amp;$P15&amp;"|"&amp;$Q15)</f>
        <v>1</v>
      </c>
    </row>
    <row r="16">
      <c r="A16" s="4" t="s">
        <v>9528</v>
      </c>
      <c r="B16" s="13" t="s">
        <v>48</v>
      </c>
      <c r="C16" s="4">
        <v>1.0</v>
      </c>
      <c r="D16" s="4">
        <v>1.0</v>
      </c>
      <c r="E16" s="3"/>
      <c r="F16" s="3"/>
      <c r="G16" s="3"/>
      <c r="H16" s="3"/>
      <c r="I16" s="3"/>
      <c r="L16" s="3"/>
      <c r="M16" s="3">
        <v>2.0</v>
      </c>
      <c r="N16" s="3">
        <v>9.0</v>
      </c>
      <c r="O16" s="3"/>
      <c r="P16" s="3">
        <v>13.0</v>
      </c>
      <c r="Q16" s="3">
        <v>15.0</v>
      </c>
      <c r="R16" s="16">
        <f t="array" ref="R16">COUNTIF($D$4:$D$3228&amp;"|"&amp;$E$4:$E$3228&amp;"|"&amp;$F$4:$F$3228&amp;"|"&amp;$G$4:$G$3228&amp;"|"&amp;$H$4:$H$3228&amp;"|"&amp;$I$4:$I$3228,$L16&amp;"|"&amp;$M16&amp;"|"&amp;$N16&amp;"|"&amp;$O16&amp;"|"&amp;$P16&amp;"|"&amp;$Q16)</f>
        <v>4</v>
      </c>
    </row>
    <row r="17">
      <c r="A17" s="4" t="s">
        <v>9529</v>
      </c>
      <c r="B17" s="13" t="s">
        <v>48</v>
      </c>
      <c r="C17" s="4">
        <v>1.0</v>
      </c>
      <c r="D17" s="4">
        <v>1.0</v>
      </c>
      <c r="E17" s="3"/>
      <c r="F17" s="3"/>
      <c r="G17" s="3"/>
      <c r="H17" s="3"/>
      <c r="I17" s="3"/>
      <c r="L17" s="3"/>
      <c r="M17" s="3">
        <v>2.0</v>
      </c>
      <c r="N17" s="3">
        <v>9.0</v>
      </c>
      <c r="O17" s="3"/>
      <c r="P17" s="3">
        <v>13.0</v>
      </c>
      <c r="Q17" s="3"/>
      <c r="R17" s="16">
        <f t="array" ref="R17">COUNTIF($D$4:$D$3228&amp;"|"&amp;$E$4:$E$3228&amp;"|"&amp;$F$4:$F$3228&amp;"|"&amp;$G$4:$G$3228&amp;"|"&amp;$H$4:$H$3228&amp;"|"&amp;$I$4:$I$3228,$L17&amp;"|"&amp;$M17&amp;"|"&amp;$N17&amp;"|"&amp;$O17&amp;"|"&amp;$P17&amp;"|"&amp;$Q17)</f>
        <v>9</v>
      </c>
    </row>
    <row r="18">
      <c r="A18" s="4" t="s">
        <v>9530</v>
      </c>
      <c r="B18" s="13" t="s">
        <v>48</v>
      </c>
      <c r="C18" s="4">
        <v>1.0</v>
      </c>
      <c r="D18" s="4">
        <v>1.0</v>
      </c>
      <c r="E18" s="3"/>
      <c r="F18" s="3"/>
      <c r="G18" s="3"/>
      <c r="H18" s="3"/>
      <c r="I18" s="3"/>
      <c r="L18" s="3"/>
      <c r="M18" s="3"/>
      <c r="N18" s="3">
        <v>9.0</v>
      </c>
      <c r="O18" s="3"/>
      <c r="P18" s="3">
        <v>13.0</v>
      </c>
      <c r="Q18" s="3"/>
      <c r="R18" s="16">
        <f t="array" ref="R18">COUNTIF($D$4:$D$3228&amp;"|"&amp;$E$4:$E$3228&amp;"|"&amp;$F$4:$F$3228&amp;"|"&amp;$G$4:$G$3228&amp;"|"&amp;$H$4:$H$3228&amp;"|"&amp;$I$4:$I$3228,$L18&amp;"|"&amp;$M18&amp;"|"&amp;$N18&amp;"|"&amp;$O18&amp;"|"&amp;$P18&amp;"|"&amp;$Q18)</f>
        <v>5</v>
      </c>
    </row>
    <row r="19">
      <c r="A19" s="4" t="s">
        <v>9531</v>
      </c>
      <c r="B19" s="13" t="s">
        <v>48</v>
      </c>
      <c r="C19" s="4">
        <v>1.0</v>
      </c>
      <c r="D19" s="4">
        <v>1.0</v>
      </c>
      <c r="E19" s="3"/>
      <c r="F19" s="3"/>
      <c r="G19" s="3"/>
      <c r="H19" s="3"/>
      <c r="I19" s="3"/>
      <c r="L19" s="3"/>
      <c r="M19" s="3">
        <v>2.0</v>
      </c>
      <c r="N19" s="3">
        <v>9.0</v>
      </c>
      <c r="O19" s="3"/>
      <c r="P19" s="3"/>
      <c r="Q19" s="3"/>
      <c r="R19" s="16">
        <f t="array" ref="R19">COUNTIF($D$4:$D$3228&amp;"|"&amp;$E$4:$E$3228&amp;"|"&amp;$F$4:$F$3228&amp;"|"&amp;$G$4:$G$3228&amp;"|"&amp;$H$4:$H$3228&amp;"|"&amp;$I$4:$I$3228,$L19&amp;"|"&amp;$M19&amp;"|"&amp;$N19&amp;"|"&amp;$O19&amp;"|"&amp;$P19&amp;"|"&amp;$Q19)</f>
        <v>4</v>
      </c>
    </row>
    <row r="20">
      <c r="A20" s="4" t="s">
        <v>9532</v>
      </c>
      <c r="B20" s="13" t="s">
        <v>48</v>
      </c>
      <c r="C20" s="4">
        <v>1.0</v>
      </c>
      <c r="D20" s="4">
        <v>1.0</v>
      </c>
      <c r="E20" s="3"/>
      <c r="F20" s="3"/>
      <c r="G20" s="3"/>
      <c r="H20" s="3"/>
      <c r="I20" s="3"/>
      <c r="L20" s="3"/>
      <c r="M20" s="3"/>
      <c r="N20" s="3"/>
      <c r="O20" s="3"/>
      <c r="P20" s="3">
        <v>13.0</v>
      </c>
      <c r="Q20" s="3"/>
      <c r="R20" s="16">
        <f t="array" ref="R20">COUNTIF($D$4:$D$3228&amp;"|"&amp;$E$4:$E$3228&amp;"|"&amp;$F$4:$F$3228&amp;"|"&amp;$G$4:$G$3228&amp;"|"&amp;$H$4:$H$3228&amp;"|"&amp;$I$4:$I$3228,$L20&amp;"|"&amp;$M20&amp;"|"&amp;$N20&amp;"|"&amp;$O20&amp;"|"&amp;$P20&amp;"|"&amp;$Q20)</f>
        <v>39</v>
      </c>
    </row>
    <row r="21">
      <c r="A21" s="4" t="s">
        <v>9533</v>
      </c>
      <c r="B21" s="13" t="s">
        <v>48</v>
      </c>
      <c r="C21" s="4">
        <v>1.0</v>
      </c>
      <c r="D21" s="4">
        <v>1.0</v>
      </c>
      <c r="E21" s="3"/>
      <c r="F21" s="3"/>
      <c r="G21" s="3"/>
      <c r="H21" s="3"/>
      <c r="I21" s="3"/>
      <c r="L21" s="3"/>
      <c r="M21" s="3">
        <v>2.0</v>
      </c>
      <c r="N21" s="3">
        <v>9.0</v>
      </c>
      <c r="O21" s="3"/>
      <c r="P21" s="3"/>
      <c r="Q21" s="3">
        <v>15.0</v>
      </c>
      <c r="R21" s="16">
        <f t="array" ref="R21">COUNTIF($D$4:$D$3228&amp;"|"&amp;$E$4:$E$3228&amp;"|"&amp;$F$4:$F$3228&amp;"|"&amp;$G$4:$G$3228&amp;"|"&amp;$H$4:$H$3228&amp;"|"&amp;$I$4:$I$3228,$L21&amp;"|"&amp;$M21&amp;"|"&amp;$N21&amp;"|"&amp;$O21&amp;"|"&amp;$P21&amp;"|"&amp;$Q21)</f>
        <v>1</v>
      </c>
    </row>
    <row r="22">
      <c r="A22" s="4" t="s">
        <v>9534</v>
      </c>
      <c r="B22" s="13" t="s">
        <v>48</v>
      </c>
      <c r="C22" s="4">
        <v>1.0</v>
      </c>
      <c r="D22" s="4">
        <v>1.0</v>
      </c>
      <c r="E22" s="3"/>
      <c r="F22" s="3"/>
      <c r="G22" s="3"/>
      <c r="H22" s="3"/>
      <c r="I22" s="3"/>
      <c r="L22" s="3"/>
      <c r="M22" s="3">
        <v>2.0</v>
      </c>
      <c r="N22" s="3"/>
      <c r="O22" s="3"/>
      <c r="P22" s="3">
        <v>13.0</v>
      </c>
      <c r="Q22" s="3"/>
      <c r="R22" s="16">
        <f t="array" ref="R22">COUNTIF($D$4:$D$3228&amp;"|"&amp;$E$4:$E$3228&amp;"|"&amp;$F$4:$F$3228&amp;"|"&amp;$G$4:$G$3228&amp;"|"&amp;$H$4:$H$3228&amp;"|"&amp;$I$4:$I$3228,$L22&amp;"|"&amp;$M22&amp;"|"&amp;$N22&amp;"|"&amp;$O22&amp;"|"&amp;$P22&amp;"|"&amp;$Q22)</f>
        <v>4</v>
      </c>
    </row>
    <row r="23">
      <c r="A23" s="4" t="s">
        <v>9535</v>
      </c>
      <c r="B23" s="13" t="s">
        <v>43</v>
      </c>
      <c r="D23" s="3"/>
      <c r="E23" s="3"/>
      <c r="F23" s="3"/>
      <c r="G23" s="3"/>
      <c r="H23" s="3"/>
      <c r="I23" s="3"/>
      <c r="L23" s="3">
        <v>1.0</v>
      </c>
      <c r="M23" s="3"/>
      <c r="N23" s="3"/>
      <c r="O23" s="3"/>
      <c r="P23" s="3">
        <v>13.0</v>
      </c>
      <c r="Q23" s="3"/>
      <c r="R23" s="16">
        <f t="array" ref="R23">COUNTIF($D$4:$D$3228&amp;"|"&amp;$E$4:$E$3228&amp;"|"&amp;$F$4:$F$3228&amp;"|"&amp;$G$4:$G$3228&amp;"|"&amp;$H$4:$H$3228&amp;"|"&amp;$I$4:$I$3228,$L23&amp;"|"&amp;$M23&amp;"|"&amp;$N23&amp;"|"&amp;$O23&amp;"|"&amp;$P23&amp;"|"&amp;$Q23)</f>
        <v>1</v>
      </c>
    </row>
    <row r="24">
      <c r="A24" s="4" t="s">
        <v>9536</v>
      </c>
      <c r="B24" s="13" t="s">
        <v>43</v>
      </c>
      <c r="D24" s="3"/>
      <c r="E24" s="3"/>
      <c r="F24" s="3"/>
      <c r="G24" s="3"/>
      <c r="H24" s="3"/>
      <c r="I24" s="3"/>
      <c r="L24" s="3"/>
      <c r="M24" s="3">
        <v>2.0</v>
      </c>
      <c r="N24" s="3"/>
      <c r="O24" s="3"/>
      <c r="P24" s="3"/>
      <c r="Q24" s="3"/>
      <c r="R24" s="16">
        <f t="array" ref="R24">COUNTIF($D$4:$D$3228&amp;"|"&amp;$E$4:$E$3228&amp;"|"&amp;$F$4:$F$3228&amp;"|"&amp;$G$4:$G$3228&amp;"|"&amp;$H$4:$H$3228&amp;"|"&amp;$I$4:$I$3228,$L24&amp;"|"&amp;$M24&amp;"|"&amp;$N24&amp;"|"&amp;$O24&amp;"|"&amp;$P24&amp;"|"&amp;$Q24)</f>
        <v>42</v>
      </c>
    </row>
    <row r="25">
      <c r="A25" s="4" t="s">
        <v>9537</v>
      </c>
      <c r="B25" s="13" t="s">
        <v>43</v>
      </c>
      <c r="D25" s="3"/>
      <c r="E25" s="3"/>
      <c r="F25" s="3"/>
      <c r="G25" s="3"/>
      <c r="H25" s="3"/>
      <c r="I25" s="3"/>
      <c r="R25" s="18">
        <f>SUm(R5:R24)</f>
        <v>279</v>
      </c>
    </row>
    <row r="26">
      <c r="A26" s="4" t="s">
        <v>9538</v>
      </c>
      <c r="B26" s="13" t="s">
        <v>43</v>
      </c>
      <c r="D26" s="3"/>
      <c r="E26" s="3"/>
      <c r="F26" s="3"/>
      <c r="G26" s="3"/>
      <c r="H26" s="3"/>
      <c r="I26" s="3"/>
      <c r="R26" s="3">
        <f>$C$2</f>
        <v>279</v>
      </c>
    </row>
    <row r="27">
      <c r="A27" s="4" t="s">
        <v>9539</v>
      </c>
      <c r="B27" s="13" t="s">
        <v>43</v>
      </c>
      <c r="D27" s="3"/>
      <c r="E27" s="3"/>
      <c r="F27" s="3"/>
      <c r="G27" s="3"/>
      <c r="H27" s="3"/>
      <c r="I27" s="3"/>
      <c r="R27" s="18"/>
    </row>
    <row r="28">
      <c r="A28" s="4" t="s">
        <v>9540</v>
      </c>
      <c r="B28" s="13" t="s">
        <v>43</v>
      </c>
      <c r="D28" s="3"/>
      <c r="E28" s="3"/>
      <c r="F28" s="3"/>
      <c r="G28" s="3"/>
      <c r="H28" s="3"/>
      <c r="I28" s="3"/>
      <c r="R28" s="18"/>
    </row>
    <row r="29">
      <c r="A29" s="4" t="s">
        <v>9541</v>
      </c>
      <c r="B29" s="13" t="s">
        <v>43</v>
      </c>
      <c r="D29" s="3"/>
      <c r="E29" s="3"/>
      <c r="F29" s="3"/>
      <c r="G29" s="3"/>
      <c r="H29" s="3"/>
      <c r="I29" s="3"/>
      <c r="R29" s="18"/>
    </row>
    <row r="30">
      <c r="A30" s="4" t="s">
        <v>9542</v>
      </c>
      <c r="B30" s="13" t="s">
        <v>43</v>
      </c>
      <c r="D30" s="3"/>
      <c r="E30" s="3"/>
      <c r="F30" s="3"/>
      <c r="G30" s="3"/>
      <c r="H30" s="3"/>
      <c r="I30" s="3"/>
      <c r="R30" s="18"/>
    </row>
    <row r="31">
      <c r="A31" s="4" t="s">
        <v>9543</v>
      </c>
      <c r="B31" s="13" t="s">
        <v>43</v>
      </c>
      <c r="D31" s="3"/>
      <c r="E31" s="3"/>
      <c r="F31" s="3"/>
      <c r="G31" s="3"/>
      <c r="H31" s="3"/>
      <c r="I31" s="3"/>
      <c r="R31" s="18"/>
    </row>
    <row r="32">
      <c r="A32" s="4" t="s">
        <v>9544</v>
      </c>
      <c r="B32" s="13" t="s">
        <v>48</v>
      </c>
      <c r="C32" s="4">
        <v>1.0</v>
      </c>
      <c r="D32" s="3"/>
      <c r="E32" s="3"/>
      <c r="F32" s="3"/>
      <c r="G32" s="3"/>
      <c r="H32" s="3"/>
      <c r="I32" s="4">
        <v>15.0</v>
      </c>
    </row>
    <row r="33">
      <c r="A33" s="4" t="s">
        <v>9545</v>
      </c>
      <c r="B33" s="13" t="s">
        <v>48</v>
      </c>
      <c r="C33" s="4">
        <v>1.0</v>
      </c>
      <c r="D33" s="3"/>
      <c r="E33" s="3"/>
      <c r="F33" s="3"/>
      <c r="G33" s="3"/>
      <c r="H33" s="3"/>
      <c r="I33" s="4">
        <v>15.0</v>
      </c>
    </row>
    <row r="34">
      <c r="A34" s="4" t="s">
        <v>9546</v>
      </c>
      <c r="B34" s="13" t="s">
        <v>48</v>
      </c>
      <c r="C34" s="4">
        <v>1.0</v>
      </c>
      <c r="D34" s="3"/>
      <c r="E34" s="3"/>
      <c r="F34" s="3"/>
      <c r="G34" s="3"/>
      <c r="H34" s="3"/>
      <c r="I34" s="4">
        <v>15.0</v>
      </c>
    </row>
    <row r="35">
      <c r="A35" s="4" t="s">
        <v>9547</v>
      </c>
      <c r="B35" s="13" t="s">
        <v>48</v>
      </c>
      <c r="C35" s="4">
        <v>1.0</v>
      </c>
      <c r="D35" s="3"/>
      <c r="E35" s="3"/>
      <c r="F35" s="3"/>
      <c r="G35" s="3"/>
      <c r="H35" s="3"/>
      <c r="I35" s="4">
        <v>15.0</v>
      </c>
    </row>
    <row r="36">
      <c r="A36" s="4" t="s">
        <v>9548</v>
      </c>
      <c r="B36" s="13" t="s">
        <v>48</v>
      </c>
      <c r="C36" s="4">
        <v>1.0</v>
      </c>
      <c r="D36" s="3"/>
      <c r="E36" s="3"/>
      <c r="F36" s="3"/>
      <c r="G36" s="3"/>
      <c r="H36" s="3"/>
      <c r="I36" s="4">
        <v>15.0</v>
      </c>
    </row>
    <row r="37">
      <c r="A37" s="4" t="s">
        <v>9549</v>
      </c>
      <c r="B37" s="13" t="s">
        <v>48</v>
      </c>
      <c r="C37" s="4">
        <v>1.0</v>
      </c>
      <c r="D37" s="3"/>
      <c r="E37" s="3"/>
      <c r="F37" s="3"/>
      <c r="G37" s="3"/>
      <c r="H37" s="3"/>
      <c r="I37" s="4">
        <v>15.0</v>
      </c>
    </row>
    <row r="38">
      <c r="A38" s="4" t="s">
        <v>9550</v>
      </c>
      <c r="B38" s="13" t="s">
        <v>48</v>
      </c>
      <c r="C38" s="4">
        <v>1.0</v>
      </c>
      <c r="D38" s="3"/>
      <c r="E38" s="3"/>
      <c r="F38" s="3"/>
      <c r="G38" s="3"/>
      <c r="H38" s="3"/>
      <c r="I38" s="4">
        <v>15.0</v>
      </c>
    </row>
    <row r="39">
      <c r="A39" s="4" t="s">
        <v>9551</v>
      </c>
      <c r="B39" s="13" t="s">
        <v>48</v>
      </c>
      <c r="C39" s="4">
        <v>1.0</v>
      </c>
      <c r="D39" s="3"/>
      <c r="E39" s="3"/>
      <c r="F39" s="3"/>
      <c r="G39" s="3"/>
      <c r="H39" s="3"/>
      <c r="I39" s="4">
        <v>15.0</v>
      </c>
    </row>
    <row r="40">
      <c r="A40" s="4" t="s">
        <v>9552</v>
      </c>
      <c r="B40" s="13" t="s">
        <v>43</v>
      </c>
      <c r="D40" s="3"/>
      <c r="E40" s="3"/>
      <c r="F40" s="3"/>
      <c r="G40" s="3"/>
      <c r="H40" s="3"/>
      <c r="I40" s="3"/>
    </row>
    <row r="41">
      <c r="A41" s="4" t="s">
        <v>9553</v>
      </c>
      <c r="B41" s="13" t="s">
        <v>43</v>
      </c>
      <c r="D41" s="3"/>
      <c r="E41" s="3"/>
      <c r="F41" s="3"/>
      <c r="G41" s="3"/>
      <c r="H41" s="3"/>
      <c r="I41" s="3"/>
      <c r="J41" s="4" t="s">
        <v>1757</v>
      </c>
    </row>
    <row r="42">
      <c r="A42" s="4" t="s">
        <v>9554</v>
      </c>
      <c r="B42" s="13" t="s">
        <v>43</v>
      </c>
      <c r="D42" s="3"/>
      <c r="E42" s="3"/>
      <c r="F42" s="3"/>
      <c r="G42" s="3"/>
      <c r="H42" s="3"/>
      <c r="I42" s="3"/>
      <c r="J42" s="4" t="s">
        <v>1757</v>
      </c>
    </row>
    <row r="43">
      <c r="A43" s="4" t="s">
        <v>9555</v>
      </c>
      <c r="B43" s="13" t="s">
        <v>43</v>
      </c>
      <c r="D43" s="3"/>
      <c r="E43" s="3"/>
      <c r="F43" s="3"/>
      <c r="G43" s="3"/>
      <c r="H43" s="3"/>
      <c r="I43" s="3"/>
      <c r="J43" s="4" t="s">
        <v>1757</v>
      </c>
    </row>
    <row r="44">
      <c r="A44" s="4" t="s">
        <v>9556</v>
      </c>
      <c r="B44" s="13" t="s">
        <v>43</v>
      </c>
      <c r="D44" s="3"/>
      <c r="E44" s="3"/>
      <c r="F44" s="3"/>
      <c r="G44" s="3"/>
      <c r="H44" s="3"/>
      <c r="I44" s="3"/>
      <c r="J44" s="4" t="s">
        <v>1757</v>
      </c>
    </row>
    <row r="45">
      <c r="A45" s="4" t="s">
        <v>9557</v>
      </c>
      <c r="B45" s="13" t="s">
        <v>43</v>
      </c>
      <c r="D45" s="3"/>
      <c r="E45" s="3"/>
      <c r="F45" s="3"/>
      <c r="G45" s="3"/>
      <c r="H45" s="3"/>
      <c r="I45" s="3"/>
      <c r="J45" s="4" t="s">
        <v>1757</v>
      </c>
    </row>
    <row r="46">
      <c r="A46" s="4" t="s">
        <v>9558</v>
      </c>
      <c r="B46" s="13" t="s">
        <v>43</v>
      </c>
      <c r="D46" s="3"/>
      <c r="E46" s="3"/>
      <c r="F46" s="3"/>
      <c r="G46" s="3"/>
      <c r="H46" s="3"/>
      <c r="I46" s="3"/>
      <c r="J46" s="4" t="s">
        <v>1757</v>
      </c>
    </row>
    <row r="47">
      <c r="A47" s="4" t="s">
        <v>9559</v>
      </c>
      <c r="B47" s="13" t="s">
        <v>43</v>
      </c>
      <c r="D47" s="3"/>
      <c r="E47" s="3"/>
      <c r="F47" s="3"/>
      <c r="G47" s="3"/>
      <c r="H47" s="3"/>
      <c r="I47" s="3"/>
      <c r="J47" s="4" t="s">
        <v>1757</v>
      </c>
    </row>
    <row r="48">
      <c r="A48" s="4" t="s">
        <v>9560</v>
      </c>
      <c r="B48" s="13" t="s">
        <v>43</v>
      </c>
      <c r="D48" s="3"/>
      <c r="E48" s="3"/>
      <c r="F48" s="3"/>
      <c r="G48" s="3"/>
      <c r="H48" s="3"/>
      <c r="I48" s="3"/>
      <c r="J48" s="4" t="s">
        <v>1757</v>
      </c>
    </row>
    <row r="49">
      <c r="A49" s="4" t="s">
        <v>9561</v>
      </c>
      <c r="B49" s="13" t="s">
        <v>43</v>
      </c>
      <c r="D49" s="3"/>
      <c r="E49" s="3"/>
      <c r="F49" s="3"/>
      <c r="G49" s="3"/>
      <c r="H49" s="3"/>
      <c r="I49" s="3"/>
      <c r="J49" s="4" t="s">
        <v>1757</v>
      </c>
    </row>
    <row r="50">
      <c r="A50" s="4" t="s">
        <v>9562</v>
      </c>
      <c r="B50" s="13" t="s">
        <v>43</v>
      </c>
      <c r="D50" s="3"/>
      <c r="E50" s="3"/>
      <c r="F50" s="3"/>
      <c r="G50" s="3"/>
      <c r="H50" s="3"/>
      <c r="I50" s="3"/>
      <c r="J50" s="4" t="s">
        <v>1757</v>
      </c>
    </row>
    <row r="51">
      <c r="A51" s="4" t="s">
        <v>9563</v>
      </c>
      <c r="B51" s="13" t="s">
        <v>43</v>
      </c>
      <c r="D51" s="3"/>
      <c r="E51" s="3"/>
      <c r="F51" s="3"/>
      <c r="G51" s="3"/>
      <c r="H51" s="3"/>
      <c r="I51" s="3"/>
    </row>
    <row r="52">
      <c r="A52" s="4" t="s">
        <v>9564</v>
      </c>
      <c r="B52" s="13" t="s">
        <v>43</v>
      </c>
      <c r="D52" s="3"/>
      <c r="E52" s="3"/>
      <c r="F52" s="3"/>
      <c r="G52" s="3"/>
      <c r="H52" s="3"/>
      <c r="I52" s="3"/>
    </row>
    <row r="53">
      <c r="A53" s="4" t="s">
        <v>9565</v>
      </c>
      <c r="B53" s="13" t="s">
        <v>43</v>
      </c>
      <c r="D53" s="3"/>
      <c r="E53" s="3"/>
      <c r="F53" s="3"/>
      <c r="G53" s="3"/>
      <c r="H53" s="3"/>
      <c r="I53" s="3"/>
    </row>
    <row r="54">
      <c r="A54" s="4" t="s">
        <v>9566</v>
      </c>
      <c r="B54" s="13" t="s">
        <v>43</v>
      </c>
      <c r="D54" s="3"/>
      <c r="E54" s="3"/>
      <c r="F54" s="3"/>
      <c r="G54" s="3"/>
      <c r="H54" s="3"/>
      <c r="I54" s="3"/>
    </row>
    <row r="55">
      <c r="A55" s="4" t="s">
        <v>9567</v>
      </c>
      <c r="B55" s="13" t="s">
        <v>43</v>
      </c>
      <c r="D55" s="3"/>
      <c r="E55" s="3"/>
      <c r="F55" s="3"/>
      <c r="G55" s="3"/>
      <c r="H55" s="3"/>
      <c r="I55" s="3"/>
    </row>
    <row r="56">
      <c r="A56" s="4" t="s">
        <v>9568</v>
      </c>
      <c r="B56" s="13" t="s">
        <v>43</v>
      </c>
      <c r="D56" s="3"/>
      <c r="E56" s="3"/>
      <c r="F56" s="3"/>
      <c r="G56" s="3"/>
      <c r="H56" s="3"/>
      <c r="I56" s="3"/>
    </row>
    <row r="57">
      <c r="A57" s="4" t="s">
        <v>9569</v>
      </c>
      <c r="B57" s="13" t="s">
        <v>43</v>
      </c>
      <c r="D57" s="3"/>
      <c r="E57" s="3"/>
      <c r="F57" s="3"/>
      <c r="G57" s="3"/>
      <c r="H57" s="3"/>
      <c r="I57" s="3"/>
    </row>
    <row r="58">
      <c r="A58" s="4" t="s">
        <v>9570</v>
      </c>
      <c r="B58" s="13" t="s">
        <v>43</v>
      </c>
      <c r="D58" s="3"/>
      <c r="E58" s="3"/>
      <c r="F58" s="3"/>
      <c r="G58" s="3"/>
      <c r="H58" s="3"/>
      <c r="I58" s="3"/>
    </row>
    <row r="59">
      <c r="A59" s="4" t="s">
        <v>9571</v>
      </c>
      <c r="B59" s="13" t="s">
        <v>43</v>
      </c>
      <c r="D59" s="3"/>
      <c r="E59" s="3"/>
      <c r="F59" s="3"/>
      <c r="G59" s="3"/>
      <c r="H59" s="3"/>
      <c r="I59" s="3"/>
    </row>
    <row r="60">
      <c r="A60" s="4" t="s">
        <v>9572</v>
      </c>
      <c r="B60" s="13" t="s">
        <v>43</v>
      </c>
      <c r="D60" s="3"/>
      <c r="E60" s="3"/>
      <c r="F60" s="3"/>
      <c r="G60" s="3"/>
      <c r="H60" s="3"/>
      <c r="I60" s="3"/>
    </row>
    <row r="61">
      <c r="A61" s="4" t="s">
        <v>9573</v>
      </c>
      <c r="B61" s="13" t="s">
        <v>43</v>
      </c>
      <c r="D61" s="3"/>
      <c r="E61" s="3"/>
      <c r="F61" s="3"/>
      <c r="G61" s="3"/>
      <c r="H61" s="3"/>
      <c r="I61" s="3"/>
    </row>
    <row r="62">
      <c r="A62" s="4" t="s">
        <v>9574</v>
      </c>
      <c r="B62" s="13" t="s">
        <v>43</v>
      </c>
      <c r="D62" s="3"/>
      <c r="E62" s="3"/>
      <c r="F62" s="3"/>
      <c r="G62" s="3"/>
      <c r="H62" s="3"/>
      <c r="I62" s="3"/>
    </row>
    <row r="63">
      <c r="A63" s="4" t="s">
        <v>9575</v>
      </c>
      <c r="B63" s="13" t="s">
        <v>43</v>
      </c>
      <c r="D63" s="3"/>
      <c r="E63" s="3"/>
      <c r="F63" s="3"/>
      <c r="G63" s="3"/>
      <c r="H63" s="3"/>
      <c r="I63" s="3"/>
    </row>
    <row r="64">
      <c r="A64" s="4" t="s">
        <v>9576</v>
      </c>
      <c r="B64" s="13" t="s">
        <v>48</v>
      </c>
      <c r="C64" s="4">
        <v>1.0</v>
      </c>
      <c r="D64" s="3"/>
      <c r="E64" s="3"/>
      <c r="F64" s="3"/>
      <c r="G64" s="4">
        <v>10.0</v>
      </c>
      <c r="H64" s="3"/>
      <c r="I64" s="3"/>
    </row>
    <row r="65">
      <c r="A65" s="4" t="s">
        <v>9577</v>
      </c>
      <c r="B65" s="13" t="s">
        <v>48</v>
      </c>
      <c r="C65" s="4">
        <v>1.0</v>
      </c>
      <c r="D65" s="3"/>
      <c r="E65" s="3"/>
      <c r="F65" s="3"/>
      <c r="G65" s="4">
        <v>10.0</v>
      </c>
      <c r="H65" s="3"/>
      <c r="I65" s="3"/>
    </row>
    <row r="66">
      <c r="A66" s="4" t="s">
        <v>9578</v>
      </c>
      <c r="B66" s="13" t="s">
        <v>48</v>
      </c>
      <c r="C66" s="4">
        <v>1.0</v>
      </c>
      <c r="D66" s="3"/>
      <c r="E66" s="3"/>
      <c r="F66" s="3"/>
      <c r="G66" s="4">
        <v>10.0</v>
      </c>
      <c r="H66" s="3"/>
      <c r="I66" s="3"/>
    </row>
    <row r="67">
      <c r="A67" s="4" t="s">
        <v>9579</v>
      </c>
      <c r="B67" s="13" t="s">
        <v>48</v>
      </c>
      <c r="C67" s="4">
        <v>1.0</v>
      </c>
      <c r="D67" s="3"/>
      <c r="E67" s="3"/>
      <c r="F67" s="3"/>
      <c r="G67" s="4">
        <v>10.0</v>
      </c>
      <c r="H67" s="3"/>
      <c r="I67" s="3"/>
    </row>
    <row r="68">
      <c r="A68" s="4" t="s">
        <v>9580</v>
      </c>
      <c r="B68" s="13" t="s">
        <v>48</v>
      </c>
      <c r="C68" s="4">
        <v>1.0</v>
      </c>
      <c r="D68" s="3"/>
      <c r="E68" s="3"/>
      <c r="F68" s="3"/>
      <c r="G68" s="4">
        <v>10.0</v>
      </c>
      <c r="H68" s="3"/>
      <c r="I68" s="3"/>
    </row>
    <row r="69">
      <c r="A69" s="4" t="s">
        <v>9581</v>
      </c>
      <c r="B69" s="13" t="s">
        <v>48</v>
      </c>
      <c r="C69" s="4">
        <v>1.0</v>
      </c>
      <c r="D69" s="3"/>
      <c r="E69" s="3"/>
      <c r="F69" s="3"/>
      <c r="G69" s="4">
        <v>10.0</v>
      </c>
      <c r="H69" s="3"/>
      <c r="I69" s="3"/>
    </row>
    <row r="70">
      <c r="A70" s="4" t="s">
        <v>9582</v>
      </c>
      <c r="B70" s="13" t="s">
        <v>48</v>
      </c>
      <c r="C70" s="4">
        <v>1.0</v>
      </c>
      <c r="D70" s="3"/>
      <c r="E70" s="3"/>
      <c r="F70" s="3"/>
      <c r="G70" s="4">
        <v>10.0</v>
      </c>
      <c r="H70" s="3"/>
      <c r="I70" s="3"/>
    </row>
    <row r="71">
      <c r="A71" s="4" t="s">
        <v>9583</v>
      </c>
      <c r="B71" s="13" t="s">
        <v>48</v>
      </c>
      <c r="C71" s="4">
        <v>1.0</v>
      </c>
      <c r="D71" s="3"/>
      <c r="E71" s="3"/>
      <c r="F71" s="3"/>
      <c r="G71" s="4">
        <v>10.0</v>
      </c>
      <c r="H71" s="3"/>
      <c r="I71" s="3"/>
    </row>
    <row r="72">
      <c r="A72" s="4" t="s">
        <v>9584</v>
      </c>
      <c r="B72" s="13" t="s">
        <v>48</v>
      </c>
      <c r="C72" s="4">
        <v>1.0</v>
      </c>
      <c r="D72" s="3"/>
      <c r="E72" s="3"/>
      <c r="F72" s="3"/>
      <c r="G72" s="4">
        <v>10.0</v>
      </c>
      <c r="H72" s="3"/>
      <c r="I72" s="3"/>
    </row>
    <row r="73">
      <c r="A73" s="4" t="s">
        <v>9585</v>
      </c>
      <c r="B73" s="13" t="s">
        <v>43</v>
      </c>
      <c r="D73" s="3"/>
      <c r="E73" s="3"/>
      <c r="F73" s="3"/>
      <c r="G73" s="3"/>
      <c r="H73" s="3"/>
      <c r="I73" s="3"/>
    </row>
    <row r="74">
      <c r="A74" s="4" t="s">
        <v>9586</v>
      </c>
      <c r="B74" s="13" t="s">
        <v>43</v>
      </c>
      <c r="D74" s="3"/>
      <c r="E74" s="3"/>
      <c r="F74" s="3"/>
      <c r="G74" s="3"/>
      <c r="H74" s="3"/>
      <c r="I74" s="3"/>
    </row>
    <row r="75">
      <c r="A75" s="4" t="s">
        <v>9587</v>
      </c>
      <c r="B75" s="13" t="s">
        <v>43</v>
      </c>
      <c r="D75" s="3"/>
      <c r="E75" s="3"/>
      <c r="F75" s="3"/>
      <c r="G75" s="3"/>
      <c r="H75" s="3"/>
      <c r="I75" s="3"/>
    </row>
    <row r="76">
      <c r="A76" s="4" t="s">
        <v>9588</v>
      </c>
      <c r="B76" s="13" t="s">
        <v>43</v>
      </c>
      <c r="D76" s="3"/>
      <c r="E76" s="3"/>
      <c r="F76" s="3"/>
      <c r="G76" s="3"/>
      <c r="H76" s="3"/>
      <c r="I76" s="3"/>
    </row>
    <row r="77">
      <c r="A77" s="4" t="s">
        <v>9589</v>
      </c>
      <c r="B77" s="13" t="s">
        <v>43</v>
      </c>
      <c r="D77" s="3"/>
      <c r="E77" s="3"/>
      <c r="F77" s="3"/>
      <c r="G77" s="3"/>
      <c r="H77" s="3"/>
      <c r="I77" s="3"/>
    </row>
    <row r="78">
      <c r="A78" s="4" t="s">
        <v>9590</v>
      </c>
      <c r="B78" s="13" t="s">
        <v>43</v>
      </c>
      <c r="D78" s="3"/>
      <c r="E78" s="3"/>
      <c r="F78" s="3"/>
      <c r="G78" s="3"/>
      <c r="H78" s="3"/>
      <c r="I78" s="3"/>
    </row>
    <row r="79">
      <c r="A79" s="4" t="s">
        <v>9591</v>
      </c>
      <c r="B79" s="13" t="s">
        <v>43</v>
      </c>
      <c r="D79" s="3"/>
      <c r="E79" s="3"/>
      <c r="F79" s="3"/>
      <c r="G79" s="3"/>
      <c r="H79" s="3"/>
      <c r="I79" s="3"/>
    </row>
    <row r="80">
      <c r="A80" s="4" t="s">
        <v>9592</v>
      </c>
      <c r="B80" s="13" t="s">
        <v>43</v>
      </c>
      <c r="D80" s="3"/>
      <c r="E80" s="3"/>
      <c r="F80" s="3"/>
      <c r="G80" s="3"/>
      <c r="H80" s="3"/>
      <c r="I80" s="3"/>
    </row>
    <row r="81">
      <c r="A81" s="4" t="s">
        <v>9593</v>
      </c>
      <c r="B81" s="13" t="s">
        <v>43</v>
      </c>
      <c r="D81" s="3"/>
      <c r="E81" s="3"/>
      <c r="F81" s="3"/>
      <c r="G81" s="3"/>
      <c r="H81" s="3"/>
      <c r="I81" s="3"/>
    </row>
    <row r="82">
      <c r="A82" s="4" t="s">
        <v>9594</v>
      </c>
      <c r="B82" s="13" t="s">
        <v>43</v>
      </c>
      <c r="D82" s="3"/>
      <c r="E82" s="3"/>
      <c r="F82" s="3"/>
      <c r="G82" s="3"/>
      <c r="H82" s="3"/>
      <c r="I82" s="3"/>
    </row>
    <row r="83">
      <c r="A83" s="4" t="s">
        <v>9595</v>
      </c>
      <c r="B83" s="13" t="s">
        <v>43</v>
      </c>
      <c r="D83" s="3"/>
      <c r="E83" s="3"/>
      <c r="F83" s="3"/>
      <c r="G83" s="3"/>
      <c r="H83" s="3"/>
      <c r="I83" s="3"/>
    </row>
    <row r="84">
      <c r="A84" s="4" t="s">
        <v>9596</v>
      </c>
      <c r="B84" s="13" t="s">
        <v>43</v>
      </c>
      <c r="D84" s="3"/>
      <c r="E84" s="3"/>
      <c r="F84" s="3"/>
      <c r="G84" s="3"/>
      <c r="H84" s="3"/>
      <c r="I84" s="3"/>
    </row>
    <row r="85">
      <c r="A85" s="4" t="s">
        <v>9597</v>
      </c>
      <c r="B85" s="13" t="s">
        <v>43</v>
      </c>
      <c r="D85" s="3"/>
      <c r="E85" s="3"/>
      <c r="F85" s="3"/>
      <c r="G85" s="3"/>
      <c r="H85" s="3"/>
      <c r="I85" s="3"/>
    </row>
    <row r="86">
      <c r="A86" s="4" t="s">
        <v>9598</v>
      </c>
      <c r="B86" s="13" t="s">
        <v>43</v>
      </c>
      <c r="D86" s="3"/>
      <c r="E86" s="3"/>
      <c r="F86" s="3"/>
      <c r="G86" s="3"/>
      <c r="H86" s="3"/>
      <c r="I86" s="3"/>
    </row>
    <row r="87">
      <c r="A87" s="4" t="s">
        <v>9599</v>
      </c>
      <c r="B87" s="13" t="s">
        <v>43</v>
      </c>
      <c r="D87" s="3"/>
      <c r="E87" s="3"/>
      <c r="F87" s="3"/>
      <c r="G87" s="3"/>
      <c r="H87" s="3"/>
      <c r="I87" s="3"/>
    </row>
    <row r="88">
      <c r="A88" s="4" t="s">
        <v>9600</v>
      </c>
      <c r="B88" s="13" t="s">
        <v>43</v>
      </c>
      <c r="D88" s="3"/>
      <c r="E88" s="3"/>
      <c r="F88" s="3"/>
      <c r="G88" s="3"/>
      <c r="H88" s="3"/>
      <c r="I88" s="3"/>
    </row>
    <row r="89">
      <c r="A89" s="4" t="s">
        <v>9601</v>
      </c>
      <c r="B89" s="13" t="s">
        <v>43</v>
      </c>
      <c r="D89" s="3"/>
      <c r="E89" s="3"/>
      <c r="F89" s="3"/>
      <c r="G89" s="3"/>
      <c r="H89" s="3"/>
      <c r="I89" s="3"/>
    </row>
    <row r="90">
      <c r="A90" s="4" t="s">
        <v>9602</v>
      </c>
      <c r="B90" s="13" t="s">
        <v>43</v>
      </c>
      <c r="D90" s="3"/>
      <c r="E90" s="3"/>
      <c r="F90" s="3"/>
      <c r="G90" s="3"/>
      <c r="H90" s="3"/>
      <c r="I90" s="3"/>
    </row>
    <row r="91">
      <c r="A91" s="4" t="s">
        <v>9603</v>
      </c>
      <c r="B91" s="13" t="s">
        <v>43</v>
      </c>
      <c r="D91" s="3"/>
      <c r="E91" s="3"/>
      <c r="F91" s="3"/>
      <c r="G91" s="3"/>
      <c r="H91" s="3"/>
      <c r="I91" s="3"/>
    </row>
    <row r="92">
      <c r="A92" s="4" t="s">
        <v>9604</v>
      </c>
      <c r="B92" s="13" t="s">
        <v>43</v>
      </c>
      <c r="D92" s="3"/>
      <c r="E92" s="3"/>
      <c r="F92" s="3"/>
      <c r="G92" s="3"/>
      <c r="H92" s="3"/>
      <c r="I92" s="3"/>
    </row>
    <row r="93">
      <c r="A93" s="4" t="s">
        <v>9605</v>
      </c>
      <c r="B93" s="13" t="s">
        <v>43</v>
      </c>
      <c r="D93" s="3"/>
      <c r="E93" s="3"/>
      <c r="F93" s="3"/>
      <c r="G93" s="3"/>
      <c r="H93" s="3"/>
      <c r="I93" s="3"/>
    </row>
    <row r="94">
      <c r="A94" s="4" t="s">
        <v>9606</v>
      </c>
      <c r="B94" s="13" t="s">
        <v>43</v>
      </c>
      <c r="D94" s="3"/>
      <c r="E94" s="3"/>
      <c r="F94" s="3"/>
      <c r="G94" s="3"/>
      <c r="H94" s="3"/>
      <c r="I94" s="3"/>
    </row>
    <row r="95">
      <c r="A95" s="4" t="s">
        <v>9607</v>
      </c>
      <c r="B95" s="13" t="s">
        <v>43</v>
      </c>
      <c r="D95" s="3"/>
      <c r="E95" s="3"/>
      <c r="F95" s="3"/>
      <c r="G95" s="3"/>
      <c r="H95" s="3"/>
      <c r="I95" s="3"/>
    </row>
    <row r="96">
      <c r="A96" s="4" t="s">
        <v>9608</v>
      </c>
      <c r="B96" s="13" t="s">
        <v>43</v>
      </c>
      <c r="D96" s="3"/>
      <c r="E96" s="3"/>
      <c r="F96" s="3"/>
      <c r="G96" s="3"/>
      <c r="H96" s="3"/>
      <c r="I96" s="3"/>
    </row>
    <row r="97">
      <c r="A97" s="4" t="s">
        <v>9609</v>
      </c>
      <c r="B97" s="13" t="s">
        <v>43</v>
      </c>
      <c r="D97" s="3"/>
      <c r="E97" s="3"/>
      <c r="F97" s="3"/>
      <c r="G97" s="3"/>
      <c r="H97" s="3"/>
      <c r="I97" s="3"/>
    </row>
    <row r="98">
      <c r="A98" s="4" t="s">
        <v>9610</v>
      </c>
      <c r="B98" s="13" t="s">
        <v>43</v>
      </c>
      <c r="D98" s="3"/>
      <c r="E98" s="3"/>
      <c r="F98" s="3"/>
      <c r="G98" s="3"/>
      <c r="H98" s="3"/>
      <c r="I98" s="3"/>
    </row>
    <row r="99">
      <c r="A99" s="4" t="s">
        <v>9611</v>
      </c>
      <c r="B99" s="13" t="s">
        <v>43</v>
      </c>
      <c r="D99" s="3"/>
      <c r="E99" s="3"/>
      <c r="F99" s="3"/>
      <c r="G99" s="3"/>
      <c r="H99" s="3"/>
      <c r="I99" s="3"/>
    </row>
    <row r="100">
      <c r="A100" s="4" t="s">
        <v>9612</v>
      </c>
      <c r="B100" s="13" t="s">
        <v>43</v>
      </c>
      <c r="D100" s="3"/>
      <c r="E100" s="3"/>
      <c r="F100" s="3"/>
      <c r="G100" s="3"/>
      <c r="H100" s="3"/>
      <c r="I100" s="3"/>
    </row>
    <row r="101">
      <c r="A101" s="4" t="s">
        <v>9613</v>
      </c>
      <c r="B101" s="13" t="s">
        <v>43</v>
      </c>
      <c r="D101" s="3"/>
      <c r="E101" s="3"/>
      <c r="F101" s="3"/>
      <c r="G101" s="3"/>
      <c r="H101" s="3"/>
      <c r="I101" s="3"/>
    </row>
    <row r="102">
      <c r="A102" s="4" t="s">
        <v>9614</v>
      </c>
      <c r="B102" s="13" t="s">
        <v>43</v>
      </c>
      <c r="D102" s="3"/>
      <c r="E102" s="3"/>
      <c r="F102" s="3"/>
      <c r="G102" s="3"/>
      <c r="H102" s="3"/>
      <c r="I102" s="3"/>
    </row>
    <row r="103">
      <c r="A103" s="4" t="s">
        <v>9615</v>
      </c>
      <c r="B103" s="13" t="s">
        <v>43</v>
      </c>
      <c r="D103" s="3"/>
      <c r="E103" s="3"/>
      <c r="F103" s="3"/>
      <c r="G103" s="3"/>
      <c r="H103" s="3"/>
      <c r="I103" s="3"/>
    </row>
    <row r="104">
      <c r="A104" s="4" t="s">
        <v>9616</v>
      </c>
      <c r="B104" s="13" t="s">
        <v>43</v>
      </c>
      <c r="D104" s="3"/>
      <c r="E104" s="3"/>
      <c r="F104" s="3"/>
      <c r="G104" s="3"/>
      <c r="H104" s="3"/>
      <c r="I104" s="3"/>
    </row>
    <row r="105">
      <c r="A105" s="4" t="s">
        <v>9617</v>
      </c>
      <c r="B105" s="13" t="s">
        <v>43</v>
      </c>
      <c r="D105" s="3"/>
      <c r="E105" s="3"/>
      <c r="F105" s="3"/>
      <c r="G105" s="3"/>
      <c r="H105" s="3"/>
      <c r="I105" s="3"/>
    </row>
    <row r="106">
      <c r="A106" s="4" t="s">
        <v>9618</v>
      </c>
      <c r="B106" s="13" t="s">
        <v>43</v>
      </c>
      <c r="D106" s="3"/>
      <c r="E106" s="3"/>
      <c r="F106" s="3"/>
      <c r="G106" s="3"/>
      <c r="H106" s="3"/>
      <c r="I106" s="3"/>
    </row>
    <row r="107">
      <c r="A107" s="4" t="s">
        <v>9619</v>
      </c>
      <c r="B107" s="13" t="s">
        <v>43</v>
      </c>
      <c r="D107" s="3"/>
      <c r="E107" s="3"/>
      <c r="F107" s="3"/>
      <c r="G107" s="3"/>
      <c r="H107" s="3"/>
      <c r="I107" s="3"/>
    </row>
    <row r="108">
      <c r="A108" s="4" t="s">
        <v>9620</v>
      </c>
      <c r="B108" s="13" t="s">
        <v>43</v>
      </c>
      <c r="D108" s="3"/>
      <c r="E108" s="3"/>
      <c r="F108" s="3"/>
      <c r="G108" s="3"/>
      <c r="H108" s="3"/>
      <c r="I108" s="3"/>
    </row>
    <row r="109">
      <c r="A109" s="4" t="s">
        <v>9621</v>
      </c>
      <c r="B109" s="13" t="s">
        <v>43</v>
      </c>
      <c r="D109" s="3"/>
      <c r="E109" s="3"/>
      <c r="F109" s="3"/>
      <c r="G109" s="3"/>
      <c r="H109" s="3"/>
      <c r="I109" s="3"/>
    </row>
    <row r="110">
      <c r="A110" s="4" t="s">
        <v>9622</v>
      </c>
      <c r="B110" s="13" t="s">
        <v>43</v>
      </c>
      <c r="D110" s="3"/>
      <c r="E110" s="3"/>
      <c r="F110" s="3"/>
      <c r="G110" s="3"/>
      <c r="H110" s="3"/>
      <c r="I110" s="3"/>
    </row>
    <row r="111">
      <c r="A111" s="4" t="s">
        <v>9623</v>
      </c>
      <c r="B111" s="13" t="s">
        <v>43</v>
      </c>
      <c r="D111" s="3"/>
      <c r="E111" s="3"/>
      <c r="F111" s="3"/>
      <c r="G111" s="3"/>
      <c r="H111" s="3"/>
      <c r="I111" s="3"/>
    </row>
    <row r="112">
      <c r="A112" s="4" t="s">
        <v>9624</v>
      </c>
      <c r="B112" s="13" t="s">
        <v>43</v>
      </c>
      <c r="D112" s="3"/>
      <c r="E112" s="3"/>
      <c r="F112" s="3"/>
      <c r="G112" s="3"/>
      <c r="H112" s="3"/>
      <c r="I112" s="3"/>
    </row>
    <row r="113">
      <c r="A113" s="4" t="s">
        <v>9625</v>
      </c>
      <c r="B113" s="13" t="s">
        <v>43</v>
      </c>
      <c r="D113" s="3"/>
      <c r="E113" s="3"/>
      <c r="F113" s="3"/>
      <c r="G113" s="3"/>
      <c r="H113" s="3"/>
      <c r="I113" s="3"/>
    </row>
    <row r="114">
      <c r="A114" s="4" t="s">
        <v>9626</v>
      </c>
      <c r="B114" s="13" t="s">
        <v>43</v>
      </c>
      <c r="D114" s="3"/>
      <c r="E114" s="3"/>
      <c r="F114" s="3"/>
      <c r="G114" s="3"/>
      <c r="H114" s="3"/>
      <c r="I114" s="3"/>
    </row>
    <row r="115">
      <c r="A115" s="4" t="s">
        <v>9627</v>
      </c>
      <c r="B115" s="13" t="s">
        <v>43</v>
      </c>
      <c r="D115" s="3"/>
      <c r="E115" s="3"/>
      <c r="F115" s="3"/>
      <c r="G115" s="3"/>
      <c r="H115" s="3"/>
      <c r="I115" s="3"/>
    </row>
    <row r="116">
      <c r="A116" s="4" t="s">
        <v>9628</v>
      </c>
      <c r="B116" s="13" t="s">
        <v>43</v>
      </c>
      <c r="D116" s="3"/>
      <c r="E116" s="3"/>
      <c r="F116" s="3"/>
      <c r="G116" s="3"/>
      <c r="H116" s="3"/>
      <c r="I116" s="3"/>
    </row>
    <row r="117">
      <c r="A117" s="4" t="s">
        <v>9629</v>
      </c>
      <c r="B117" s="13" t="s">
        <v>43</v>
      </c>
      <c r="D117" s="3"/>
      <c r="E117" s="3"/>
      <c r="F117" s="3"/>
      <c r="G117" s="3"/>
      <c r="H117" s="3"/>
      <c r="I117" s="3"/>
    </row>
    <row r="118">
      <c r="A118" s="4" t="s">
        <v>9630</v>
      </c>
      <c r="B118" s="13" t="s">
        <v>43</v>
      </c>
      <c r="D118" s="3"/>
      <c r="E118" s="3"/>
      <c r="F118" s="3"/>
      <c r="G118" s="3"/>
      <c r="H118" s="3"/>
      <c r="I118" s="3"/>
    </row>
    <row r="119">
      <c r="A119" s="4" t="s">
        <v>9631</v>
      </c>
      <c r="B119" s="13" t="s">
        <v>43</v>
      </c>
      <c r="D119" s="3"/>
      <c r="E119" s="3"/>
      <c r="F119" s="3"/>
      <c r="G119" s="3"/>
      <c r="H119" s="3"/>
      <c r="I119" s="3"/>
    </row>
    <row r="120">
      <c r="A120" s="4" t="s">
        <v>9632</v>
      </c>
      <c r="B120" s="13" t="s">
        <v>43</v>
      </c>
      <c r="D120" s="3"/>
      <c r="E120" s="3"/>
      <c r="F120" s="3"/>
      <c r="G120" s="3"/>
      <c r="H120" s="3"/>
      <c r="I120" s="3"/>
    </row>
    <row r="121">
      <c r="A121" s="4" t="s">
        <v>9633</v>
      </c>
      <c r="B121" s="13" t="s">
        <v>43</v>
      </c>
      <c r="D121" s="3"/>
      <c r="E121" s="3"/>
      <c r="F121" s="3"/>
      <c r="G121" s="3"/>
      <c r="H121" s="3"/>
      <c r="I121" s="3"/>
    </row>
    <row r="122">
      <c r="A122" s="4" t="s">
        <v>9634</v>
      </c>
      <c r="B122" s="13" t="s">
        <v>43</v>
      </c>
      <c r="D122" s="3"/>
      <c r="E122" s="3"/>
      <c r="F122" s="3"/>
      <c r="G122" s="3"/>
      <c r="H122" s="3"/>
      <c r="I122" s="3"/>
    </row>
    <row r="123">
      <c r="A123" s="4" t="s">
        <v>9635</v>
      </c>
      <c r="B123" s="13" t="s">
        <v>43</v>
      </c>
      <c r="D123" s="3"/>
      <c r="E123" s="3"/>
      <c r="F123" s="3"/>
      <c r="G123" s="3"/>
      <c r="H123" s="3"/>
      <c r="I123" s="3"/>
    </row>
    <row r="124">
      <c r="A124" s="4" t="s">
        <v>9636</v>
      </c>
      <c r="B124" s="13" t="s">
        <v>43</v>
      </c>
      <c r="D124" s="3"/>
      <c r="E124" s="3"/>
      <c r="F124" s="3"/>
      <c r="G124" s="3"/>
      <c r="H124" s="3"/>
      <c r="I124" s="3"/>
    </row>
    <row r="125">
      <c r="A125" s="4" t="s">
        <v>9637</v>
      </c>
      <c r="B125" s="13" t="s">
        <v>43</v>
      </c>
      <c r="D125" s="3"/>
      <c r="E125" s="3"/>
      <c r="F125" s="3"/>
      <c r="G125" s="3"/>
      <c r="H125" s="3"/>
      <c r="I125" s="3"/>
    </row>
    <row r="126">
      <c r="A126" s="4" t="s">
        <v>9638</v>
      </c>
      <c r="B126" s="13" t="s">
        <v>43</v>
      </c>
      <c r="D126" s="3"/>
      <c r="E126" s="3"/>
      <c r="F126" s="3"/>
      <c r="G126" s="3"/>
      <c r="H126" s="3"/>
      <c r="I126" s="3"/>
    </row>
    <row r="127">
      <c r="A127" s="4" t="s">
        <v>9639</v>
      </c>
      <c r="B127" s="13" t="s">
        <v>43</v>
      </c>
      <c r="D127" s="3"/>
      <c r="E127" s="3"/>
      <c r="F127" s="3"/>
      <c r="G127" s="3"/>
      <c r="H127" s="3"/>
      <c r="I127" s="3"/>
    </row>
    <row r="128">
      <c r="A128" s="4" t="s">
        <v>9640</v>
      </c>
      <c r="B128" s="13" t="s">
        <v>43</v>
      </c>
      <c r="D128" s="3"/>
      <c r="E128" s="3"/>
      <c r="F128" s="3"/>
      <c r="G128" s="3"/>
      <c r="H128" s="3"/>
      <c r="I128" s="3"/>
    </row>
    <row r="129">
      <c r="A129" s="4" t="s">
        <v>9641</v>
      </c>
      <c r="B129" s="13" t="s">
        <v>43</v>
      </c>
      <c r="D129" s="3"/>
      <c r="E129" s="3"/>
      <c r="F129" s="3"/>
      <c r="G129" s="3"/>
      <c r="H129" s="3"/>
      <c r="I129" s="3"/>
    </row>
    <row r="130">
      <c r="A130" s="4" t="s">
        <v>9642</v>
      </c>
      <c r="B130" s="13" t="s">
        <v>43</v>
      </c>
      <c r="D130" s="3"/>
      <c r="E130" s="3"/>
      <c r="F130" s="3"/>
      <c r="G130" s="3"/>
      <c r="H130" s="3"/>
      <c r="I130" s="3"/>
    </row>
    <row r="131">
      <c r="A131" s="4" t="s">
        <v>9643</v>
      </c>
      <c r="B131" s="13" t="s">
        <v>43</v>
      </c>
      <c r="D131" s="3"/>
      <c r="E131" s="3"/>
      <c r="F131" s="3"/>
      <c r="G131" s="3"/>
      <c r="H131" s="3"/>
      <c r="I131" s="3"/>
    </row>
    <row r="132">
      <c r="A132" s="4" t="s">
        <v>9644</v>
      </c>
      <c r="B132" s="13" t="s">
        <v>43</v>
      </c>
      <c r="D132" s="3"/>
      <c r="E132" s="3"/>
      <c r="F132" s="3"/>
      <c r="G132" s="3"/>
      <c r="H132" s="3"/>
      <c r="I132" s="3"/>
    </row>
    <row r="133">
      <c r="A133" s="4" t="s">
        <v>9645</v>
      </c>
      <c r="B133" s="13" t="s">
        <v>43</v>
      </c>
      <c r="D133" s="3"/>
      <c r="E133" s="3"/>
      <c r="F133" s="3"/>
      <c r="G133" s="3"/>
      <c r="H133" s="3"/>
      <c r="I133" s="3"/>
    </row>
    <row r="134">
      <c r="A134" s="4" t="s">
        <v>9646</v>
      </c>
      <c r="B134" s="13" t="s">
        <v>43</v>
      </c>
      <c r="D134" s="3"/>
      <c r="E134" s="3"/>
      <c r="F134" s="3"/>
      <c r="G134" s="3"/>
      <c r="H134" s="3"/>
      <c r="I134" s="3"/>
    </row>
    <row r="135">
      <c r="A135" s="4" t="s">
        <v>9647</v>
      </c>
      <c r="B135" s="13" t="s">
        <v>43</v>
      </c>
      <c r="D135" s="3"/>
      <c r="E135" s="3"/>
      <c r="F135" s="3"/>
      <c r="G135" s="3"/>
      <c r="H135" s="3"/>
      <c r="I135" s="3"/>
    </row>
    <row r="136">
      <c r="A136" s="4" t="s">
        <v>9648</v>
      </c>
      <c r="B136" s="13" t="s">
        <v>43</v>
      </c>
      <c r="D136" s="3"/>
      <c r="E136" s="3"/>
      <c r="F136" s="3"/>
      <c r="G136" s="3"/>
      <c r="H136" s="3"/>
      <c r="I136" s="3"/>
    </row>
    <row r="137">
      <c r="A137" s="4" t="s">
        <v>9649</v>
      </c>
      <c r="B137" s="13" t="s">
        <v>43</v>
      </c>
      <c r="D137" s="3"/>
      <c r="E137" s="3"/>
      <c r="F137" s="3"/>
      <c r="G137" s="3"/>
      <c r="H137" s="3"/>
      <c r="I137" s="3"/>
    </row>
    <row r="138">
      <c r="A138" s="4" t="s">
        <v>9650</v>
      </c>
      <c r="B138" s="13" t="s">
        <v>43</v>
      </c>
      <c r="D138" s="3"/>
      <c r="E138" s="3"/>
      <c r="F138" s="3"/>
      <c r="G138" s="3"/>
      <c r="H138" s="3"/>
      <c r="I138" s="3"/>
    </row>
    <row r="139">
      <c r="A139" s="4" t="s">
        <v>9651</v>
      </c>
      <c r="B139" s="13" t="s">
        <v>43</v>
      </c>
      <c r="D139" s="3"/>
      <c r="E139" s="3"/>
      <c r="F139" s="3"/>
      <c r="G139" s="3"/>
      <c r="H139" s="3"/>
      <c r="I139" s="3"/>
    </row>
    <row r="140">
      <c r="A140" s="4" t="s">
        <v>9652</v>
      </c>
      <c r="B140" s="13" t="s">
        <v>43</v>
      </c>
      <c r="D140" s="3"/>
      <c r="E140" s="3"/>
      <c r="F140" s="3"/>
      <c r="G140" s="3"/>
      <c r="H140" s="3"/>
      <c r="I140" s="3"/>
    </row>
    <row r="141">
      <c r="A141" s="4" t="s">
        <v>9653</v>
      </c>
      <c r="B141" s="13" t="s">
        <v>43</v>
      </c>
      <c r="D141" s="3"/>
      <c r="E141" s="3"/>
      <c r="F141" s="3"/>
      <c r="G141" s="3"/>
      <c r="H141" s="3"/>
      <c r="I141" s="3"/>
    </row>
    <row r="142">
      <c r="A142" s="4" t="s">
        <v>9654</v>
      </c>
      <c r="B142" s="13" t="s">
        <v>43</v>
      </c>
      <c r="D142" s="3"/>
      <c r="E142" s="3"/>
      <c r="F142" s="3"/>
      <c r="G142" s="3"/>
      <c r="H142" s="3"/>
      <c r="I142" s="3"/>
    </row>
    <row r="143">
      <c r="A143" s="4" t="s">
        <v>9655</v>
      </c>
      <c r="B143" s="13" t="s">
        <v>43</v>
      </c>
      <c r="D143" s="3"/>
      <c r="E143" s="3"/>
      <c r="F143" s="3"/>
      <c r="G143" s="3"/>
      <c r="H143" s="3"/>
      <c r="I143" s="3"/>
    </row>
    <row r="144">
      <c r="A144" s="4" t="s">
        <v>9656</v>
      </c>
      <c r="B144" s="13" t="s">
        <v>43</v>
      </c>
      <c r="D144" s="3"/>
      <c r="E144" s="3"/>
      <c r="F144" s="3"/>
      <c r="G144" s="3"/>
      <c r="H144" s="3"/>
      <c r="I144" s="3"/>
    </row>
    <row r="145">
      <c r="A145" s="4" t="s">
        <v>9657</v>
      </c>
      <c r="B145" s="13" t="s">
        <v>43</v>
      </c>
      <c r="D145" s="3"/>
      <c r="E145" s="3"/>
      <c r="F145" s="3"/>
      <c r="G145" s="3"/>
      <c r="H145" s="3"/>
      <c r="I145" s="3"/>
    </row>
    <row r="146">
      <c r="A146" s="4" t="s">
        <v>9658</v>
      </c>
      <c r="B146" s="13" t="s">
        <v>43</v>
      </c>
      <c r="D146" s="3"/>
      <c r="E146" s="3"/>
      <c r="F146" s="3"/>
      <c r="G146" s="3"/>
      <c r="H146" s="3"/>
      <c r="I146" s="3"/>
    </row>
    <row r="147">
      <c r="A147" s="4" t="s">
        <v>9659</v>
      </c>
      <c r="B147" s="13" t="s">
        <v>43</v>
      </c>
      <c r="D147" s="3"/>
      <c r="E147" s="3"/>
      <c r="F147" s="3"/>
      <c r="G147" s="3"/>
      <c r="H147" s="3"/>
      <c r="I147" s="3"/>
    </row>
    <row r="148">
      <c r="A148" s="4" t="s">
        <v>9660</v>
      </c>
      <c r="B148" s="13" t="s">
        <v>43</v>
      </c>
      <c r="D148" s="3"/>
      <c r="E148" s="3"/>
      <c r="F148" s="3"/>
      <c r="G148" s="3"/>
      <c r="H148" s="3"/>
      <c r="I148" s="3"/>
    </row>
    <row r="149">
      <c r="A149" s="4" t="s">
        <v>9661</v>
      </c>
      <c r="B149" s="13" t="s">
        <v>43</v>
      </c>
      <c r="D149" s="3"/>
      <c r="E149" s="3"/>
      <c r="F149" s="3"/>
      <c r="G149" s="3"/>
      <c r="H149" s="3"/>
      <c r="I149" s="3"/>
    </row>
    <row r="150">
      <c r="A150" s="4" t="s">
        <v>9662</v>
      </c>
      <c r="B150" s="13" t="s">
        <v>43</v>
      </c>
      <c r="D150" s="3"/>
      <c r="E150" s="3"/>
      <c r="F150" s="3"/>
      <c r="G150" s="3"/>
      <c r="H150" s="3"/>
      <c r="I150" s="3"/>
    </row>
    <row r="151">
      <c r="A151" s="4" t="s">
        <v>9663</v>
      </c>
      <c r="B151" s="13" t="s">
        <v>43</v>
      </c>
      <c r="D151" s="3"/>
      <c r="E151" s="3"/>
      <c r="F151" s="3"/>
      <c r="G151" s="3"/>
      <c r="H151" s="3"/>
      <c r="I151" s="3"/>
    </row>
    <row r="152">
      <c r="A152" s="4" t="s">
        <v>9664</v>
      </c>
      <c r="B152" s="13" t="s">
        <v>43</v>
      </c>
      <c r="D152" s="3"/>
      <c r="E152" s="3"/>
      <c r="F152" s="3"/>
      <c r="G152" s="3"/>
      <c r="H152" s="3"/>
      <c r="I152" s="3"/>
    </row>
    <row r="153">
      <c r="A153" s="4" t="s">
        <v>9665</v>
      </c>
      <c r="B153" s="13" t="s">
        <v>43</v>
      </c>
      <c r="D153" s="3"/>
      <c r="E153" s="3"/>
      <c r="F153" s="3"/>
      <c r="G153" s="3"/>
      <c r="H153" s="3"/>
      <c r="I153" s="3"/>
    </row>
    <row r="154">
      <c r="A154" s="4" t="s">
        <v>9666</v>
      </c>
      <c r="B154" s="13" t="s">
        <v>43</v>
      </c>
      <c r="D154" s="3"/>
      <c r="E154" s="3"/>
      <c r="F154" s="3"/>
      <c r="G154" s="3"/>
      <c r="H154" s="3"/>
      <c r="I154" s="3"/>
    </row>
    <row r="155">
      <c r="A155" s="4" t="s">
        <v>9667</v>
      </c>
      <c r="B155" s="13" t="s">
        <v>43</v>
      </c>
      <c r="D155" s="3"/>
      <c r="E155" s="3"/>
      <c r="F155" s="3"/>
      <c r="G155" s="3"/>
      <c r="H155" s="3"/>
      <c r="I155" s="3"/>
    </row>
    <row r="156">
      <c r="A156" s="4" t="s">
        <v>9668</v>
      </c>
      <c r="B156" s="13" t="s">
        <v>43</v>
      </c>
      <c r="D156" s="3"/>
      <c r="E156" s="3"/>
      <c r="F156" s="3"/>
      <c r="G156" s="3"/>
      <c r="H156" s="3"/>
      <c r="I156" s="3"/>
    </row>
    <row r="157">
      <c r="A157" s="4" t="s">
        <v>9669</v>
      </c>
      <c r="B157" s="13" t="s">
        <v>43</v>
      </c>
      <c r="D157" s="3"/>
      <c r="E157" s="3"/>
      <c r="F157" s="3"/>
      <c r="G157" s="3"/>
      <c r="H157" s="3"/>
      <c r="I157" s="3"/>
    </row>
    <row r="158">
      <c r="A158" s="4" t="s">
        <v>9670</v>
      </c>
      <c r="B158" s="13" t="s">
        <v>43</v>
      </c>
      <c r="D158" s="3"/>
      <c r="E158" s="3"/>
      <c r="F158" s="3"/>
      <c r="G158" s="3"/>
      <c r="H158" s="3"/>
      <c r="I158" s="3"/>
    </row>
    <row r="159">
      <c r="A159" s="4" t="s">
        <v>9671</v>
      </c>
      <c r="B159" s="13" t="s">
        <v>43</v>
      </c>
      <c r="D159" s="3"/>
      <c r="E159" s="3"/>
      <c r="F159" s="3"/>
      <c r="G159" s="3"/>
      <c r="H159" s="3"/>
      <c r="I159" s="3"/>
    </row>
    <row r="160">
      <c r="A160" s="4" t="s">
        <v>9672</v>
      </c>
      <c r="B160" s="13" t="s">
        <v>43</v>
      </c>
      <c r="D160" s="3"/>
      <c r="E160" s="3"/>
      <c r="F160" s="3"/>
      <c r="G160" s="3"/>
      <c r="H160" s="3"/>
      <c r="I160" s="3"/>
    </row>
    <row r="161">
      <c r="A161" s="4" t="s">
        <v>9673</v>
      </c>
      <c r="B161" s="13" t="s">
        <v>43</v>
      </c>
      <c r="D161" s="3"/>
      <c r="E161" s="3"/>
      <c r="F161" s="3"/>
      <c r="G161" s="3"/>
      <c r="H161" s="3"/>
      <c r="I161" s="3"/>
    </row>
    <row r="162">
      <c r="A162" s="4" t="s">
        <v>9674</v>
      </c>
      <c r="B162" s="13" t="s">
        <v>43</v>
      </c>
      <c r="D162" s="3"/>
      <c r="E162" s="3"/>
      <c r="F162" s="3"/>
      <c r="G162" s="3"/>
      <c r="H162" s="3"/>
      <c r="I162" s="3"/>
    </row>
    <row r="163">
      <c r="A163" s="4" t="s">
        <v>9675</v>
      </c>
      <c r="B163" s="13" t="s">
        <v>43</v>
      </c>
      <c r="D163" s="3"/>
      <c r="E163" s="3"/>
      <c r="F163" s="3"/>
      <c r="G163" s="3"/>
      <c r="H163" s="3"/>
      <c r="I163" s="3"/>
    </row>
    <row r="164">
      <c r="A164" s="4" t="s">
        <v>9676</v>
      </c>
      <c r="B164" s="13" t="s">
        <v>43</v>
      </c>
      <c r="D164" s="3"/>
      <c r="E164" s="3"/>
      <c r="F164" s="3"/>
      <c r="G164" s="3"/>
      <c r="H164" s="3"/>
      <c r="I164" s="3"/>
    </row>
    <row r="165">
      <c r="A165" s="4" t="s">
        <v>9677</v>
      </c>
      <c r="B165" s="13" t="s">
        <v>43</v>
      </c>
      <c r="D165" s="3"/>
      <c r="E165" s="3"/>
      <c r="F165" s="3"/>
      <c r="G165" s="3"/>
      <c r="H165" s="3"/>
      <c r="I165" s="3"/>
    </row>
    <row r="166">
      <c r="A166" s="4" t="s">
        <v>9678</v>
      </c>
      <c r="B166" s="13" t="s">
        <v>48</v>
      </c>
      <c r="C166" s="4">
        <v>1.0</v>
      </c>
      <c r="D166" s="3"/>
      <c r="E166" s="3"/>
      <c r="F166" s="3"/>
      <c r="G166" s="4">
        <v>10.0</v>
      </c>
      <c r="H166" s="3"/>
      <c r="I166" s="3"/>
    </row>
    <row r="167">
      <c r="A167" s="4" t="s">
        <v>9679</v>
      </c>
      <c r="B167" s="13" t="s">
        <v>48</v>
      </c>
      <c r="C167" s="4">
        <v>1.0</v>
      </c>
      <c r="D167" s="3"/>
      <c r="E167" s="3"/>
      <c r="F167" s="3"/>
      <c r="G167" s="4">
        <v>10.0</v>
      </c>
      <c r="H167" s="3"/>
      <c r="I167" s="3"/>
    </row>
    <row r="168">
      <c r="A168" s="4" t="s">
        <v>9680</v>
      </c>
      <c r="B168" s="13" t="s">
        <v>48</v>
      </c>
      <c r="C168" s="4">
        <v>1.0</v>
      </c>
      <c r="D168" s="3"/>
      <c r="E168" s="3"/>
      <c r="F168" s="3"/>
      <c r="G168" s="4">
        <v>10.0</v>
      </c>
      <c r="H168" s="3"/>
      <c r="I168" s="3"/>
    </row>
    <row r="169">
      <c r="A169" s="4" t="s">
        <v>9681</v>
      </c>
      <c r="B169" s="13" t="s">
        <v>48</v>
      </c>
      <c r="C169" s="4">
        <v>1.0</v>
      </c>
      <c r="D169" s="3"/>
      <c r="E169" s="3"/>
      <c r="F169" s="3"/>
      <c r="G169" s="4">
        <v>10.0</v>
      </c>
      <c r="H169" s="3"/>
      <c r="I169" s="3"/>
    </row>
    <row r="170">
      <c r="A170" s="4" t="s">
        <v>9682</v>
      </c>
      <c r="B170" s="13" t="s">
        <v>48</v>
      </c>
      <c r="C170" s="4">
        <v>1.0</v>
      </c>
      <c r="D170" s="3"/>
      <c r="E170" s="3"/>
      <c r="F170" s="3"/>
      <c r="G170" s="4">
        <v>10.0</v>
      </c>
      <c r="H170" s="3"/>
      <c r="I170" s="3"/>
    </row>
    <row r="171">
      <c r="A171" s="4" t="s">
        <v>9683</v>
      </c>
      <c r="B171" s="13" t="s">
        <v>48</v>
      </c>
      <c r="C171" s="4">
        <v>1.0</v>
      </c>
      <c r="D171" s="3"/>
      <c r="E171" s="3"/>
      <c r="F171" s="3"/>
      <c r="G171" s="4">
        <v>10.0</v>
      </c>
      <c r="H171" s="3"/>
      <c r="I171" s="3"/>
    </row>
    <row r="172">
      <c r="A172" s="4" t="s">
        <v>9684</v>
      </c>
      <c r="B172" s="13" t="s">
        <v>43</v>
      </c>
      <c r="D172" s="3"/>
      <c r="E172" s="3"/>
      <c r="F172" s="3"/>
      <c r="G172" s="3"/>
      <c r="H172" s="3"/>
      <c r="I172" s="3"/>
    </row>
    <row r="173">
      <c r="A173" s="4" t="s">
        <v>9685</v>
      </c>
      <c r="B173" s="13" t="s">
        <v>43</v>
      </c>
      <c r="D173" s="3"/>
      <c r="E173" s="3"/>
      <c r="F173" s="3"/>
      <c r="G173" s="3"/>
      <c r="H173" s="3"/>
      <c r="I173" s="3"/>
    </row>
    <row r="174">
      <c r="A174" s="4" t="s">
        <v>9686</v>
      </c>
      <c r="B174" s="13" t="s">
        <v>43</v>
      </c>
      <c r="D174" s="3"/>
      <c r="E174" s="3"/>
      <c r="F174" s="3"/>
      <c r="G174" s="3"/>
      <c r="H174" s="3"/>
      <c r="I174" s="3"/>
    </row>
    <row r="175">
      <c r="A175" s="4" t="s">
        <v>9687</v>
      </c>
      <c r="B175" s="13" t="s">
        <v>43</v>
      </c>
      <c r="D175" s="3"/>
      <c r="E175" s="3"/>
      <c r="F175" s="3"/>
      <c r="G175" s="3"/>
      <c r="H175" s="3"/>
      <c r="I175" s="3"/>
    </row>
    <row r="176">
      <c r="A176" s="4" t="s">
        <v>9688</v>
      </c>
      <c r="B176" s="13" t="s">
        <v>43</v>
      </c>
      <c r="D176" s="3"/>
      <c r="E176" s="3"/>
      <c r="F176" s="3"/>
      <c r="G176" s="3"/>
      <c r="H176" s="3"/>
      <c r="I176" s="3"/>
    </row>
    <row r="177">
      <c r="A177" s="4" t="s">
        <v>9689</v>
      </c>
      <c r="B177" s="13" t="s">
        <v>43</v>
      </c>
      <c r="D177" s="3"/>
      <c r="E177" s="3"/>
      <c r="F177" s="3"/>
      <c r="G177" s="3"/>
      <c r="H177" s="3"/>
      <c r="I177" s="3"/>
    </row>
    <row r="178">
      <c r="A178" s="4" t="s">
        <v>9690</v>
      </c>
      <c r="B178" s="13" t="s">
        <v>43</v>
      </c>
      <c r="D178" s="3"/>
      <c r="E178" s="3"/>
      <c r="F178" s="3"/>
      <c r="G178" s="3"/>
      <c r="H178" s="3"/>
      <c r="I178" s="3"/>
    </row>
    <row r="179">
      <c r="A179" s="4" t="s">
        <v>9691</v>
      </c>
      <c r="B179" s="13" t="s">
        <v>43</v>
      </c>
      <c r="D179" s="3"/>
      <c r="E179" s="3"/>
      <c r="F179" s="3"/>
      <c r="G179" s="3"/>
      <c r="H179" s="3"/>
      <c r="I179" s="3"/>
    </row>
    <row r="180">
      <c r="A180" s="4" t="s">
        <v>9692</v>
      </c>
      <c r="B180" s="13" t="s">
        <v>43</v>
      </c>
      <c r="D180" s="3"/>
      <c r="E180" s="3"/>
      <c r="F180" s="3"/>
      <c r="G180" s="3"/>
      <c r="H180" s="3"/>
      <c r="I180" s="3"/>
    </row>
    <row r="181">
      <c r="A181" s="4" t="s">
        <v>9693</v>
      </c>
      <c r="B181" s="13" t="s">
        <v>43</v>
      </c>
      <c r="D181" s="3"/>
      <c r="E181" s="3"/>
      <c r="F181" s="3"/>
      <c r="G181" s="3"/>
      <c r="H181" s="3"/>
      <c r="I181" s="3"/>
    </row>
    <row r="182">
      <c r="A182" s="4" t="s">
        <v>9694</v>
      </c>
      <c r="B182" s="13" t="s">
        <v>43</v>
      </c>
      <c r="D182" s="3"/>
      <c r="E182" s="3"/>
      <c r="F182" s="3"/>
      <c r="G182" s="3"/>
      <c r="H182" s="3"/>
      <c r="I182" s="3"/>
    </row>
    <row r="183">
      <c r="A183" s="4" t="s">
        <v>9695</v>
      </c>
      <c r="B183" s="13" t="s">
        <v>43</v>
      </c>
      <c r="D183" s="3"/>
      <c r="E183" s="3"/>
      <c r="F183" s="3"/>
      <c r="G183" s="3"/>
      <c r="H183" s="3"/>
      <c r="I183" s="3"/>
    </row>
    <row r="184">
      <c r="A184" s="4" t="s">
        <v>9696</v>
      </c>
      <c r="B184" s="13" t="s">
        <v>43</v>
      </c>
      <c r="D184" s="3"/>
      <c r="E184" s="3"/>
      <c r="F184" s="3"/>
      <c r="G184" s="3"/>
      <c r="H184" s="3"/>
      <c r="I184" s="3"/>
    </row>
    <row r="185">
      <c r="A185" s="4" t="s">
        <v>9697</v>
      </c>
      <c r="B185" s="13" t="s">
        <v>43</v>
      </c>
      <c r="D185" s="3"/>
      <c r="E185" s="3"/>
      <c r="F185" s="3"/>
      <c r="G185" s="3"/>
      <c r="H185" s="3"/>
      <c r="I185" s="3"/>
    </row>
    <row r="186">
      <c r="A186" s="4" t="s">
        <v>9698</v>
      </c>
      <c r="B186" s="13" t="s">
        <v>43</v>
      </c>
      <c r="D186" s="3"/>
      <c r="E186" s="3"/>
      <c r="F186" s="3"/>
      <c r="G186" s="3"/>
      <c r="H186" s="3"/>
      <c r="I186" s="3"/>
    </row>
    <row r="187">
      <c r="A187" s="4" t="s">
        <v>9699</v>
      </c>
      <c r="B187" s="13" t="s">
        <v>43</v>
      </c>
      <c r="D187" s="3"/>
      <c r="E187" s="3"/>
      <c r="F187" s="3"/>
      <c r="G187" s="3"/>
      <c r="H187" s="3"/>
      <c r="I187" s="3"/>
    </row>
    <row r="188">
      <c r="A188" s="4" t="s">
        <v>9700</v>
      </c>
      <c r="B188" s="13" t="s">
        <v>43</v>
      </c>
      <c r="D188" s="3"/>
      <c r="E188" s="3"/>
      <c r="F188" s="3"/>
      <c r="G188" s="3"/>
      <c r="H188" s="3"/>
      <c r="I188" s="3"/>
    </row>
    <row r="189">
      <c r="A189" s="4" t="s">
        <v>9701</v>
      </c>
      <c r="B189" s="13" t="s">
        <v>43</v>
      </c>
      <c r="D189" s="3"/>
      <c r="E189" s="3"/>
      <c r="F189" s="3"/>
      <c r="G189" s="3"/>
      <c r="H189" s="3"/>
      <c r="I189" s="3"/>
    </row>
    <row r="190">
      <c r="A190" s="4" t="s">
        <v>9702</v>
      </c>
      <c r="B190" s="13" t="s">
        <v>43</v>
      </c>
      <c r="D190" s="3"/>
      <c r="E190" s="3"/>
      <c r="F190" s="3"/>
      <c r="G190" s="3"/>
      <c r="H190" s="3"/>
      <c r="I190" s="3"/>
    </row>
    <row r="191">
      <c r="A191" s="4" t="s">
        <v>9703</v>
      </c>
      <c r="B191" s="13" t="s">
        <v>43</v>
      </c>
      <c r="D191" s="3"/>
      <c r="E191" s="3"/>
      <c r="F191" s="3"/>
      <c r="G191" s="3"/>
      <c r="H191" s="3"/>
      <c r="I191" s="3"/>
    </row>
    <row r="192">
      <c r="A192" s="4" t="s">
        <v>9704</v>
      </c>
      <c r="B192" s="13" t="s">
        <v>43</v>
      </c>
      <c r="D192" s="3"/>
      <c r="E192" s="3"/>
      <c r="F192" s="3"/>
      <c r="G192" s="3"/>
      <c r="H192" s="3"/>
      <c r="I192" s="3"/>
    </row>
    <row r="193">
      <c r="A193" s="4" t="s">
        <v>9705</v>
      </c>
      <c r="B193" s="13" t="s">
        <v>43</v>
      </c>
      <c r="D193" s="3"/>
      <c r="E193" s="3"/>
      <c r="F193" s="3"/>
      <c r="G193" s="3"/>
      <c r="H193" s="3"/>
      <c r="I193" s="3"/>
    </row>
    <row r="194">
      <c r="A194" s="4" t="s">
        <v>9706</v>
      </c>
      <c r="B194" s="13" t="s">
        <v>43</v>
      </c>
      <c r="D194" s="3"/>
      <c r="E194" s="3"/>
      <c r="F194" s="3"/>
      <c r="G194" s="3"/>
      <c r="H194" s="3"/>
      <c r="I194" s="3"/>
    </row>
    <row r="195">
      <c r="A195" s="4" t="s">
        <v>9707</v>
      </c>
      <c r="B195" s="13" t="s">
        <v>43</v>
      </c>
      <c r="D195" s="3"/>
      <c r="E195" s="3"/>
      <c r="F195" s="3"/>
      <c r="G195" s="3"/>
      <c r="H195" s="3"/>
      <c r="I195" s="3"/>
    </row>
    <row r="196">
      <c r="A196" s="4" t="s">
        <v>9708</v>
      </c>
      <c r="B196" s="13" t="s">
        <v>43</v>
      </c>
      <c r="D196" s="3"/>
      <c r="E196" s="3"/>
      <c r="F196" s="3"/>
      <c r="G196" s="3"/>
      <c r="H196" s="3"/>
      <c r="I196" s="3"/>
    </row>
    <row r="197">
      <c r="A197" s="4" t="s">
        <v>9709</v>
      </c>
      <c r="B197" s="13" t="s">
        <v>48</v>
      </c>
      <c r="C197" s="4">
        <v>1.0</v>
      </c>
      <c r="D197" s="3"/>
      <c r="E197" s="3"/>
      <c r="F197" s="3"/>
      <c r="G197" s="4">
        <v>10.0</v>
      </c>
      <c r="H197" s="3"/>
      <c r="I197" s="3"/>
    </row>
    <row r="198">
      <c r="A198" s="4" t="s">
        <v>9710</v>
      </c>
      <c r="B198" s="13" t="s">
        <v>48</v>
      </c>
      <c r="C198" s="4">
        <v>1.0</v>
      </c>
      <c r="D198" s="3"/>
      <c r="E198" s="3"/>
      <c r="F198" s="3"/>
      <c r="G198" s="4">
        <v>10.0</v>
      </c>
      <c r="H198" s="3"/>
      <c r="I198" s="3"/>
    </row>
    <row r="199">
      <c r="A199" s="4" t="s">
        <v>9711</v>
      </c>
      <c r="B199" s="13" t="s">
        <v>48</v>
      </c>
      <c r="C199" s="4">
        <v>1.0</v>
      </c>
      <c r="D199" s="3"/>
      <c r="E199" s="3"/>
      <c r="F199" s="3"/>
      <c r="G199" s="4">
        <v>10.0</v>
      </c>
      <c r="H199" s="3"/>
      <c r="I199" s="3"/>
    </row>
    <row r="200">
      <c r="A200" s="4" t="s">
        <v>9712</v>
      </c>
      <c r="B200" s="13" t="s">
        <v>48</v>
      </c>
      <c r="C200" s="4">
        <v>1.0</v>
      </c>
      <c r="D200" s="3"/>
      <c r="E200" s="3"/>
      <c r="F200" s="3"/>
      <c r="G200" s="4">
        <v>10.0</v>
      </c>
      <c r="H200" s="3"/>
      <c r="I200" s="3"/>
    </row>
    <row r="201">
      <c r="A201" s="4" t="s">
        <v>9713</v>
      </c>
      <c r="B201" s="13" t="s">
        <v>48</v>
      </c>
      <c r="C201" s="4">
        <v>1.0</v>
      </c>
      <c r="D201" s="3"/>
      <c r="E201" s="3"/>
      <c r="F201" s="3"/>
      <c r="G201" s="4">
        <v>10.0</v>
      </c>
      <c r="H201" s="3"/>
      <c r="I201" s="3"/>
    </row>
    <row r="202">
      <c r="A202" s="4" t="s">
        <v>9714</v>
      </c>
      <c r="B202" s="13" t="s">
        <v>43</v>
      </c>
      <c r="D202" s="3"/>
      <c r="E202" s="3"/>
      <c r="F202" s="3"/>
      <c r="G202" s="3"/>
      <c r="H202" s="3"/>
      <c r="I202" s="3"/>
    </row>
    <row r="203">
      <c r="A203" s="4" t="s">
        <v>9715</v>
      </c>
      <c r="B203" s="13" t="s">
        <v>43</v>
      </c>
      <c r="D203" s="3"/>
      <c r="E203" s="3"/>
      <c r="F203" s="3"/>
      <c r="G203" s="3"/>
      <c r="H203" s="3"/>
      <c r="I203" s="3"/>
    </row>
    <row r="204">
      <c r="A204" s="4" t="s">
        <v>9716</v>
      </c>
      <c r="B204" s="13" t="s">
        <v>43</v>
      </c>
      <c r="D204" s="3"/>
      <c r="E204" s="3"/>
      <c r="F204" s="3"/>
      <c r="G204" s="3"/>
      <c r="H204" s="3"/>
      <c r="I204" s="3"/>
    </row>
    <row r="205">
      <c r="A205" s="4" t="s">
        <v>9717</v>
      </c>
      <c r="B205" s="13" t="s">
        <v>43</v>
      </c>
      <c r="D205" s="3"/>
      <c r="E205" s="3"/>
      <c r="F205" s="3"/>
      <c r="G205" s="3"/>
      <c r="H205" s="3"/>
      <c r="I205" s="3"/>
    </row>
    <row r="206">
      <c r="A206" s="4" t="s">
        <v>9718</v>
      </c>
      <c r="B206" s="13" t="s">
        <v>43</v>
      </c>
      <c r="D206" s="3"/>
      <c r="E206" s="3"/>
      <c r="F206" s="3"/>
      <c r="G206" s="3"/>
      <c r="H206" s="3"/>
      <c r="I206" s="3"/>
    </row>
    <row r="207">
      <c r="A207" s="4" t="s">
        <v>9719</v>
      </c>
      <c r="B207" s="13" t="s">
        <v>43</v>
      </c>
      <c r="D207" s="3"/>
      <c r="E207" s="3"/>
      <c r="F207" s="3"/>
      <c r="G207" s="3"/>
      <c r="H207" s="3"/>
      <c r="I207" s="3"/>
    </row>
    <row r="208">
      <c r="A208" s="4" t="s">
        <v>9720</v>
      </c>
      <c r="B208" s="13" t="s">
        <v>43</v>
      </c>
      <c r="D208" s="3"/>
      <c r="E208" s="3"/>
      <c r="F208" s="3"/>
      <c r="G208" s="3"/>
      <c r="H208" s="3"/>
      <c r="I208" s="3"/>
    </row>
    <row r="209">
      <c r="A209" s="4" t="s">
        <v>9721</v>
      </c>
      <c r="B209" s="13" t="s">
        <v>43</v>
      </c>
      <c r="D209" s="3"/>
      <c r="E209" s="3"/>
      <c r="F209" s="3"/>
      <c r="G209" s="3"/>
      <c r="H209" s="3"/>
      <c r="I209" s="3"/>
    </row>
    <row r="210">
      <c r="A210" s="4" t="s">
        <v>9722</v>
      </c>
      <c r="B210" s="13" t="s">
        <v>43</v>
      </c>
      <c r="D210" s="3"/>
      <c r="E210" s="3"/>
      <c r="F210" s="3"/>
      <c r="G210" s="3"/>
      <c r="H210" s="3"/>
      <c r="I210" s="3"/>
    </row>
    <row r="211">
      <c r="A211" s="4" t="s">
        <v>9723</v>
      </c>
      <c r="B211" s="13" t="s">
        <v>43</v>
      </c>
      <c r="D211" s="3"/>
      <c r="E211" s="3"/>
      <c r="F211" s="3"/>
      <c r="G211" s="3"/>
      <c r="H211" s="3"/>
      <c r="I211" s="3"/>
    </row>
    <row r="212">
      <c r="A212" s="4" t="s">
        <v>9724</v>
      </c>
      <c r="B212" s="13" t="s">
        <v>43</v>
      </c>
      <c r="D212" s="3"/>
      <c r="E212" s="3"/>
      <c r="F212" s="3"/>
      <c r="G212" s="3"/>
      <c r="H212" s="3"/>
      <c r="I212" s="3"/>
    </row>
    <row r="213">
      <c r="A213" s="4" t="s">
        <v>9725</v>
      </c>
      <c r="B213" s="13" t="s">
        <v>43</v>
      </c>
      <c r="D213" s="3"/>
      <c r="E213" s="3"/>
      <c r="F213" s="3"/>
      <c r="G213" s="3"/>
      <c r="H213" s="3"/>
      <c r="I213" s="3"/>
    </row>
    <row r="214">
      <c r="A214" s="4" t="s">
        <v>9726</v>
      </c>
      <c r="B214" s="13" t="s">
        <v>43</v>
      </c>
      <c r="D214" s="3"/>
      <c r="E214" s="3"/>
      <c r="F214" s="3"/>
      <c r="G214" s="3"/>
      <c r="H214" s="3"/>
      <c r="I214" s="3"/>
    </row>
    <row r="215">
      <c r="A215" s="4" t="s">
        <v>9727</v>
      </c>
      <c r="B215" s="13" t="s">
        <v>43</v>
      </c>
      <c r="D215" s="3"/>
      <c r="E215" s="3"/>
      <c r="F215" s="3"/>
      <c r="G215" s="3"/>
      <c r="H215" s="3"/>
      <c r="I215" s="3"/>
    </row>
    <row r="216">
      <c r="A216" s="4" t="s">
        <v>9728</v>
      </c>
      <c r="B216" s="13" t="s">
        <v>43</v>
      </c>
      <c r="D216" s="3"/>
      <c r="E216" s="3"/>
      <c r="F216" s="3"/>
      <c r="G216" s="3"/>
      <c r="H216" s="3"/>
      <c r="I216" s="3"/>
    </row>
    <row r="217">
      <c r="A217" s="4" t="s">
        <v>9729</v>
      </c>
      <c r="B217" s="13" t="s">
        <v>43</v>
      </c>
      <c r="D217" s="3"/>
      <c r="E217" s="3"/>
      <c r="F217" s="3"/>
      <c r="G217" s="3"/>
      <c r="H217" s="3"/>
      <c r="I217" s="3"/>
    </row>
    <row r="218">
      <c r="A218" s="4" t="s">
        <v>9730</v>
      </c>
      <c r="B218" s="13" t="s">
        <v>43</v>
      </c>
      <c r="D218" s="3"/>
      <c r="E218" s="3"/>
      <c r="F218" s="3"/>
      <c r="G218" s="3"/>
      <c r="H218" s="3"/>
      <c r="I218" s="3"/>
    </row>
    <row r="219">
      <c r="A219" s="4" t="s">
        <v>9731</v>
      </c>
      <c r="B219" s="13" t="s">
        <v>43</v>
      </c>
      <c r="D219" s="3"/>
      <c r="E219" s="3"/>
      <c r="F219" s="3"/>
      <c r="G219" s="3"/>
      <c r="H219" s="3"/>
      <c r="I219" s="3"/>
    </row>
    <row r="220">
      <c r="A220" s="4" t="s">
        <v>9732</v>
      </c>
      <c r="B220" s="13" t="s">
        <v>43</v>
      </c>
      <c r="D220" s="3"/>
      <c r="E220" s="3"/>
      <c r="F220" s="3"/>
      <c r="G220" s="3"/>
      <c r="H220" s="3"/>
      <c r="I220" s="3"/>
    </row>
    <row r="221">
      <c r="A221" s="4" t="s">
        <v>9733</v>
      </c>
      <c r="B221" s="13" t="s">
        <v>43</v>
      </c>
      <c r="D221" s="3"/>
      <c r="E221" s="3"/>
      <c r="F221" s="3"/>
      <c r="G221" s="3"/>
      <c r="H221" s="3"/>
      <c r="I221" s="3"/>
    </row>
    <row r="222">
      <c r="A222" s="4" t="s">
        <v>9734</v>
      </c>
      <c r="B222" s="13" t="s">
        <v>43</v>
      </c>
      <c r="D222" s="3"/>
      <c r="E222" s="3"/>
      <c r="F222" s="3"/>
      <c r="G222" s="3"/>
      <c r="H222" s="3"/>
      <c r="I222" s="3"/>
    </row>
    <row r="223">
      <c r="A223" s="4" t="s">
        <v>9735</v>
      </c>
      <c r="B223" s="13" t="s">
        <v>43</v>
      </c>
      <c r="D223" s="3"/>
      <c r="E223" s="3"/>
      <c r="F223" s="3"/>
      <c r="G223" s="3"/>
      <c r="H223" s="3"/>
      <c r="I223" s="3"/>
    </row>
    <row r="224">
      <c r="A224" s="4" t="s">
        <v>9736</v>
      </c>
      <c r="B224" s="13" t="s">
        <v>43</v>
      </c>
      <c r="D224" s="3"/>
      <c r="E224" s="3"/>
      <c r="F224" s="3"/>
      <c r="G224" s="3"/>
      <c r="H224" s="3"/>
      <c r="I224" s="3"/>
    </row>
    <row r="225">
      <c r="A225" s="4" t="s">
        <v>9737</v>
      </c>
      <c r="B225" s="13" t="s">
        <v>48</v>
      </c>
      <c r="C225" s="4">
        <v>1.0</v>
      </c>
      <c r="D225" s="3"/>
      <c r="E225" s="3"/>
      <c r="F225" s="3"/>
      <c r="G225" s="4">
        <v>10.0</v>
      </c>
      <c r="H225" s="3"/>
      <c r="I225" s="3"/>
    </row>
    <row r="226">
      <c r="A226" s="4" t="s">
        <v>9738</v>
      </c>
      <c r="B226" s="13" t="s">
        <v>48</v>
      </c>
      <c r="C226" s="4">
        <v>1.0</v>
      </c>
      <c r="D226" s="3"/>
      <c r="E226" s="3"/>
      <c r="F226" s="3"/>
      <c r="G226" s="4">
        <v>10.0</v>
      </c>
      <c r="H226" s="3"/>
      <c r="I226" s="3"/>
    </row>
    <row r="227">
      <c r="A227" s="4" t="s">
        <v>9739</v>
      </c>
      <c r="B227" s="13" t="s">
        <v>48</v>
      </c>
      <c r="C227" s="4">
        <v>1.0</v>
      </c>
      <c r="D227" s="3"/>
      <c r="E227" s="3"/>
      <c r="F227" s="3"/>
      <c r="G227" s="4">
        <v>10.0</v>
      </c>
      <c r="H227" s="3"/>
      <c r="I227" s="3"/>
    </row>
    <row r="228">
      <c r="A228" s="4" t="s">
        <v>9740</v>
      </c>
      <c r="B228" s="13" t="s">
        <v>48</v>
      </c>
      <c r="C228" s="4">
        <v>1.0</v>
      </c>
      <c r="D228" s="3"/>
      <c r="E228" s="3"/>
      <c r="F228" s="3"/>
      <c r="G228" s="4">
        <v>10.0</v>
      </c>
      <c r="H228" s="3"/>
      <c r="I228" s="3"/>
    </row>
    <row r="229">
      <c r="A229" s="4" t="s">
        <v>9741</v>
      </c>
      <c r="B229" s="13" t="s">
        <v>43</v>
      </c>
      <c r="D229" s="3"/>
      <c r="E229" s="3"/>
      <c r="F229" s="3"/>
      <c r="G229" s="3"/>
      <c r="H229" s="3"/>
      <c r="I229" s="3"/>
    </row>
    <row r="230">
      <c r="A230" s="4" t="s">
        <v>9742</v>
      </c>
      <c r="B230" s="13" t="s">
        <v>43</v>
      </c>
      <c r="D230" s="3"/>
      <c r="E230" s="3"/>
      <c r="F230" s="3"/>
      <c r="G230" s="3"/>
      <c r="H230" s="3"/>
      <c r="I230" s="3"/>
    </row>
    <row r="231">
      <c r="A231" s="4" t="s">
        <v>9743</v>
      </c>
      <c r="B231" s="13" t="s">
        <v>43</v>
      </c>
      <c r="D231" s="3"/>
      <c r="E231" s="3"/>
      <c r="F231" s="3"/>
      <c r="G231" s="3"/>
      <c r="H231" s="3"/>
      <c r="I231" s="3"/>
    </row>
    <row r="232">
      <c r="A232" s="4" t="s">
        <v>9744</v>
      </c>
      <c r="B232" s="13" t="s">
        <v>43</v>
      </c>
      <c r="D232" s="3"/>
      <c r="E232" s="3"/>
      <c r="F232" s="3"/>
      <c r="G232" s="3"/>
      <c r="H232" s="3"/>
      <c r="I232" s="3"/>
    </row>
    <row r="233">
      <c r="A233" s="4" t="s">
        <v>9745</v>
      </c>
      <c r="B233" s="13" t="s">
        <v>43</v>
      </c>
      <c r="D233" s="3"/>
      <c r="E233" s="3"/>
      <c r="F233" s="3"/>
      <c r="G233" s="3"/>
      <c r="H233" s="3"/>
      <c r="I233" s="3"/>
    </row>
    <row r="234">
      <c r="A234" s="4" t="s">
        <v>9746</v>
      </c>
      <c r="B234" s="13" t="s">
        <v>43</v>
      </c>
      <c r="D234" s="3"/>
      <c r="E234" s="3"/>
      <c r="F234" s="3"/>
      <c r="G234" s="3"/>
      <c r="H234" s="3"/>
      <c r="I234" s="3"/>
    </row>
    <row r="235">
      <c r="A235" s="4" t="s">
        <v>9747</v>
      </c>
      <c r="B235" s="13" t="s">
        <v>43</v>
      </c>
      <c r="D235" s="3"/>
      <c r="E235" s="3"/>
      <c r="F235" s="3"/>
      <c r="G235" s="3"/>
      <c r="H235" s="3"/>
      <c r="I235" s="3"/>
    </row>
    <row r="236">
      <c r="A236" s="4" t="s">
        <v>9748</v>
      </c>
      <c r="B236" s="13" t="s">
        <v>43</v>
      </c>
      <c r="D236" s="3"/>
      <c r="E236" s="3"/>
      <c r="F236" s="3"/>
      <c r="G236" s="3"/>
      <c r="H236" s="3"/>
      <c r="I236" s="3"/>
    </row>
    <row r="237">
      <c r="A237" s="4" t="s">
        <v>9749</v>
      </c>
      <c r="B237" s="13" t="s">
        <v>43</v>
      </c>
      <c r="D237" s="3"/>
      <c r="E237" s="3"/>
      <c r="F237" s="3"/>
      <c r="G237" s="3"/>
      <c r="H237" s="3"/>
      <c r="I237" s="3"/>
    </row>
    <row r="238">
      <c r="A238" s="4" t="s">
        <v>9750</v>
      </c>
      <c r="B238" s="13" t="s">
        <v>43</v>
      </c>
      <c r="D238" s="3"/>
      <c r="E238" s="3"/>
      <c r="F238" s="3"/>
      <c r="G238" s="3"/>
      <c r="H238" s="3"/>
      <c r="I238" s="3"/>
    </row>
    <row r="239">
      <c r="A239" s="4" t="s">
        <v>9751</v>
      </c>
      <c r="B239" s="13" t="s">
        <v>48</v>
      </c>
      <c r="C239" s="4">
        <v>1.0</v>
      </c>
      <c r="D239" s="3"/>
      <c r="E239" s="3"/>
      <c r="F239" s="3"/>
      <c r="G239" s="4">
        <v>10.0</v>
      </c>
      <c r="H239" s="3"/>
      <c r="I239" s="3"/>
    </row>
    <row r="240">
      <c r="A240" s="4" t="s">
        <v>9752</v>
      </c>
      <c r="B240" s="13" t="s">
        <v>43</v>
      </c>
      <c r="D240" s="3"/>
      <c r="E240" s="3"/>
      <c r="F240" s="3"/>
      <c r="G240" s="3"/>
      <c r="H240" s="3"/>
      <c r="I240" s="3"/>
    </row>
    <row r="241">
      <c r="A241" s="4" t="s">
        <v>9753</v>
      </c>
      <c r="B241" s="13" t="s">
        <v>43</v>
      </c>
      <c r="D241" s="3"/>
      <c r="E241" s="3"/>
      <c r="F241" s="3"/>
      <c r="G241" s="3"/>
      <c r="H241" s="3"/>
      <c r="I241" s="3"/>
    </row>
    <row r="242">
      <c r="A242" s="4" t="s">
        <v>9754</v>
      </c>
      <c r="B242" s="13" t="s">
        <v>43</v>
      </c>
      <c r="D242" s="3"/>
      <c r="E242" s="3"/>
      <c r="F242" s="3"/>
      <c r="G242" s="3"/>
      <c r="H242" s="3"/>
      <c r="I242" s="3"/>
    </row>
    <row r="243">
      <c r="A243" s="4" t="s">
        <v>9755</v>
      </c>
      <c r="B243" s="13" t="s">
        <v>48</v>
      </c>
      <c r="C243" s="4">
        <v>1.0</v>
      </c>
      <c r="D243" s="3"/>
      <c r="E243" s="3"/>
      <c r="F243" s="4">
        <v>9.0</v>
      </c>
      <c r="G243" s="3"/>
      <c r="H243" s="3"/>
      <c r="I243" s="3"/>
      <c r="J243" s="4" t="s">
        <v>1757</v>
      </c>
    </row>
    <row r="244">
      <c r="A244" s="4" t="s">
        <v>9756</v>
      </c>
      <c r="B244" s="13" t="s">
        <v>48</v>
      </c>
      <c r="C244" s="4">
        <v>3.0</v>
      </c>
      <c r="D244" s="3"/>
      <c r="E244" s="3"/>
      <c r="F244" s="4">
        <v>9.0</v>
      </c>
      <c r="G244" s="3"/>
      <c r="H244" s="4">
        <v>13.0</v>
      </c>
      <c r="I244" s="4">
        <v>15.0</v>
      </c>
      <c r="J244" s="4" t="s">
        <v>1757</v>
      </c>
      <c r="K244" s="4" t="s">
        <v>1757</v>
      </c>
    </row>
    <row r="245">
      <c r="A245" s="4" t="s">
        <v>9757</v>
      </c>
      <c r="B245" s="13" t="s">
        <v>48</v>
      </c>
      <c r="C245" s="4">
        <v>3.0</v>
      </c>
      <c r="D245" s="3"/>
      <c r="E245" s="3"/>
      <c r="F245" s="4">
        <v>9.0</v>
      </c>
      <c r="G245" s="3"/>
      <c r="H245" s="4">
        <v>13.0</v>
      </c>
      <c r="I245" s="4">
        <v>15.0</v>
      </c>
      <c r="J245" s="4" t="s">
        <v>1757</v>
      </c>
      <c r="K245" s="4" t="s">
        <v>1757</v>
      </c>
    </row>
    <row r="246">
      <c r="A246" s="4" t="s">
        <v>9758</v>
      </c>
      <c r="B246" s="13" t="s">
        <v>48</v>
      </c>
      <c r="C246" s="4">
        <v>4.0</v>
      </c>
      <c r="D246" s="4">
        <v>1.0</v>
      </c>
      <c r="E246" s="3"/>
      <c r="F246" s="4">
        <v>9.0</v>
      </c>
      <c r="G246" s="3"/>
      <c r="H246" s="4">
        <v>13.0</v>
      </c>
      <c r="I246" s="4">
        <v>15.0</v>
      </c>
      <c r="J246" s="4" t="s">
        <v>1757</v>
      </c>
      <c r="K246" s="4" t="s">
        <v>1757</v>
      </c>
    </row>
    <row r="247">
      <c r="A247" s="4" t="s">
        <v>9759</v>
      </c>
      <c r="B247" s="13" t="s">
        <v>48</v>
      </c>
      <c r="C247" s="4">
        <v>2.0</v>
      </c>
      <c r="D247" s="4">
        <v>1.0</v>
      </c>
      <c r="E247" s="3"/>
      <c r="F247" s="3"/>
      <c r="G247" s="3"/>
      <c r="H247" s="3"/>
      <c r="I247" s="4">
        <v>15.0</v>
      </c>
      <c r="J247" s="4" t="s">
        <v>1757</v>
      </c>
    </row>
    <row r="248">
      <c r="A248" s="4" t="s">
        <v>9760</v>
      </c>
      <c r="B248" s="13" t="s">
        <v>43</v>
      </c>
      <c r="D248" s="3"/>
      <c r="E248" s="3"/>
      <c r="F248" s="3"/>
      <c r="G248" s="3"/>
      <c r="H248" s="3"/>
      <c r="I248" s="3"/>
    </row>
    <row r="249">
      <c r="A249" s="4" t="s">
        <v>9761</v>
      </c>
      <c r="B249" s="13" t="s">
        <v>43</v>
      </c>
      <c r="D249" s="3"/>
      <c r="E249" s="3"/>
      <c r="F249" s="3"/>
      <c r="G249" s="3"/>
      <c r="H249" s="3"/>
      <c r="I249" s="3"/>
    </row>
    <row r="250">
      <c r="A250" s="4" t="s">
        <v>9762</v>
      </c>
      <c r="B250" s="13" t="s">
        <v>43</v>
      </c>
      <c r="D250" s="3"/>
      <c r="E250" s="3"/>
      <c r="F250" s="3"/>
      <c r="G250" s="3"/>
      <c r="H250" s="3"/>
      <c r="I250" s="3"/>
    </row>
    <row r="251">
      <c r="A251" s="4" t="s">
        <v>9763</v>
      </c>
      <c r="B251" s="13" t="s">
        <v>43</v>
      </c>
      <c r="D251" s="3"/>
      <c r="E251" s="3"/>
      <c r="F251" s="3"/>
      <c r="G251" s="3"/>
      <c r="H251" s="3"/>
      <c r="I251" s="3"/>
    </row>
    <row r="252">
      <c r="A252" s="4" t="s">
        <v>9764</v>
      </c>
      <c r="B252" s="13" t="s">
        <v>48</v>
      </c>
      <c r="C252" s="4">
        <v>1.0</v>
      </c>
      <c r="D252" s="3"/>
      <c r="E252" s="3"/>
      <c r="F252" s="3"/>
      <c r="G252" s="4">
        <v>10.0</v>
      </c>
      <c r="H252" s="3"/>
      <c r="I252" s="3"/>
    </row>
    <row r="253">
      <c r="A253" s="4" t="s">
        <v>9765</v>
      </c>
      <c r="B253" s="13" t="s">
        <v>48</v>
      </c>
      <c r="C253" s="4">
        <v>1.0</v>
      </c>
      <c r="D253" s="3"/>
      <c r="E253" s="3"/>
      <c r="F253" s="3"/>
      <c r="G253" s="4">
        <v>10.0</v>
      </c>
      <c r="H253" s="3"/>
      <c r="I253" s="3"/>
    </row>
    <row r="254">
      <c r="A254" s="4" t="s">
        <v>9766</v>
      </c>
      <c r="B254" s="13" t="s">
        <v>48</v>
      </c>
      <c r="C254" s="4">
        <v>1.0</v>
      </c>
      <c r="D254" s="3"/>
      <c r="E254" s="3"/>
      <c r="F254" s="3"/>
      <c r="G254" s="4">
        <v>10.0</v>
      </c>
      <c r="H254" s="3"/>
      <c r="I254" s="3"/>
    </row>
    <row r="255">
      <c r="A255" s="4" t="s">
        <v>9767</v>
      </c>
      <c r="B255" s="13" t="s">
        <v>48</v>
      </c>
      <c r="C255" s="4">
        <v>1.0</v>
      </c>
      <c r="D255" s="3"/>
      <c r="E255" s="3"/>
      <c r="F255" s="3"/>
      <c r="G255" s="4">
        <v>10.0</v>
      </c>
      <c r="H255" s="3"/>
      <c r="I255" s="3"/>
    </row>
    <row r="256">
      <c r="A256" s="4" t="s">
        <v>9768</v>
      </c>
      <c r="B256" s="13" t="s">
        <v>48</v>
      </c>
      <c r="C256" s="4">
        <v>1.0</v>
      </c>
      <c r="D256" s="3"/>
      <c r="E256" s="3"/>
      <c r="F256" s="3"/>
      <c r="G256" s="4">
        <v>10.0</v>
      </c>
      <c r="H256" s="3"/>
      <c r="I256" s="3"/>
    </row>
    <row r="257">
      <c r="A257" s="4" t="s">
        <v>9769</v>
      </c>
      <c r="B257" s="13" t="s">
        <v>43</v>
      </c>
      <c r="D257" s="3"/>
      <c r="E257" s="3"/>
      <c r="F257" s="3"/>
      <c r="G257" s="3"/>
      <c r="H257" s="3"/>
      <c r="I257" s="3"/>
    </row>
    <row r="258">
      <c r="A258" s="4" t="s">
        <v>9770</v>
      </c>
      <c r="B258" s="13" t="s">
        <v>43</v>
      </c>
      <c r="D258" s="3"/>
      <c r="E258" s="3"/>
      <c r="F258" s="3"/>
      <c r="G258" s="3"/>
      <c r="H258" s="3"/>
      <c r="I258" s="3"/>
    </row>
    <row r="259">
      <c r="A259" s="4" t="s">
        <v>9771</v>
      </c>
      <c r="B259" s="13" t="s">
        <v>43</v>
      </c>
      <c r="D259" s="3"/>
      <c r="E259" s="3"/>
      <c r="F259" s="3"/>
      <c r="G259" s="3"/>
      <c r="H259" s="3"/>
      <c r="I259" s="3"/>
    </row>
    <row r="260">
      <c r="A260" s="4" t="s">
        <v>9772</v>
      </c>
      <c r="B260" s="13" t="s">
        <v>43</v>
      </c>
      <c r="D260" s="3"/>
      <c r="E260" s="3"/>
      <c r="F260" s="3"/>
      <c r="G260" s="3"/>
      <c r="H260" s="3"/>
      <c r="I260" s="3"/>
    </row>
    <row r="261">
      <c r="A261" s="4" t="s">
        <v>9773</v>
      </c>
      <c r="B261" s="13" t="s">
        <v>43</v>
      </c>
      <c r="D261" s="3"/>
      <c r="E261" s="3"/>
      <c r="F261" s="3"/>
      <c r="G261" s="3"/>
      <c r="H261" s="3"/>
      <c r="I261" s="3"/>
    </row>
    <row r="262">
      <c r="A262" s="4" t="s">
        <v>9774</v>
      </c>
      <c r="B262" s="13" t="s">
        <v>43</v>
      </c>
      <c r="D262" s="3"/>
      <c r="E262" s="3"/>
      <c r="F262" s="3"/>
      <c r="G262" s="3"/>
      <c r="H262" s="3"/>
      <c r="I262" s="3"/>
    </row>
    <row r="263">
      <c r="A263" s="4" t="s">
        <v>9775</v>
      </c>
      <c r="B263" s="13" t="s">
        <v>43</v>
      </c>
      <c r="D263" s="3"/>
      <c r="E263" s="3"/>
      <c r="F263" s="3"/>
      <c r="G263" s="3"/>
      <c r="H263" s="3"/>
      <c r="I263" s="3"/>
    </row>
    <row r="264">
      <c r="A264" s="4" t="s">
        <v>9776</v>
      </c>
      <c r="B264" s="13" t="s">
        <v>43</v>
      </c>
      <c r="D264" s="3"/>
      <c r="E264" s="3"/>
      <c r="F264" s="3"/>
      <c r="G264" s="3"/>
      <c r="H264" s="3"/>
      <c r="I264" s="3"/>
    </row>
    <row r="265">
      <c r="A265" s="4" t="s">
        <v>9777</v>
      </c>
      <c r="B265" s="13" t="s">
        <v>43</v>
      </c>
      <c r="D265" s="3"/>
      <c r="E265" s="3"/>
      <c r="F265" s="3"/>
      <c r="G265" s="3"/>
      <c r="H265" s="3"/>
      <c r="I265" s="3"/>
    </row>
    <row r="266">
      <c r="A266" s="4" t="s">
        <v>9778</v>
      </c>
      <c r="B266" s="13" t="s">
        <v>43</v>
      </c>
      <c r="D266" s="3"/>
      <c r="E266" s="3"/>
      <c r="F266" s="3"/>
      <c r="G266" s="3"/>
      <c r="H266" s="3"/>
      <c r="I266" s="3"/>
    </row>
    <row r="267">
      <c r="A267" s="4" t="s">
        <v>9779</v>
      </c>
      <c r="B267" s="13" t="s">
        <v>48</v>
      </c>
      <c r="C267" s="4">
        <v>1.0</v>
      </c>
      <c r="D267" s="3"/>
      <c r="E267" s="3"/>
      <c r="F267" s="3"/>
      <c r="G267" s="4">
        <v>10.0</v>
      </c>
      <c r="H267" s="3"/>
      <c r="I267" s="3"/>
    </row>
    <row r="268">
      <c r="A268" s="4" t="s">
        <v>9780</v>
      </c>
      <c r="B268" s="13" t="s">
        <v>48</v>
      </c>
      <c r="C268" s="4">
        <v>1.0</v>
      </c>
      <c r="D268" s="3"/>
      <c r="E268" s="3"/>
      <c r="F268" s="3"/>
      <c r="G268" s="4">
        <v>10.0</v>
      </c>
      <c r="H268" s="3"/>
      <c r="I268" s="3"/>
    </row>
    <row r="269">
      <c r="A269" s="4" t="s">
        <v>9781</v>
      </c>
      <c r="B269" s="13" t="s">
        <v>48</v>
      </c>
      <c r="C269" s="4">
        <v>1.0</v>
      </c>
      <c r="D269" s="3"/>
      <c r="E269" s="3"/>
      <c r="F269" s="3"/>
      <c r="G269" s="4">
        <v>10.0</v>
      </c>
      <c r="H269" s="3"/>
      <c r="I269" s="3"/>
    </row>
    <row r="270">
      <c r="A270" s="4" t="s">
        <v>9782</v>
      </c>
      <c r="B270" s="13" t="s">
        <v>48</v>
      </c>
      <c r="C270" s="4">
        <v>1.0</v>
      </c>
      <c r="D270" s="3"/>
      <c r="E270" s="3"/>
      <c r="F270" s="3"/>
      <c r="G270" s="4">
        <v>10.0</v>
      </c>
      <c r="H270" s="3"/>
      <c r="I270" s="3"/>
    </row>
    <row r="271">
      <c r="A271" s="4" t="s">
        <v>9783</v>
      </c>
      <c r="B271" s="13" t="s">
        <v>48</v>
      </c>
      <c r="C271" s="4">
        <v>1.0</v>
      </c>
      <c r="D271" s="3"/>
      <c r="E271" s="3"/>
      <c r="F271" s="3"/>
      <c r="G271" s="4">
        <v>10.0</v>
      </c>
      <c r="H271" s="3"/>
      <c r="I271" s="3"/>
    </row>
    <row r="272">
      <c r="A272" s="4" t="s">
        <v>9784</v>
      </c>
      <c r="B272" s="13" t="s">
        <v>48</v>
      </c>
      <c r="C272" s="4">
        <v>1.0</v>
      </c>
      <c r="D272" s="3"/>
      <c r="E272" s="3"/>
      <c r="F272" s="3"/>
      <c r="G272" s="4">
        <v>10.0</v>
      </c>
      <c r="H272" s="3"/>
      <c r="I272" s="3"/>
    </row>
    <row r="273">
      <c r="A273" s="4" t="s">
        <v>9785</v>
      </c>
      <c r="B273" s="13" t="s">
        <v>43</v>
      </c>
      <c r="D273" s="3"/>
      <c r="E273" s="3"/>
      <c r="F273" s="3"/>
      <c r="G273" s="3"/>
      <c r="H273" s="3"/>
      <c r="I273" s="3"/>
    </row>
    <row r="274">
      <c r="A274" s="4" t="s">
        <v>9786</v>
      </c>
      <c r="B274" s="13" t="s">
        <v>43</v>
      </c>
      <c r="D274" s="3"/>
      <c r="E274" s="3"/>
      <c r="F274" s="3"/>
      <c r="G274" s="3"/>
      <c r="H274" s="3"/>
      <c r="I274" s="3"/>
    </row>
    <row r="275">
      <c r="A275" s="4" t="s">
        <v>9787</v>
      </c>
      <c r="B275" s="13" t="s">
        <v>43</v>
      </c>
      <c r="D275" s="3"/>
      <c r="E275" s="3"/>
      <c r="F275" s="3"/>
      <c r="G275" s="3"/>
      <c r="H275" s="3"/>
      <c r="I275" s="3"/>
    </row>
    <row r="276">
      <c r="A276" s="4" t="s">
        <v>9788</v>
      </c>
      <c r="B276" s="13" t="s">
        <v>43</v>
      </c>
      <c r="D276" s="3"/>
      <c r="E276" s="3"/>
      <c r="F276" s="3"/>
      <c r="G276" s="3"/>
      <c r="H276" s="3"/>
      <c r="I276" s="3"/>
    </row>
    <row r="277">
      <c r="A277" s="4" t="s">
        <v>9789</v>
      </c>
      <c r="B277" s="13" t="s">
        <v>43</v>
      </c>
      <c r="D277" s="3"/>
      <c r="E277" s="3"/>
      <c r="F277" s="3"/>
      <c r="G277" s="3"/>
      <c r="H277" s="3"/>
      <c r="I277" s="3"/>
    </row>
    <row r="278">
      <c r="A278" s="4" t="s">
        <v>9790</v>
      </c>
      <c r="B278" s="13" t="s">
        <v>43</v>
      </c>
      <c r="D278" s="3"/>
      <c r="E278" s="3"/>
      <c r="F278" s="3"/>
      <c r="G278" s="3"/>
      <c r="H278" s="3"/>
      <c r="I278" s="3"/>
    </row>
    <row r="279">
      <c r="A279" s="4" t="s">
        <v>9791</v>
      </c>
      <c r="B279" s="13" t="s">
        <v>43</v>
      </c>
      <c r="D279" s="3"/>
      <c r="E279" s="3"/>
      <c r="F279" s="3"/>
      <c r="G279" s="3"/>
      <c r="H279" s="3"/>
      <c r="I279" s="3"/>
    </row>
    <row r="280">
      <c r="A280" s="4" t="s">
        <v>9792</v>
      </c>
      <c r="B280" s="13" t="s">
        <v>43</v>
      </c>
      <c r="D280" s="3"/>
      <c r="E280" s="3"/>
      <c r="F280" s="3"/>
      <c r="G280" s="3"/>
      <c r="H280" s="3"/>
      <c r="I280" s="3"/>
    </row>
    <row r="281">
      <c r="A281" s="4" t="s">
        <v>9793</v>
      </c>
      <c r="B281" s="13" t="s">
        <v>43</v>
      </c>
      <c r="D281" s="3"/>
      <c r="E281" s="3"/>
      <c r="F281" s="3"/>
      <c r="G281" s="3"/>
      <c r="H281" s="3"/>
      <c r="I281" s="3"/>
    </row>
    <row r="282">
      <c r="A282" s="4" t="s">
        <v>9794</v>
      </c>
      <c r="B282" s="13" t="s">
        <v>43</v>
      </c>
      <c r="D282" s="3"/>
      <c r="E282" s="3"/>
      <c r="F282" s="3"/>
      <c r="G282" s="3"/>
      <c r="H282" s="3"/>
      <c r="I282" s="3"/>
    </row>
    <row r="283">
      <c r="A283" s="4" t="s">
        <v>9795</v>
      </c>
      <c r="B283" s="13" t="s">
        <v>43</v>
      </c>
      <c r="D283" s="3"/>
      <c r="E283" s="3"/>
      <c r="F283" s="3"/>
      <c r="G283" s="3"/>
      <c r="H283" s="3"/>
      <c r="I283" s="3"/>
    </row>
    <row r="284">
      <c r="A284" s="4" t="s">
        <v>9796</v>
      </c>
      <c r="B284" s="13" t="s">
        <v>43</v>
      </c>
      <c r="D284" s="3"/>
      <c r="E284" s="3"/>
      <c r="F284" s="3"/>
      <c r="G284" s="3"/>
      <c r="H284" s="3"/>
      <c r="I284" s="3"/>
    </row>
    <row r="285">
      <c r="A285" s="4" t="s">
        <v>9797</v>
      </c>
      <c r="B285" s="13" t="s">
        <v>43</v>
      </c>
      <c r="D285" s="3"/>
      <c r="E285" s="3"/>
      <c r="F285" s="3"/>
      <c r="G285" s="3"/>
      <c r="H285" s="3"/>
      <c r="I285" s="3"/>
    </row>
    <row r="286">
      <c r="A286" s="4" t="s">
        <v>9798</v>
      </c>
      <c r="B286" s="13" t="s">
        <v>48</v>
      </c>
      <c r="C286" s="4">
        <v>1.0</v>
      </c>
      <c r="D286" s="3"/>
      <c r="E286" s="3"/>
      <c r="F286" s="3"/>
      <c r="G286" s="3"/>
      <c r="H286" s="3"/>
      <c r="I286" s="4">
        <v>15.0</v>
      </c>
      <c r="J286" s="4" t="s">
        <v>1757</v>
      </c>
    </row>
    <row r="287">
      <c r="A287" s="4" t="s">
        <v>9799</v>
      </c>
      <c r="B287" s="13" t="s">
        <v>48</v>
      </c>
      <c r="C287" s="4">
        <v>2.0</v>
      </c>
      <c r="D287" s="4">
        <v>1.0</v>
      </c>
      <c r="E287" s="3"/>
      <c r="F287" s="3"/>
      <c r="G287" s="3"/>
      <c r="H287" s="3"/>
      <c r="I287" s="4">
        <v>15.0</v>
      </c>
      <c r="J287" s="4" t="s">
        <v>1757</v>
      </c>
      <c r="K287" s="4" t="s">
        <v>1757</v>
      </c>
    </row>
    <row r="288">
      <c r="A288" s="4" t="s">
        <v>9800</v>
      </c>
      <c r="B288" s="13" t="s">
        <v>48</v>
      </c>
      <c r="C288" s="4">
        <v>3.0</v>
      </c>
      <c r="D288" s="24">
        <v>1.0</v>
      </c>
      <c r="E288" s="3"/>
      <c r="F288" s="3"/>
      <c r="G288" s="3"/>
      <c r="H288" s="4">
        <v>13.0</v>
      </c>
      <c r="I288" s="4">
        <v>15.0</v>
      </c>
      <c r="J288" s="4" t="s">
        <v>1757</v>
      </c>
      <c r="K288" s="4" t="s">
        <v>1757</v>
      </c>
    </row>
    <row r="289">
      <c r="A289" s="4" t="s">
        <v>9801</v>
      </c>
      <c r="B289" s="13" t="s">
        <v>48</v>
      </c>
      <c r="C289" s="4">
        <v>3.0</v>
      </c>
      <c r="D289" s="4">
        <v>1.0</v>
      </c>
      <c r="E289" s="3"/>
      <c r="F289" s="3"/>
      <c r="G289" s="3"/>
      <c r="H289" s="4">
        <v>13.0</v>
      </c>
      <c r="I289" s="4">
        <v>15.0</v>
      </c>
      <c r="J289" s="4" t="s">
        <v>1757</v>
      </c>
    </row>
    <row r="290">
      <c r="A290" s="4" t="s">
        <v>9802</v>
      </c>
      <c r="B290" s="13" t="s">
        <v>48</v>
      </c>
      <c r="C290" s="4">
        <v>3.0</v>
      </c>
      <c r="D290" s="24">
        <v>1.0</v>
      </c>
      <c r="E290" s="3"/>
      <c r="F290" s="3"/>
      <c r="G290" s="3"/>
      <c r="H290" s="4">
        <v>13.0</v>
      </c>
      <c r="I290" s="4">
        <v>15.0</v>
      </c>
      <c r="J290" s="4" t="s">
        <v>1757</v>
      </c>
    </row>
    <row r="291">
      <c r="A291" s="4" t="s">
        <v>9803</v>
      </c>
      <c r="B291" s="13" t="s">
        <v>48</v>
      </c>
      <c r="C291" s="4">
        <v>4.0</v>
      </c>
      <c r="D291" s="4">
        <v>1.0</v>
      </c>
      <c r="E291" s="4">
        <v>2.0</v>
      </c>
      <c r="F291" s="3"/>
      <c r="G291" s="3"/>
      <c r="H291" s="4">
        <v>13.0</v>
      </c>
      <c r="I291" s="4">
        <v>15.0</v>
      </c>
      <c r="J291" s="4" t="s">
        <v>1757</v>
      </c>
    </row>
    <row r="292">
      <c r="A292" s="4" t="s">
        <v>9804</v>
      </c>
      <c r="B292" s="13" t="s">
        <v>48</v>
      </c>
      <c r="C292" s="4">
        <v>5.0</v>
      </c>
      <c r="D292" s="4">
        <v>1.0</v>
      </c>
      <c r="E292" s="4">
        <v>2.0</v>
      </c>
      <c r="F292" s="4">
        <v>9.0</v>
      </c>
      <c r="G292" s="3"/>
      <c r="H292" s="4">
        <v>13.0</v>
      </c>
      <c r="I292" s="4">
        <v>15.0</v>
      </c>
      <c r="J292" s="4" t="s">
        <v>1757</v>
      </c>
    </row>
    <row r="293">
      <c r="A293" s="4" t="s">
        <v>9805</v>
      </c>
      <c r="B293" s="13" t="s">
        <v>48</v>
      </c>
      <c r="C293" s="4">
        <v>4.0</v>
      </c>
      <c r="D293" s="3"/>
      <c r="E293" s="4">
        <v>2.0</v>
      </c>
      <c r="F293" s="4">
        <v>9.0</v>
      </c>
      <c r="G293" s="3"/>
      <c r="H293" s="4">
        <v>13.0</v>
      </c>
      <c r="I293" s="4">
        <v>15.0</v>
      </c>
      <c r="J293" s="4" t="s">
        <v>1757</v>
      </c>
    </row>
    <row r="294">
      <c r="A294" s="4" t="s">
        <v>9806</v>
      </c>
      <c r="B294" s="13" t="s">
        <v>48</v>
      </c>
      <c r="C294" s="4">
        <v>4.0</v>
      </c>
      <c r="D294" s="3"/>
      <c r="E294" s="4">
        <v>2.0</v>
      </c>
      <c r="F294" s="4">
        <v>9.0</v>
      </c>
      <c r="G294" s="3"/>
      <c r="H294" s="4">
        <v>13.0</v>
      </c>
      <c r="I294" s="4">
        <v>15.0</v>
      </c>
      <c r="J294" s="4" t="s">
        <v>1757</v>
      </c>
    </row>
    <row r="295">
      <c r="A295" s="4" t="s">
        <v>9807</v>
      </c>
      <c r="B295" s="13" t="s">
        <v>48</v>
      </c>
      <c r="C295" s="4">
        <v>3.0</v>
      </c>
      <c r="D295" s="3"/>
      <c r="E295" s="4">
        <v>2.0</v>
      </c>
      <c r="F295" s="4">
        <v>9.0</v>
      </c>
      <c r="G295" s="3"/>
      <c r="H295" s="4">
        <v>13.0</v>
      </c>
      <c r="I295" s="3"/>
      <c r="J295" s="4" t="s">
        <v>1757</v>
      </c>
    </row>
    <row r="296">
      <c r="A296" s="4" t="s">
        <v>9808</v>
      </c>
      <c r="B296" s="13" t="s">
        <v>48</v>
      </c>
      <c r="C296" s="4">
        <v>3.0</v>
      </c>
      <c r="D296" s="3"/>
      <c r="E296" s="4">
        <v>2.0</v>
      </c>
      <c r="F296" s="4">
        <v>9.0</v>
      </c>
      <c r="G296" s="3"/>
      <c r="H296" s="4">
        <v>13.0</v>
      </c>
      <c r="I296" s="3"/>
    </row>
    <row r="297">
      <c r="A297" s="4" t="s">
        <v>9809</v>
      </c>
      <c r="B297" s="13" t="s">
        <v>48</v>
      </c>
      <c r="C297" s="4">
        <v>3.0</v>
      </c>
      <c r="D297" s="3"/>
      <c r="E297" s="4">
        <v>2.0</v>
      </c>
      <c r="F297" s="4">
        <v>9.0</v>
      </c>
      <c r="G297" s="3"/>
      <c r="H297" s="4">
        <v>13.0</v>
      </c>
      <c r="I297" s="3"/>
      <c r="J297" s="4" t="s">
        <v>1757</v>
      </c>
    </row>
    <row r="298">
      <c r="A298" s="4" t="s">
        <v>9810</v>
      </c>
      <c r="B298" s="13" t="s">
        <v>48</v>
      </c>
      <c r="C298" s="4">
        <v>1.0</v>
      </c>
      <c r="D298" s="3"/>
      <c r="E298" s="3"/>
      <c r="F298" s="4">
        <v>9.0</v>
      </c>
      <c r="G298" s="3"/>
      <c r="H298" s="3"/>
      <c r="I298" s="3"/>
      <c r="J298" s="4" t="s">
        <v>1757</v>
      </c>
    </row>
    <row r="299">
      <c r="A299" s="4" t="s">
        <v>9811</v>
      </c>
      <c r="B299" s="13" t="s">
        <v>48</v>
      </c>
      <c r="C299" s="4">
        <v>1.0</v>
      </c>
      <c r="D299" s="3"/>
      <c r="E299" s="3"/>
      <c r="F299" s="4">
        <v>9.0</v>
      </c>
      <c r="G299" s="3"/>
      <c r="H299" s="3"/>
      <c r="I299" s="3"/>
      <c r="J299" s="4" t="s">
        <v>1757</v>
      </c>
    </row>
    <row r="300">
      <c r="A300" s="4" t="s">
        <v>9812</v>
      </c>
      <c r="B300" s="13" t="s">
        <v>43</v>
      </c>
      <c r="D300" s="3"/>
      <c r="E300" s="3"/>
      <c r="F300" s="3"/>
      <c r="G300" s="3"/>
      <c r="H300" s="3"/>
      <c r="I300" s="3"/>
      <c r="J300" s="4" t="s">
        <v>1757</v>
      </c>
    </row>
    <row r="301">
      <c r="A301" s="4" t="s">
        <v>9813</v>
      </c>
      <c r="B301" s="13" t="s">
        <v>43</v>
      </c>
      <c r="D301" s="3"/>
      <c r="E301" s="3"/>
      <c r="F301" s="3"/>
      <c r="G301" s="3"/>
      <c r="H301" s="3"/>
      <c r="I301" s="3"/>
      <c r="J301" s="4" t="s">
        <v>1757</v>
      </c>
    </row>
    <row r="302">
      <c r="A302" s="4" t="s">
        <v>9814</v>
      </c>
      <c r="B302" s="13" t="s">
        <v>43</v>
      </c>
      <c r="D302" s="3"/>
      <c r="E302" s="3"/>
      <c r="F302" s="3"/>
      <c r="G302" s="3"/>
      <c r="H302" s="3"/>
      <c r="I302" s="3"/>
      <c r="J302" s="4" t="s">
        <v>1757</v>
      </c>
    </row>
    <row r="303">
      <c r="A303" s="4" t="s">
        <v>9815</v>
      </c>
      <c r="B303" s="13" t="s">
        <v>43</v>
      </c>
      <c r="D303" s="3"/>
      <c r="E303" s="3"/>
      <c r="F303" s="3"/>
      <c r="G303" s="3"/>
      <c r="H303" s="3"/>
      <c r="I303" s="3"/>
    </row>
    <row r="304">
      <c r="A304" s="4" t="s">
        <v>9816</v>
      </c>
      <c r="B304" s="13" t="s">
        <v>43</v>
      </c>
      <c r="D304" s="3"/>
      <c r="E304" s="3"/>
      <c r="F304" s="3"/>
      <c r="G304" s="3"/>
      <c r="H304" s="3"/>
      <c r="I304" s="3"/>
      <c r="J304" s="4" t="s">
        <v>1757</v>
      </c>
    </row>
    <row r="305">
      <c r="A305" s="4" t="s">
        <v>9817</v>
      </c>
      <c r="B305" s="13" t="s">
        <v>43</v>
      </c>
      <c r="D305" s="3"/>
      <c r="E305" s="3"/>
      <c r="F305" s="3"/>
      <c r="G305" s="3"/>
      <c r="H305" s="3"/>
      <c r="I305" s="3"/>
    </row>
    <row r="306">
      <c r="A306" s="4" t="s">
        <v>9818</v>
      </c>
      <c r="B306" s="13" t="s">
        <v>43</v>
      </c>
      <c r="D306" s="3"/>
      <c r="E306" s="3"/>
      <c r="F306" s="3"/>
      <c r="G306" s="3"/>
      <c r="H306" s="3"/>
      <c r="I306" s="3"/>
    </row>
    <row r="307">
      <c r="A307" s="4" t="s">
        <v>9819</v>
      </c>
      <c r="B307" s="13" t="s">
        <v>43</v>
      </c>
      <c r="D307" s="3"/>
      <c r="E307" s="3"/>
      <c r="F307" s="3"/>
      <c r="G307" s="3"/>
      <c r="H307" s="3"/>
      <c r="I307" s="3"/>
    </row>
    <row r="308">
      <c r="A308" s="4" t="s">
        <v>9820</v>
      </c>
      <c r="B308" s="13" t="s">
        <v>43</v>
      </c>
      <c r="D308" s="3"/>
      <c r="E308" s="3"/>
      <c r="F308" s="3"/>
      <c r="G308" s="3"/>
      <c r="H308" s="3"/>
      <c r="I308" s="3"/>
    </row>
    <row r="309">
      <c r="A309" s="4" t="s">
        <v>9821</v>
      </c>
      <c r="B309" s="13" t="s">
        <v>43</v>
      </c>
      <c r="D309" s="3"/>
      <c r="E309" s="3"/>
      <c r="F309" s="3"/>
      <c r="G309" s="3"/>
      <c r="H309" s="3"/>
      <c r="I309" s="3"/>
    </row>
    <row r="310">
      <c r="A310" s="4" t="s">
        <v>9822</v>
      </c>
      <c r="B310" s="13" t="s">
        <v>43</v>
      </c>
      <c r="D310" s="3"/>
      <c r="E310" s="3"/>
      <c r="F310" s="3"/>
      <c r="G310" s="3"/>
      <c r="H310" s="3"/>
      <c r="I310" s="3"/>
    </row>
    <row r="311">
      <c r="A311" s="4" t="s">
        <v>9823</v>
      </c>
      <c r="B311" s="13" t="s">
        <v>43</v>
      </c>
      <c r="D311" s="3"/>
      <c r="E311" s="3"/>
      <c r="F311" s="3"/>
      <c r="G311" s="3"/>
      <c r="H311" s="3"/>
      <c r="I311" s="3"/>
    </row>
    <row r="312">
      <c r="A312" s="4" t="s">
        <v>9824</v>
      </c>
      <c r="B312" s="13" t="s">
        <v>43</v>
      </c>
      <c r="D312" s="3"/>
      <c r="E312" s="3"/>
      <c r="F312" s="3"/>
      <c r="G312" s="3"/>
      <c r="H312" s="3"/>
      <c r="I312" s="3"/>
    </row>
    <row r="313">
      <c r="A313" s="4" t="s">
        <v>9825</v>
      </c>
      <c r="B313" s="13" t="s">
        <v>43</v>
      </c>
      <c r="D313" s="3"/>
      <c r="E313" s="3"/>
      <c r="F313" s="3"/>
      <c r="G313" s="3"/>
      <c r="H313" s="3"/>
      <c r="I313" s="3"/>
    </row>
    <row r="314">
      <c r="A314" s="4" t="s">
        <v>9826</v>
      </c>
      <c r="B314" s="13" t="s">
        <v>43</v>
      </c>
      <c r="D314" s="3"/>
      <c r="E314" s="3"/>
      <c r="F314" s="3"/>
      <c r="G314" s="3"/>
      <c r="H314" s="3"/>
      <c r="I314" s="3"/>
    </row>
    <row r="315">
      <c r="A315" s="4" t="s">
        <v>9827</v>
      </c>
      <c r="B315" s="13" t="s">
        <v>43</v>
      </c>
      <c r="D315" s="3"/>
      <c r="E315" s="3"/>
      <c r="F315" s="3"/>
      <c r="G315" s="3"/>
      <c r="H315" s="3"/>
      <c r="I315" s="3"/>
    </row>
    <row r="316">
      <c r="A316" s="4" t="s">
        <v>9828</v>
      </c>
      <c r="B316" s="13" t="s">
        <v>43</v>
      </c>
      <c r="D316" s="3"/>
      <c r="E316" s="3"/>
      <c r="F316" s="3"/>
      <c r="G316" s="3"/>
      <c r="H316" s="3"/>
      <c r="I316" s="3"/>
    </row>
    <row r="317">
      <c r="A317" s="4" t="s">
        <v>9829</v>
      </c>
      <c r="B317" s="13" t="s">
        <v>43</v>
      </c>
      <c r="D317" s="3"/>
      <c r="E317" s="3"/>
      <c r="F317" s="3"/>
      <c r="G317" s="3"/>
      <c r="H317" s="3"/>
      <c r="I317" s="3"/>
    </row>
    <row r="318">
      <c r="A318" s="4" t="s">
        <v>9830</v>
      </c>
      <c r="B318" s="13" t="s">
        <v>43</v>
      </c>
      <c r="D318" s="3"/>
      <c r="E318" s="3"/>
      <c r="F318" s="3"/>
      <c r="G318" s="3"/>
      <c r="H318" s="3"/>
      <c r="I318" s="3"/>
    </row>
    <row r="319">
      <c r="A319" s="4" t="s">
        <v>9831</v>
      </c>
      <c r="B319" s="13" t="s">
        <v>43</v>
      </c>
      <c r="D319" s="3"/>
      <c r="E319" s="3"/>
      <c r="F319" s="3"/>
      <c r="G319" s="3"/>
      <c r="H319" s="3"/>
      <c r="I319" s="3"/>
    </row>
    <row r="320">
      <c r="A320" s="4" t="s">
        <v>9832</v>
      </c>
      <c r="B320" s="13" t="s">
        <v>43</v>
      </c>
      <c r="D320" s="3"/>
      <c r="E320" s="3"/>
      <c r="F320" s="3"/>
      <c r="G320" s="3"/>
      <c r="H320" s="3"/>
      <c r="I320" s="3"/>
    </row>
    <row r="321">
      <c r="A321" s="4" t="s">
        <v>9833</v>
      </c>
      <c r="B321" s="13" t="s">
        <v>43</v>
      </c>
      <c r="D321" s="3"/>
      <c r="E321" s="3"/>
      <c r="F321" s="3"/>
      <c r="G321" s="3"/>
      <c r="H321" s="3"/>
      <c r="I321" s="3"/>
    </row>
    <row r="322">
      <c r="A322" s="4" t="s">
        <v>9834</v>
      </c>
      <c r="B322" s="13" t="s">
        <v>43</v>
      </c>
      <c r="D322" s="3"/>
      <c r="E322" s="3"/>
      <c r="F322" s="3"/>
      <c r="G322" s="3"/>
      <c r="H322" s="3"/>
      <c r="I322" s="3"/>
    </row>
    <row r="323">
      <c r="A323" s="4" t="s">
        <v>9835</v>
      </c>
      <c r="B323" s="13" t="s">
        <v>43</v>
      </c>
      <c r="D323" s="3"/>
      <c r="E323" s="3"/>
      <c r="F323" s="3"/>
      <c r="G323" s="3"/>
      <c r="H323" s="3"/>
      <c r="I323" s="3"/>
    </row>
    <row r="324">
      <c r="A324" s="4" t="s">
        <v>9836</v>
      </c>
      <c r="B324" s="13" t="s">
        <v>43</v>
      </c>
      <c r="D324" s="3"/>
      <c r="E324" s="3"/>
      <c r="F324" s="3"/>
      <c r="G324" s="3"/>
      <c r="H324" s="3"/>
      <c r="I324" s="3"/>
    </row>
    <row r="325">
      <c r="A325" s="4" t="s">
        <v>9837</v>
      </c>
      <c r="B325" s="13" t="s">
        <v>43</v>
      </c>
      <c r="D325" s="3"/>
      <c r="E325" s="3"/>
      <c r="F325" s="3"/>
      <c r="G325" s="3"/>
      <c r="H325" s="3"/>
      <c r="I325" s="3"/>
    </row>
    <row r="326">
      <c r="A326" s="4" t="s">
        <v>9838</v>
      </c>
      <c r="B326" s="13" t="s">
        <v>43</v>
      </c>
      <c r="D326" s="3"/>
      <c r="E326" s="3"/>
      <c r="F326" s="3"/>
      <c r="G326" s="3"/>
      <c r="H326" s="3"/>
      <c r="I326" s="3"/>
    </row>
    <row r="327">
      <c r="A327" s="4" t="s">
        <v>9839</v>
      </c>
      <c r="B327" s="13" t="s">
        <v>43</v>
      </c>
      <c r="D327" s="3"/>
      <c r="E327" s="3"/>
      <c r="F327" s="3"/>
      <c r="G327" s="3"/>
      <c r="H327" s="3"/>
      <c r="I327" s="3"/>
    </row>
    <row r="328">
      <c r="A328" s="4" t="s">
        <v>9840</v>
      </c>
      <c r="B328" s="13" t="s">
        <v>43</v>
      </c>
      <c r="D328" s="3"/>
      <c r="E328" s="3"/>
      <c r="F328" s="3"/>
      <c r="G328" s="3"/>
      <c r="H328" s="3"/>
      <c r="I328" s="3"/>
    </row>
    <row r="329">
      <c r="A329" s="4" t="s">
        <v>9841</v>
      </c>
      <c r="B329" s="13" t="s">
        <v>43</v>
      </c>
      <c r="D329" s="3"/>
      <c r="E329" s="3"/>
      <c r="F329" s="3"/>
      <c r="G329" s="3"/>
      <c r="H329" s="3"/>
      <c r="I329" s="3"/>
    </row>
    <row r="330">
      <c r="A330" s="4" t="s">
        <v>9842</v>
      </c>
      <c r="B330" s="13" t="s">
        <v>43</v>
      </c>
      <c r="D330" s="3"/>
      <c r="E330" s="3"/>
      <c r="F330" s="3"/>
      <c r="G330" s="3"/>
      <c r="H330" s="3"/>
      <c r="I330" s="3"/>
      <c r="J330" s="4" t="s">
        <v>1757</v>
      </c>
    </row>
    <row r="331">
      <c r="A331" s="4" t="s">
        <v>9843</v>
      </c>
      <c r="B331" s="13" t="s">
        <v>43</v>
      </c>
      <c r="D331" s="3"/>
      <c r="E331" s="3"/>
      <c r="F331" s="3"/>
      <c r="G331" s="3"/>
      <c r="H331" s="3"/>
      <c r="I331" s="3"/>
      <c r="J331" s="4" t="s">
        <v>1757</v>
      </c>
    </row>
    <row r="332">
      <c r="A332" s="4" t="s">
        <v>9844</v>
      </c>
      <c r="B332" s="13" t="s">
        <v>43</v>
      </c>
      <c r="D332" s="3"/>
      <c r="E332" s="3"/>
      <c r="F332" s="3"/>
      <c r="G332" s="3"/>
      <c r="H332" s="3"/>
      <c r="I332" s="3"/>
      <c r="J332" s="4" t="s">
        <v>1757</v>
      </c>
    </row>
    <row r="333">
      <c r="A333" s="4" t="s">
        <v>9845</v>
      </c>
      <c r="B333" s="13" t="s">
        <v>43</v>
      </c>
      <c r="D333" s="3"/>
      <c r="E333" s="3"/>
      <c r="F333" s="3"/>
      <c r="G333" s="3"/>
      <c r="H333" s="3"/>
      <c r="I333" s="3"/>
      <c r="J333" s="4" t="s">
        <v>1757</v>
      </c>
    </row>
    <row r="334">
      <c r="A334" s="4" t="s">
        <v>9846</v>
      </c>
      <c r="B334" s="13" t="s">
        <v>43</v>
      </c>
      <c r="D334" s="3"/>
      <c r="E334" s="3"/>
      <c r="F334" s="3"/>
      <c r="G334" s="3"/>
      <c r="H334" s="3"/>
      <c r="I334" s="3"/>
    </row>
    <row r="335">
      <c r="A335" s="4" t="s">
        <v>9847</v>
      </c>
      <c r="B335" s="13" t="s">
        <v>48</v>
      </c>
      <c r="C335" s="4">
        <v>1.0</v>
      </c>
      <c r="D335" s="3"/>
      <c r="E335" s="3"/>
      <c r="F335" s="3"/>
      <c r="G335" s="3"/>
      <c r="H335" s="3"/>
      <c r="I335" s="4">
        <v>15.0</v>
      </c>
    </row>
    <row r="336">
      <c r="A336" s="4" t="s">
        <v>9848</v>
      </c>
      <c r="B336" s="13" t="s">
        <v>48</v>
      </c>
      <c r="C336" s="4">
        <v>2.0</v>
      </c>
      <c r="D336" s="4">
        <v>1.0</v>
      </c>
      <c r="E336" s="3"/>
      <c r="F336" s="3"/>
      <c r="G336" s="3"/>
      <c r="H336" s="3"/>
      <c r="I336" s="4">
        <v>15.0</v>
      </c>
    </row>
    <row r="337">
      <c r="A337" s="4" t="s">
        <v>9849</v>
      </c>
      <c r="B337" s="13" t="s">
        <v>48</v>
      </c>
      <c r="C337" s="4">
        <v>2.0</v>
      </c>
      <c r="D337" s="4">
        <v>1.0</v>
      </c>
      <c r="E337" s="3"/>
      <c r="F337" s="3"/>
      <c r="G337" s="3"/>
      <c r="H337" s="3"/>
      <c r="I337" s="4">
        <v>15.0</v>
      </c>
    </row>
    <row r="338">
      <c r="A338" s="4" t="s">
        <v>9850</v>
      </c>
      <c r="B338" s="13" t="s">
        <v>48</v>
      </c>
      <c r="C338" s="4">
        <v>2.0</v>
      </c>
      <c r="D338" s="4">
        <v>1.0</v>
      </c>
      <c r="E338" s="3"/>
      <c r="F338" s="3"/>
      <c r="G338" s="3"/>
      <c r="H338" s="3"/>
      <c r="I338" s="4">
        <v>15.0</v>
      </c>
    </row>
    <row r="339">
      <c r="A339" s="4" t="s">
        <v>9851</v>
      </c>
      <c r="B339" s="13" t="s">
        <v>48</v>
      </c>
      <c r="C339" s="4">
        <v>2.0</v>
      </c>
      <c r="D339" s="4">
        <v>1.0</v>
      </c>
      <c r="E339" s="3"/>
      <c r="F339" s="3"/>
      <c r="G339" s="3"/>
      <c r="H339" s="3"/>
      <c r="I339" s="4">
        <v>15.0</v>
      </c>
      <c r="J339" s="4" t="s">
        <v>1757</v>
      </c>
    </row>
    <row r="340">
      <c r="A340" s="4" t="s">
        <v>9852</v>
      </c>
      <c r="B340" s="13" t="s">
        <v>48</v>
      </c>
      <c r="C340" s="4">
        <v>3.0</v>
      </c>
      <c r="D340" s="4">
        <v>1.0</v>
      </c>
      <c r="E340" s="3"/>
      <c r="F340" s="3"/>
      <c r="G340" s="3"/>
      <c r="H340" s="4">
        <v>13.0</v>
      </c>
      <c r="I340" s="4">
        <v>15.0</v>
      </c>
      <c r="J340" s="4" t="s">
        <v>1757</v>
      </c>
    </row>
    <row r="341">
      <c r="A341" s="4" t="s">
        <v>9853</v>
      </c>
      <c r="B341" s="13" t="s">
        <v>48</v>
      </c>
      <c r="C341" s="4">
        <v>3.0</v>
      </c>
      <c r="D341" s="4">
        <v>1.0</v>
      </c>
      <c r="E341" s="3"/>
      <c r="F341" s="3"/>
      <c r="G341" s="3"/>
      <c r="H341" s="4">
        <v>13.0</v>
      </c>
      <c r="I341" s="4">
        <v>15.0</v>
      </c>
      <c r="J341" s="4" t="s">
        <v>1757</v>
      </c>
    </row>
    <row r="342">
      <c r="A342" s="4" t="s">
        <v>9854</v>
      </c>
      <c r="B342" s="13" t="s">
        <v>48</v>
      </c>
      <c r="C342" s="4">
        <v>4.0</v>
      </c>
      <c r="D342" s="4">
        <v>1.0</v>
      </c>
      <c r="E342" s="3"/>
      <c r="F342" s="4">
        <v>9.0</v>
      </c>
      <c r="G342" s="3"/>
      <c r="H342" s="4">
        <v>13.0</v>
      </c>
      <c r="I342" s="4">
        <v>15.0</v>
      </c>
      <c r="J342" s="4" t="s">
        <v>1757</v>
      </c>
      <c r="K342" s="4" t="s">
        <v>1757</v>
      </c>
    </row>
    <row r="343">
      <c r="A343" s="4" t="s">
        <v>9855</v>
      </c>
      <c r="B343" s="13" t="s">
        <v>48</v>
      </c>
      <c r="C343" s="4">
        <v>4.0</v>
      </c>
      <c r="D343" s="4">
        <v>1.0</v>
      </c>
      <c r="E343" s="3"/>
      <c r="F343" s="4">
        <v>9.0</v>
      </c>
      <c r="G343" s="3"/>
      <c r="H343" s="4">
        <v>13.0</v>
      </c>
      <c r="I343" s="4">
        <v>15.0</v>
      </c>
      <c r="J343" s="4" t="s">
        <v>1757</v>
      </c>
      <c r="K343" s="4" t="s">
        <v>1757</v>
      </c>
    </row>
    <row r="344">
      <c r="A344" s="4" t="s">
        <v>9856</v>
      </c>
      <c r="B344" s="13" t="s">
        <v>48</v>
      </c>
      <c r="C344" s="4">
        <v>4.0</v>
      </c>
      <c r="D344" s="4">
        <v>1.0</v>
      </c>
      <c r="E344" s="3"/>
      <c r="F344" s="4">
        <v>9.0</v>
      </c>
      <c r="G344" s="3"/>
      <c r="H344" s="4">
        <v>13.0</v>
      </c>
      <c r="I344" s="4">
        <v>15.0</v>
      </c>
      <c r="J344" s="4" t="s">
        <v>1757</v>
      </c>
      <c r="K344" s="4" t="s">
        <v>1757</v>
      </c>
    </row>
    <row r="345">
      <c r="A345" s="4" t="s">
        <v>9857</v>
      </c>
      <c r="B345" s="13" t="s">
        <v>48</v>
      </c>
      <c r="C345" s="4">
        <v>2.0</v>
      </c>
      <c r="D345" s="3"/>
      <c r="E345" s="3"/>
      <c r="F345" s="4">
        <v>9.0</v>
      </c>
      <c r="G345" s="3"/>
      <c r="H345" s="4">
        <v>13.0</v>
      </c>
      <c r="I345" s="3"/>
      <c r="J345" s="4" t="s">
        <v>1757</v>
      </c>
      <c r="K345" s="4" t="s">
        <v>1757</v>
      </c>
    </row>
    <row r="346">
      <c r="A346" s="4" t="s">
        <v>9858</v>
      </c>
      <c r="B346" s="13" t="s">
        <v>48</v>
      </c>
      <c r="C346" s="4">
        <v>2.0</v>
      </c>
      <c r="D346" s="3"/>
      <c r="E346" s="3"/>
      <c r="F346" s="4">
        <v>9.0</v>
      </c>
      <c r="G346" s="3"/>
      <c r="H346" s="4">
        <v>13.0</v>
      </c>
      <c r="I346" s="3"/>
      <c r="J346" s="4" t="s">
        <v>1757</v>
      </c>
      <c r="K346" s="4" t="s">
        <v>1757</v>
      </c>
    </row>
    <row r="347">
      <c r="A347" s="4" t="s">
        <v>9859</v>
      </c>
      <c r="B347" s="13" t="s">
        <v>48</v>
      </c>
      <c r="C347" s="4">
        <v>2.0</v>
      </c>
      <c r="D347" s="3"/>
      <c r="E347" s="4">
        <v>2.0</v>
      </c>
      <c r="F347" s="4">
        <v>9.0</v>
      </c>
      <c r="G347" s="3"/>
      <c r="H347" s="3"/>
      <c r="I347" s="3"/>
    </row>
    <row r="348">
      <c r="A348" s="4" t="s">
        <v>9860</v>
      </c>
      <c r="B348" s="13" t="s">
        <v>48</v>
      </c>
      <c r="C348" s="4">
        <v>2.0</v>
      </c>
      <c r="D348" s="3"/>
      <c r="E348" s="4">
        <v>2.0</v>
      </c>
      <c r="F348" s="4">
        <v>9.0</v>
      </c>
      <c r="G348" s="3"/>
      <c r="H348" s="3"/>
      <c r="I348" s="3"/>
    </row>
    <row r="349">
      <c r="A349" s="4" t="s">
        <v>9861</v>
      </c>
      <c r="B349" s="13" t="s">
        <v>43</v>
      </c>
      <c r="D349" s="3"/>
      <c r="E349" s="3"/>
      <c r="F349" s="3"/>
      <c r="G349" s="3"/>
      <c r="H349" s="3"/>
      <c r="I349" s="3"/>
    </row>
    <row r="350">
      <c r="A350" s="4" t="s">
        <v>9862</v>
      </c>
      <c r="B350" s="13" t="s">
        <v>43</v>
      </c>
      <c r="D350" s="3"/>
      <c r="E350" s="3"/>
      <c r="F350" s="3"/>
      <c r="G350" s="3"/>
      <c r="H350" s="3"/>
      <c r="I350" s="3"/>
    </row>
    <row r="351">
      <c r="A351" s="4" t="s">
        <v>9863</v>
      </c>
      <c r="B351" s="13" t="s">
        <v>43</v>
      </c>
      <c r="D351" s="3"/>
      <c r="E351" s="3"/>
      <c r="F351" s="3"/>
      <c r="G351" s="3"/>
      <c r="H351" s="3"/>
      <c r="I351" s="3"/>
    </row>
    <row r="352">
      <c r="A352" s="4" t="s">
        <v>9864</v>
      </c>
      <c r="B352" s="13" t="s">
        <v>43</v>
      </c>
      <c r="D352" s="3"/>
      <c r="E352" s="3"/>
      <c r="F352" s="3"/>
      <c r="G352" s="3"/>
      <c r="H352" s="3"/>
      <c r="I352" s="3"/>
    </row>
    <row r="353">
      <c r="A353" s="4" t="s">
        <v>9865</v>
      </c>
      <c r="B353" s="13" t="s">
        <v>43</v>
      </c>
      <c r="D353" s="3"/>
      <c r="E353" s="3"/>
      <c r="F353" s="3"/>
      <c r="G353" s="3"/>
      <c r="H353" s="3"/>
      <c r="I353" s="3"/>
    </row>
    <row r="354">
      <c r="A354" s="4" t="s">
        <v>9866</v>
      </c>
      <c r="B354" s="19" t="s">
        <v>48</v>
      </c>
      <c r="C354" s="4">
        <v>1.0</v>
      </c>
      <c r="D354" s="3"/>
      <c r="E354" s="3"/>
      <c r="F354" s="4">
        <v>9.0</v>
      </c>
      <c r="G354" s="3"/>
      <c r="H354" s="3"/>
      <c r="I354" s="3"/>
    </row>
    <row r="355">
      <c r="A355" s="4" t="s">
        <v>9867</v>
      </c>
      <c r="B355" s="19" t="s">
        <v>48</v>
      </c>
      <c r="C355" s="4">
        <v>1.0</v>
      </c>
      <c r="D355" s="3"/>
      <c r="E355" s="3"/>
      <c r="F355" s="4">
        <v>9.0</v>
      </c>
      <c r="G355" s="3"/>
      <c r="H355" s="3"/>
      <c r="I355" s="3"/>
    </row>
    <row r="356">
      <c r="A356" s="4" t="s">
        <v>9868</v>
      </c>
      <c r="B356" s="19" t="s">
        <v>48</v>
      </c>
      <c r="C356" s="4">
        <v>1.0</v>
      </c>
      <c r="D356" s="3"/>
      <c r="E356" s="3"/>
      <c r="F356" s="4">
        <v>9.0</v>
      </c>
      <c r="G356" s="3"/>
      <c r="H356" s="3"/>
      <c r="I356" s="3"/>
      <c r="J356" s="4" t="s">
        <v>1757</v>
      </c>
    </row>
    <row r="357">
      <c r="A357" s="4" t="s">
        <v>9869</v>
      </c>
      <c r="B357" s="19" t="s">
        <v>48</v>
      </c>
      <c r="C357" s="4">
        <v>1.0</v>
      </c>
      <c r="D357" s="3"/>
      <c r="E357" s="3"/>
      <c r="F357" s="4">
        <v>9.0</v>
      </c>
      <c r="G357" s="3"/>
      <c r="H357" s="3"/>
      <c r="I357" s="3"/>
      <c r="J357" s="4" t="s">
        <v>1757</v>
      </c>
    </row>
    <row r="358">
      <c r="A358" s="4" t="s">
        <v>9870</v>
      </c>
      <c r="B358" s="19" t="s">
        <v>48</v>
      </c>
      <c r="C358" s="4">
        <v>1.0</v>
      </c>
      <c r="D358" s="3"/>
      <c r="E358" s="3"/>
      <c r="F358" s="4">
        <v>9.0</v>
      </c>
      <c r="G358" s="3"/>
      <c r="H358" s="3"/>
      <c r="I358" s="3"/>
      <c r="J358" s="4" t="s">
        <v>1757</v>
      </c>
    </row>
    <row r="359">
      <c r="A359" s="4" t="s">
        <v>9871</v>
      </c>
      <c r="B359" s="19" t="s">
        <v>48</v>
      </c>
      <c r="C359" s="4">
        <v>1.0</v>
      </c>
      <c r="D359" s="3"/>
      <c r="E359" s="3"/>
      <c r="F359" s="4">
        <v>9.0</v>
      </c>
      <c r="G359" s="3"/>
      <c r="H359" s="3"/>
      <c r="I359" s="3"/>
      <c r="J359" s="4" t="s">
        <v>1757</v>
      </c>
    </row>
    <row r="360">
      <c r="A360" s="4" t="s">
        <v>9872</v>
      </c>
      <c r="B360" s="19" t="s">
        <v>48</v>
      </c>
      <c r="C360" s="4">
        <v>1.0</v>
      </c>
      <c r="D360" s="3"/>
      <c r="E360" s="3"/>
      <c r="F360" s="4">
        <v>9.0</v>
      </c>
      <c r="G360" s="3"/>
      <c r="H360" s="3"/>
      <c r="I360" s="3"/>
    </row>
    <row r="361">
      <c r="A361" s="4" t="s">
        <v>9873</v>
      </c>
      <c r="B361" s="19" t="s">
        <v>48</v>
      </c>
      <c r="C361" s="4">
        <v>1.0</v>
      </c>
      <c r="D361" s="3"/>
      <c r="E361" s="3"/>
      <c r="F361" s="4">
        <v>9.0</v>
      </c>
      <c r="G361" s="3"/>
      <c r="H361" s="3"/>
      <c r="I361" s="3"/>
    </row>
    <row r="362">
      <c r="A362" s="4" t="s">
        <v>9874</v>
      </c>
      <c r="B362" s="19" t="s">
        <v>48</v>
      </c>
      <c r="C362" s="4">
        <v>1.0</v>
      </c>
      <c r="D362" s="3"/>
      <c r="E362" s="3"/>
      <c r="F362" s="4">
        <v>9.0</v>
      </c>
      <c r="G362" s="3"/>
      <c r="H362" s="3"/>
      <c r="I362" s="3"/>
    </row>
    <row r="363">
      <c r="A363" s="4" t="s">
        <v>9875</v>
      </c>
      <c r="B363" s="19" t="s">
        <v>48</v>
      </c>
      <c r="C363" s="4">
        <v>1.0</v>
      </c>
      <c r="D363" s="3"/>
      <c r="E363" s="3"/>
      <c r="F363" s="4">
        <v>9.0</v>
      </c>
      <c r="G363" s="3"/>
      <c r="H363" s="3"/>
      <c r="I363" s="3"/>
    </row>
    <row r="364">
      <c r="A364" s="4" t="s">
        <v>9876</v>
      </c>
      <c r="B364" s="19" t="s">
        <v>48</v>
      </c>
      <c r="C364" s="4">
        <v>1.0</v>
      </c>
      <c r="D364" s="3"/>
      <c r="E364" s="3"/>
      <c r="F364" s="4">
        <v>9.0</v>
      </c>
      <c r="G364" s="3"/>
      <c r="H364" s="3"/>
      <c r="I364" s="3"/>
    </row>
    <row r="365">
      <c r="A365" s="4" t="s">
        <v>9877</v>
      </c>
      <c r="B365" s="13" t="s">
        <v>43</v>
      </c>
      <c r="D365" s="3"/>
      <c r="E365" s="3"/>
      <c r="F365" s="3"/>
      <c r="G365" s="3"/>
      <c r="H365" s="3"/>
      <c r="I365" s="3"/>
    </row>
    <row r="366">
      <c r="A366" s="4" t="s">
        <v>9878</v>
      </c>
      <c r="B366" s="13" t="s">
        <v>43</v>
      </c>
      <c r="D366" s="3"/>
      <c r="E366" s="3"/>
      <c r="F366" s="3"/>
      <c r="G366" s="3"/>
      <c r="H366" s="3"/>
      <c r="I366" s="3"/>
    </row>
    <row r="367">
      <c r="A367" s="4" t="s">
        <v>9879</v>
      </c>
      <c r="B367" s="13" t="s">
        <v>43</v>
      </c>
      <c r="D367" s="3"/>
      <c r="E367" s="3"/>
      <c r="F367" s="3"/>
      <c r="G367" s="3"/>
      <c r="H367" s="3"/>
      <c r="I367" s="3"/>
    </row>
    <row r="368">
      <c r="A368" s="4" t="s">
        <v>9880</v>
      </c>
      <c r="B368" s="13" t="s">
        <v>43</v>
      </c>
      <c r="D368" s="3"/>
      <c r="E368" s="3"/>
      <c r="F368" s="3"/>
      <c r="G368" s="3"/>
      <c r="H368" s="3"/>
      <c r="I368" s="3"/>
    </row>
    <row r="369">
      <c r="A369" s="4" t="s">
        <v>9881</v>
      </c>
      <c r="B369" s="13" t="s">
        <v>43</v>
      </c>
      <c r="D369" s="3"/>
      <c r="E369" s="3"/>
      <c r="F369" s="3"/>
      <c r="G369" s="3"/>
      <c r="H369" s="3"/>
      <c r="I369" s="3"/>
    </row>
    <row r="370">
      <c r="A370" s="4" t="s">
        <v>9882</v>
      </c>
      <c r="B370" s="13" t="s">
        <v>43</v>
      </c>
      <c r="D370" s="3"/>
      <c r="E370" s="3"/>
      <c r="F370" s="3"/>
      <c r="G370" s="3"/>
      <c r="H370" s="3"/>
      <c r="I370" s="3"/>
    </row>
    <row r="371">
      <c r="A371" s="4" t="s">
        <v>9883</v>
      </c>
      <c r="B371" s="13" t="s">
        <v>43</v>
      </c>
      <c r="D371" s="3"/>
      <c r="E371" s="3"/>
      <c r="F371" s="3"/>
      <c r="G371" s="3"/>
      <c r="H371" s="3"/>
      <c r="I371" s="3"/>
    </row>
    <row r="372">
      <c r="A372" s="4" t="s">
        <v>9884</v>
      </c>
      <c r="B372" s="13" t="s">
        <v>43</v>
      </c>
      <c r="D372" s="3"/>
      <c r="E372" s="3"/>
      <c r="F372" s="3"/>
      <c r="G372" s="3"/>
      <c r="H372" s="3"/>
      <c r="I372" s="3"/>
    </row>
    <row r="373">
      <c r="A373" s="4" t="s">
        <v>9885</v>
      </c>
      <c r="B373" s="13" t="s">
        <v>48</v>
      </c>
      <c r="C373" s="4">
        <v>1.0</v>
      </c>
      <c r="D373" s="3"/>
      <c r="E373" s="3"/>
      <c r="F373" s="4">
        <v>9.0</v>
      </c>
      <c r="G373" s="3"/>
      <c r="H373" s="3"/>
      <c r="I373" s="3"/>
    </row>
    <row r="374">
      <c r="A374" s="4" t="s">
        <v>9886</v>
      </c>
      <c r="B374" s="13" t="s">
        <v>48</v>
      </c>
      <c r="C374" s="4">
        <v>1.0</v>
      </c>
      <c r="D374" s="3"/>
      <c r="E374" s="3"/>
      <c r="F374" s="4">
        <v>9.0</v>
      </c>
      <c r="G374" s="3"/>
      <c r="H374" s="3"/>
      <c r="I374" s="3"/>
    </row>
    <row r="375">
      <c r="A375" s="4" t="s">
        <v>9887</v>
      </c>
      <c r="B375" s="13" t="s">
        <v>48</v>
      </c>
      <c r="C375" s="4">
        <v>1.0</v>
      </c>
      <c r="D375" s="3"/>
      <c r="E375" s="3"/>
      <c r="F375" s="4">
        <v>9.0</v>
      </c>
      <c r="G375" s="3"/>
      <c r="H375" s="3"/>
      <c r="I375" s="3"/>
    </row>
    <row r="376">
      <c r="A376" s="4" t="s">
        <v>9888</v>
      </c>
      <c r="B376" s="13" t="s">
        <v>48</v>
      </c>
      <c r="C376" s="4">
        <v>1.0</v>
      </c>
      <c r="D376" s="3"/>
      <c r="E376" s="3"/>
      <c r="F376" s="4">
        <v>9.0</v>
      </c>
      <c r="G376" s="3"/>
      <c r="H376" s="3"/>
      <c r="I376" s="3"/>
    </row>
    <row r="377">
      <c r="A377" s="4" t="s">
        <v>9889</v>
      </c>
      <c r="B377" s="13" t="s">
        <v>48</v>
      </c>
      <c r="C377" s="4">
        <v>1.0</v>
      </c>
      <c r="D377" s="3"/>
      <c r="E377" s="3"/>
      <c r="F377" s="4">
        <v>9.0</v>
      </c>
      <c r="G377" s="3"/>
      <c r="H377" s="3"/>
      <c r="I377" s="3"/>
      <c r="J377" s="4" t="s">
        <v>1757</v>
      </c>
    </row>
    <row r="378">
      <c r="A378" s="4" t="s">
        <v>9890</v>
      </c>
      <c r="B378" s="13" t="s">
        <v>48</v>
      </c>
      <c r="C378" s="4">
        <v>1.0</v>
      </c>
      <c r="D378" s="3"/>
      <c r="E378" s="3"/>
      <c r="F378" s="4">
        <v>9.0</v>
      </c>
      <c r="G378" s="3"/>
      <c r="H378" s="3"/>
      <c r="I378" s="3"/>
      <c r="J378" s="4" t="s">
        <v>1757</v>
      </c>
    </row>
    <row r="379">
      <c r="A379" s="4" t="s">
        <v>9891</v>
      </c>
      <c r="B379" s="13" t="s">
        <v>48</v>
      </c>
      <c r="C379" s="4">
        <v>1.0</v>
      </c>
      <c r="D379" s="3"/>
      <c r="E379" s="3"/>
      <c r="F379" s="4">
        <v>9.0</v>
      </c>
      <c r="G379" s="3"/>
      <c r="H379" s="3"/>
      <c r="I379" s="3"/>
      <c r="J379" s="4" t="s">
        <v>1757</v>
      </c>
    </row>
    <row r="380">
      <c r="A380" s="4" t="s">
        <v>9892</v>
      </c>
      <c r="B380" s="13" t="s">
        <v>43</v>
      </c>
      <c r="D380" s="3"/>
      <c r="E380" s="3"/>
      <c r="F380" s="3"/>
      <c r="G380" s="3"/>
      <c r="H380" s="3"/>
      <c r="I380" s="3"/>
    </row>
    <row r="381">
      <c r="A381" s="4" t="s">
        <v>9893</v>
      </c>
      <c r="B381" s="13" t="s">
        <v>43</v>
      </c>
      <c r="D381" s="3"/>
      <c r="E381" s="3"/>
      <c r="F381" s="3"/>
      <c r="G381" s="3"/>
      <c r="H381" s="3"/>
      <c r="I381" s="3"/>
    </row>
    <row r="382">
      <c r="A382" s="4" t="s">
        <v>9894</v>
      </c>
      <c r="B382" s="13" t="s">
        <v>43</v>
      </c>
      <c r="D382" s="3"/>
      <c r="E382" s="3"/>
      <c r="F382" s="3"/>
      <c r="G382" s="3"/>
      <c r="H382" s="3"/>
      <c r="I382" s="3"/>
    </row>
    <row r="383">
      <c r="A383" s="4" t="s">
        <v>9895</v>
      </c>
      <c r="B383" s="13" t="s">
        <v>43</v>
      </c>
      <c r="D383" s="3"/>
      <c r="E383" s="3"/>
      <c r="F383" s="3"/>
      <c r="G383" s="3"/>
      <c r="H383" s="3"/>
      <c r="I383" s="3"/>
      <c r="J383" s="4" t="s">
        <v>1757</v>
      </c>
    </row>
    <row r="384">
      <c r="A384" s="4" t="s">
        <v>9896</v>
      </c>
      <c r="B384" s="13" t="s">
        <v>43</v>
      </c>
      <c r="D384" s="3"/>
      <c r="E384" s="3"/>
      <c r="F384" s="3"/>
      <c r="G384" s="3"/>
      <c r="H384" s="3"/>
      <c r="I384" s="3"/>
    </row>
    <row r="385">
      <c r="A385" s="4" t="s">
        <v>9897</v>
      </c>
      <c r="B385" s="13" t="s">
        <v>43</v>
      </c>
      <c r="D385" s="3"/>
      <c r="E385" s="3"/>
      <c r="F385" s="3"/>
      <c r="G385" s="3"/>
      <c r="H385" s="3"/>
      <c r="I385" s="3"/>
    </row>
    <row r="386">
      <c r="A386" s="4" t="s">
        <v>9898</v>
      </c>
      <c r="B386" s="13" t="s">
        <v>43</v>
      </c>
      <c r="D386" s="3"/>
      <c r="E386" s="3"/>
      <c r="F386" s="3"/>
      <c r="G386" s="3"/>
      <c r="H386" s="3"/>
      <c r="I386" s="3"/>
    </row>
    <row r="387">
      <c r="A387" s="4" t="s">
        <v>9899</v>
      </c>
      <c r="B387" s="13" t="s">
        <v>43</v>
      </c>
      <c r="D387" s="3"/>
      <c r="E387" s="3"/>
      <c r="F387" s="3"/>
      <c r="G387" s="3"/>
      <c r="H387" s="3"/>
      <c r="I387" s="3"/>
    </row>
    <row r="388">
      <c r="A388" s="4" t="s">
        <v>9900</v>
      </c>
      <c r="B388" s="13" t="s">
        <v>43</v>
      </c>
      <c r="D388" s="3"/>
      <c r="E388" s="3"/>
      <c r="F388" s="3"/>
      <c r="G388" s="3"/>
      <c r="H388" s="3"/>
      <c r="I388" s="3"/>
    </row>
    <row r="389">
      <c r="A389" s="4" t="s">
        <v>9901</v>
      </c>
      <c r="B389" s="13" t="s">
        <v>43</v>
      </c>
      <c r="D389" s="3"/>
      <c r="E389" s="3"/>
      <c r="F389" s="3"/>
      <c r="G389" s="3"/>
      <c r="H389" s="3"/>
      <c r="I389" s="3"/>
    </row>
    <row r="390">
      <c r="A390" s="4" t="s">
        <v>9902</v>
      </c>
      <c r="B390" s="13" t="s">
        <v>43</v>
      </c>
      <c r="D390" s="3"/>
      <c r="E390" s="3"/>
      <c r="F390" s="3"/>
      <c r="G390" s="3"/>
      <c r="H390" s="3"/>
      <c r="I390" s="3"/>
    </row>
    <row r="391">
      <c r="A391" s="4" t="s">
        <v>9903</v>
      </c>
      <c r="B391" s="13" t="s">
        <v>43</v>
      </c>
      <c r="D391" s="3"/>
      <c r="E391" s="3"/>
      <c r="F391" s="3"/>
      <c r="G391" s="3"/>
      <c r="H391" s="3"/>
      <c r="I391" s="3"/>
    </row>
    <row r="392">
      <c r="A392" s="4" t="s">
        <v>9904</v>
      </c>
      <c r="B392" s="13" t="s">
        <v>43</v>
      </c>
      <c r="D392" s="3"/>
      <c r="E392" s="3"/>
      <c r="F392" s="3"/>
      <c r="G392" s="3"/>
      <c r="H392" s="3"/>
      <c r="I392" s="3"/>
    </row>
    <row r="393">
      <c r="A393" s="4" t="s">
        <v>9905</v>
      </c>
      <c r="B393" s="13" t="s">
        <v>43</v>
      </c>
      <c r="D393" s="3"/>
      <c r="E393" s="3"/>
      <c r="F393" s="3"/>
      <c r="G393" s="3"/>
      <c r="H393" s="3"/>
      <c r="I393" s="3"/>
    </row>
    <row r="394">
      <c r="A394" s="4" t="s">
        <v>9906</v>
      </c>
      <c r="B394" s="13" t="s">
        <v>43</v>
      </c>
      <c r="D394" s="3"/>
      <c r="E394" s="3"/>
      <c r="F394" s="3"/>
      <c r="G394" s="3"/>
      <c r="H394" s="3"/>
      <c r="I394" s="3"/>
    </row>
    <row r="395">
      <c r="A395" s="4" t="s">
        <v>9907</v>
      </c>
      <c r="B395" s="13" t="s">
        <v>43</v>
      </c>
      <c r="D395" s="3"/>
      <c r="E395" s="3"/>
      <c r="F395" s="3"/>
      <c r="G395" s="3"/>
      <c r="H395" s="3"/>
      <c r="I395" s="3"/>
    </row>
    <row r="396">
      <c r="A396" s="4" t="s">
        <v>9908</v>
      </c>
      <c r="B396" s="13" t="s">
        <v>43</v>
      </c>
      <c r="D396" s="3"/>
      <c r="E396" s="3"/>
      <c r="F396" s="3"/>
      <c r="G396" s="3"/>
      <c r="H396" s="3"/>
      <c r="I396" s="3"/>
    </row>
    <row r="397">
      <c r="A397" s="4" t="s">
        <v>9909</v>
      </c>
      <c r="B397" s="13" t="s">
        <v>43</v>
      </c>
      <c r="D397" s="3"/>
      <c r="E397" s="3"/>
      <c r="F397" s="3"/>
      <c r="G397" s="3"/>
      <c r="H397" s="3"/>
      <c r="I397" s="3"/>
    </row>
    <row r="398">
      <c r="A398" s="4" t="s">
        <v>9910</v>
      </c>
      <c r="B398" s="13" t="s">
        <v>48</v>
      </c>
      <c r="C398" s="4">
        <v>1.0</v>
      </c>
      <c r="D398" s="4">
        <v>1.0</v>
      </c>
      <c r="E398" s="3"/>
      <c r="F398" s="3"/>
      <c r="G398" s="3"/>
      <c r="H398" s="3"/>
      <c r="I398" s="3"/>
    </row>
    <row r="399">
      <c r="A399" s="4" t="s">
        <v>9911</v>
      </c>
      <c r="B399" s="13" t="s">
        <v>48</v>
      </c>
      <c r="C399" s="4">
        <v>1.0</v>
      </c>
      <c r="D399" s="4">
        <v>1.0</v>
      </c>
      <c r="E399" s="3"/>
      <c r="F399" s="3"/>
      <c r="G399" s="3"/>
      <c r="H399" s="3"/>
      <c r="I399" s="3"/>
    </row>
    <row r="400">
      <c r="A400" s="4" t="s">
        <v>9912</v>
      </c>
      <c r="B400" s="13" t="s">
        <v>48</v>
      </c>
      <c r="C400" s="4">
        <v>1.0</v>
      </c>
      <c r="D400" s="4">
        <v>1.0</v>
      </c>
      <c r="E400" s="3"/>
      <c r="F400" s="3"/>
      <c r="G400" s="3"/>
      <c r="H400" s="3"/>
      <c r="I400" s="3"/>
    </row>
    <row r="401">
      <c r="A401" s="4" t="s">
        <v>9913</v>
      </c>
      <c r="B401" s="13" t="s">
        <v>48</v>
      </c>
      <c r="C401" s="4">
        <v>1.0</v>
      </c>
      <c r="D401" s="4">
        <v>1.0</v>
      </c>
      <c r="E401" s="3"/>
      <c r="F401" s="3"/>
      <c r="G401" s="3"/>
      <c r="H401" s="3"/>
      <c r="I401" s="3"/>
    </row>
    <row r="402">
      <c r="A402" s="4" t="s">
        <v>9914</v>
      </c>
      <c r="B402" s="13" t="s">
        <v>48</v>
      </c>
      <c r="C402" s="4">
        <v>1.0</v>
      </c>
      <c r="D402" s="4">
        <v>1.0</v>
      </c>
      <c r="E402" s="3"/>
      <c r="F402" s="3"/>
      <c r="G402" s="3"/>
      <c r="H402" s="3"/>
      <c r="I402" s="3"/>
    </row>
    <row r="403">
      <c r="A403" s="4" t="s">
        <v>9915</v>
      </c>
      <c r="B403" s="13" t="s">
        <v>48</v>
      </c>
      <c r="C403" s="4">
        <v>1.0</v>
      </c>
      <c r="D403" s="4">
        <v>1.0</v>
      </c>
      <c r="E403" s="3"/>
      <c r="F403" s="3"/>
      <c r="G403" s="3"/>
      <c r="H403" s="3"/>
      <c r="I403" s="3"/>
      <c r="J403" s="4" t="s">
        <v>1757</v>
      </c>
    </row>
    <row r="404">
      <c r="A404" s="4" t="s">
        <v>9916</v>
      </c>
      <c r="B404" s="13" t="s">
        <v>48</v>
      </c>
      <c r="C404" s="4">
        <v>1.0</v>
      </c>
      <c r="D404" s="4">
        <v>1.0</v>
      </c>
      <c r="E404" s="3"/>
      <c r="F404" s="3"/>
      <c r="G404" s="3"/>
      <c r="H404" s="3"/>
      <c r="I404" s="3"/>
      <c r="J404" s="4" t="s">
        <v>1757</v>
      </c>
    </row>
    <row r="405">
      <c r="A405" s="4" t="s">
        <v>9917</v>
      </c>
      <c r="B405" s="13" t="s">
        <v>43</v>
      </c>
      <c r="D405" s="3"/>
      <c r="E405" s="3"/>
      <c r="F405" s="3"/>
      <c r="G405" s="3"/>
      <c r="H405" s="3"/>
      <c r="I405" s="3"/>
    </row>
    <row r="406">
      <c r="A406" s="4" t="s">
        <v>9918</v>
      </c>
      <c r="B406" s="13" t="s">
        <v>48</v>
      </c>
      <c r="C406" s="4">
        <v>1.0</v>
      </c>
      <c r="D406" s="3"/>
      <c r="E406" s="3"/>
      <c r="F406" s="3"/>
      <c r="G406" s="3"/>
      <c r="H406" s="4">
        <v>13.0</v>
      </c>
      <c r="I406" s="3"/>
      <c r="J406" s="4" t="s">
        <v>1757</v>
      </c>
    </row>
    <row r="407">
      <c r="A407" s="4" t="s">
        <v>9919</v>
      </c>
      <c r="B407" s="13" t="s">
        <v>48</v>
      </c>
      <c r="C407" s="4">
        <v>3.0</v>
      </c>
      <c r="D407" s="3"/>
      <c r="E407" s="3"/>
      <c r="F407" s="4">
        <v>9.0</v>
      </c>
      <c r="G407" s="3"/>
      <c r="H407" s="4">
        <v>13.0</v>
      </c>
      <c r="I407" s="4">
        <v>15.0</v>
      </c>
      <c r="J407" s="4" t="s">
        <v>1757</v>
      </c>
    </row>
    <row r="408">
      <c r="A408" s="4" t="s">
        <v>9920</v>
      </c>
      <c r="B408" s="13" t="s">
        <v>48</v>
      </c>
      <c r="C408" s="4">
        <v>3.0</v>
      </c>
      <c r="D408" s="3"/>
      <c r="E408" s="3"/>
      <c r="F408" s="4">
        <v>9.0</v>
      </c>
      <c r="G408" s="3"/>
      <c r="H408" s="4">
        <v>13.0</v>
      </c>
      <c r="I408" s="4">
        <v>15.0</v>
      </c>
      <c r="J408" s="4" t="s">
        <v>1757</v>
      </c>
    </row>
    <row r="409">
      <c r="A409" s="4" t="s">
        <v>9921</v>
      </c>
      <c r="B409" s="13" t="s">
        <v>48</v>
      </c>
      <c r="C409" s="4">
        <v>3.0</v>
      </c>
      <c r="D409" s="3"/>
      <c r="E409" s="4">
        <v>2.0</v>
      </c>
      <c r="F409" s="4">
        <v>9.0</v>
      </c>
      <c r="G409" s="3"/>
      <c r="H409" s="3"/>
      <c r="I409" s="4">
        <v>15.0</v>
      </c>
    </row>
    <row r="410">
      <c r="A410" s="4" t="s">
        <v>9922</v>
      </c>
      <c r="B410" s="13" t="s">
        <v>48</v>
      </c>
      <c r="C410" s="4">
        <v>4.0</v>
      </c>
      <c r="D410" s="3"/>
      <c r="E410" s="4">
        <v>2.0</v>
      </c>
      <c r="F410" s="4">
        <v>9.0</v>
      </c>
      <c r="G410" s="3"/>
      <c r="H410" s="4">
        <v>13.0</v>
      </c>
      <c r="I410" s="4">
        <v>15.0</v>
      </c>
    </row>
    <row r="411">
      <c r="A411" s="4" t="s">
        <v>9923</v>
      </c>
      <c r="B411" s="13" t="s">
        <v>48</v>
      </c>
      <c r="C411" s="4">
        <v>4.0</v>
      </c>
      <c r="D411" s="3"/>
      <c r="E411" s="4">
        <v>2.0</v>
      </c>
      <c r="F411" s="4">
        <v>9.0</v>
      </c>
      <c r="G411" s="3"/>
      <c r="H411" s="4">
        <v>13.0</v>
      </c>
      <c r="I411" s="4">
        <v>15.0</v>
      </c>
      <c r="J411" s="4" t="s">
        <v>1757</v>
      </c>
    </row>
    <row r="412">
      <c r="A412" s="4" t="s">
        <v>9924</v>
      </c>
      <c r="B412" s="13" t="s">
        <v>48</v>
      </c>
      <c r="C412" s="4">
        <v>3.0</v>
      </c>
      <c r="D412" s="3"/>
      <c r="E412" s="4">
        <v>2.0</v>
      </c>
      <c r="F412" s="4">
        <v>9.0</v>
      </c>
      <c r="G412" s="3"/>
      <c r="H412" s="4">
        <v>13.0</v>
      </c>
      <c r="I412" s="3"/>
      <c r="J412" s="4" t="s">
        <v>1757</v>
      </c>
    </row>
    <row r="413">
      <c r="A413" s="4" t="s">
        <v>9925</v>
      </c>
      <c r="B413" s="13" t="s">
        <v>48</v>
      </c>
      <c r="C413" s="4">
        <v>2.0</v>
      </c>
      <c r="D413" s="3"/>
      <c r="E413" s="4">
        <v>2.0</v>
      </c>
      <c r="F413" s="3"/>
      <c r="G413" s="3"/>
      <c r="H413" s="4">
        <v>13.0</v>
      </c>
      <c r="I413" s="3"/>
      <c r="J413" s="4" t="s">
        <v>1757</v>
      </c>
    </row>
    <row r="414">
      <c r="A414" s="4" t="s">
        <v>9926</v>
      </c>
      <c r="B414" s="13" t="s">
        <v>48</v>
      </c>
      <c r="C414" s="4">
        <v>1.0</v>
      </c>
      <c r="D414" s="3"/>
      <c r="E414" s="3"/>
      <c r="F414" s="3"/>
      <c r="G414" s="3"/>
      <c r="H414" s="4">
        <v>13.0</v>
      </c>
      <c r="I414" s="3"/>
      <c r="J414" s="4" t="s">
        <v>1757</v>
      </c>
    </row>
    <row r="415">
      <c r="A415" s="4" t="s">
        <v>9927</v>
      </c>
      <c r="B415" s="13" t="s">
        <v>48</v>
      </c>
      <c r="C415" s="4">
        <v>1.0</v>
      </c>
      <c r="D415" s="3"/>
      <c r="E415" s="3"/>
      <c r="F415" s="3"/>
      <c r="G415" s="3"/>
      <c r="H415" s="4">
        <v>13.0</v>
      </c>
      <c r="I415" s="3"/>
      <c r="J415" s="4" t="s">
        <v>1757</v>
      </c>
    </row>
    <row r="416">
      <c r="A416" s="4" t="s">
        <v>9928</v>
      </c>
      <c r="B416" s="13" t="s">
        <v>48</v>
      </c>
      <c r="C416" s="4">
        <v>1.0</v>
      </c>
      <c r="D416" s="3"/>
      <c r="E416" s="3"/>
      <c r="F416" s="3"/>
      <c r="G416" s="3"/>
      <c r="H416" s="4">
        <v>13.0</v>
      </c>
      <c r="I416" s="3"/>
      <c r="J416" s="4" t="s">
        <v>1757</v>
      </c>
    </row>
    <row r="417">
      <c r="A417" s="4" t="s">
        <v>9929</v>
      </c>
      <c r="B417" s="13" t="s">
        <v>48</v>
      </c>
      <c r="C417" s="4">
        <v>1.0</v>
      </c>
      <c r="D417" s="3"/>
      <c r="E417" s="3"/>
      <c r="F417" s="3"/>
      <c r="G417" s="3"/>
      <c r="H417" s="4">
        <v>13.0</v>
      </c>
      <c r="I417" s="3"/>
      <c r="J417" s="4" t="s">
        <v>1757</v>
      </c>
    </row>
    <row r="418">
      <c r="A418" s="4" t="s">
        <v>9930</v>
      </c>
      <c r="B418" s="13" t="s">
        <v>43</v>
      </c>
      <c r="D418" s="3"/>
      <c r="E418" s="3"/>
      <c r="F418" s="3"/>
      <c r="G418" s="3"/>
      <c r="H418" s="3"/>
      <c r="I418" s="3"/>
      <c r="J418" s="4" t="s">
        <v>1757</v>
      </c>
    </row>
    <row r="419">
      <c r="A419" s="4" t="s">
        <v>9931</v>
      </c>
      <c r="B419" s="13" t="s">
        <v>48</v>
      </c>
      <c r="C419" s="4">
        <v>1.0</v>
      </c>
      <c r="D419" s="4">
        <v>1.0</v>
      </c>
      <c r="E419" s="3"/>
      <c r="F419" s="3"/>
      <c r="G419" s="3"/>
      <c r="H419" s="3"/>
      <c r="I419" s="3"/>
      <c r="J419" s="4" t="s">
        <v>1757</v>
      </c>
    </row>
    <row r="420">
      <c r="A420" s="4" t="s">
        <v>9932</v>
      </c>
      <c r="B420" s="13" t="s">
        <v>48</v>
      </c>
      <c r="C420" s="4">
        <v>1.0</v>
      </c>
      <c r="D420" s="4">
        <v>1.0</v>
      </c>
      <c r="E420" s="3"/>
      <c r="F420" s="3"/>
      <c r="G420" s="3"/>
      <c r="H420" s="3"/>
      <c r="I420" s="3"/>
      <c r="J420" s="4" t="s">
        <v>1757</v>
      </c>
    </row>
    <row r="421">
      <c r="A421" s="4" t="s">
        <v>9933</v>
      </c>
      <c r="B421" s="13" t="s">
        <v>48</v>
      </c>
      <c r="C421" s="4">
        <v>1.0</v>
      </c>
      <c r="D421" s="4">
        <v>1.0</v>
      </c>
      <c r="E421" s="3"/>
      <c r="F421" s="3"/>
      <c r="G421" s="3"/>
      <c r="H421" s="3"/>
      <c r="I421" s="3"/>
      <c r="J421" s="4" t="s">
        <v>1757</v>
      </c>
    </row>
    <row r="422">
      <c r="A422" s="4" t="s">
        <v>9934</v>
      </c>
      <c r="B422" s="13" t="s">
        <v>48</v>
      </c>
      <c r="C422" s="4">
        <v>2.0</v>
      </c>
      <c r="D422" s="4">
        <v>1.0</v>
      </c>
      <c r="E422" s="3"/>
      <c r="F422" s="3"/>
      <c r="G422" s="3"/>
      <c r="H422" s="4">
        <v>13.0</v>
      </c>
      <c r="I422" s="3"/>
      <c r="J422" s="4" t="s">
        <v>1757</v>
      </c>
    </row>
    <row r="423">
      <c r="A423" s="4" t="s">
        <v>9935</v>
      </c>
      <c r="B423" s="13" t="s">
        <v>48</v>
      </c>
      <c r="C423" s="4">
        <v>1.0</v>
      </c>
      <c r="D423" s="3"/>
      <c r="E423" s="3"/>
      <c r="F423" s="3"/>
      <c r="G423" s="3"/>
      <c r="H423" s="4">
        <v>13.0</v>
      </c>
      <c r="I423" s="3"/>
      <c r="J423" s="4" t="s">
        <v>1757</v>
      </c>
    </row>
    <row r="424">
      <c r="A424" s="4" t="s">
        <v>9936</v>
      </c>
      <c r="B424" s="13" t="s">
        <v>48</v>
      </c>
      <c r="C424" s="4">
        <v>1.0</v>
      </c>
      <c r="D424" s="3"/>
      <c r="E424" s="3"/>
      <c r="F424" s="3"/>
      <c r="G424" s="3"/>
      <c r="H424" s="4">
        <v>13.0</v>
      </c>
      <c r="I424" s="3"/>
      <c r="J424" s="4" t="s">
        <v>1757</v>
      </c>
    </row>
    <row r="425">
      <c r="A425" s="4" t="s">
        <v>9937</v>
      </c>
      <c r="B425" s="13" t="s">
        <v>48</v>
      </c>
      <c r="C425" s="4">
        <v>1.0</v>
      </c>
      <c r="D425" s="3"/>
      <c r="E425" s="3"/>
      <c r="F425" s="3"/>
      <c r="G425" s="3"/>
      <c r="H425" s="4">
        <v>13.0</v>
      </c>
      <c r="I425" s="3"/>
      <c r="J425" s="4" t="s">
        <v>1757</v>
      </c>
    </row>
    <row r="426">
      <c r="A426" s="4" t="s">
        <v>9938</v>
      </c>
      <c r="B426" s="13" t="s">
        <v>43</v>
      </c>
      <c r="D426" s="3"/>
      <c r="E426" s="3"/>
      <c r="F426" s="3"/>
      <c r="G426" s="3"/>
      <c r="H426" s="3"/>
      <c r="I426" s="3"/>
    </row>
    <row r="427">
      <c r="A427" s="4" t="s">
        <v>9939</v>
      </c>
      <c r="B427" s="13" t="s">
        <v>43</v>
      </c>
      <c r="D427" s="3"/>
      <c r="E427" s="3"/>
      <c r="F427" s="3"/>
      <c r="G427" s="3"/>
      <c r="H427" s="3"/>
      <c r="I427" s="3"/>
    </row>
    <row r="428">
      <c r="A428" s="4" t="s">
        <v>9940</v>
      </c>
      <c r="B428" s="13" t="s">
        <v>43</v>
      </c>
      <c r="D428" s="3"/>
      <c r="E428" s="3"/>
      <c r="F428" s="3"/>
      <c r="G428" s="3"/>
      <c r="H428" s="3"/>
      <c r="I428" s="3"/>
    </row>
    <row r="429">
      <c r="A429" s="4" t="s">
        <v>9941</v>
      </c>
      <c r="B429" s="13" t="s">
        <v>43</v>
      </c>
      <c r="D429" s="3"/>
      <c r="E429" s="3"/>
      <c r="F429" s="3"/>
      <c r="G429" s="3"/>
      <c r="H429" s="3"/>
      <c r="I429" s="3"/>
    </row>
    <row r="430">
      <c r="A430" s="4" t="s">
        <v>9942</v>
      </c>
      <c r="B430" s="13" t="s">
        <v>48</v>
      </c>
      <c r="C430" s="4">
        <v>1.0</v>
      </c>
      <c r="D430" s="3"/>
      <c r="E430" s="3"/>
      <c r="F430" s="3"/>
      <c r="G430" s="3"/>
      <c r="H430" s="3"/>
      <c r="I430" s="4">
        <v>15.0</v>
      </c>
    </row>
    <row r="431">
      <c r="A431" s="4" t="s">
        <v>9943</v>
      </c>
      <c r="B431" s="13" t="s">
        <v>48</v>
      </c>
      <c r="C431" s="4">
        <v>1.0</v>
      </c>
      <c r="D431" s="3"/>
      <c r="E431" s="3"/>
      <c r="F431" s="3"/>
      <c r="G431" s="3"/>
      <c r="H431" s="3"/>
      <c r="I431" s="4">
        <v>15.0</v>
      </c>
    </row>
    <row r="432">
      <c r="A432" s="4" t="s">
        <v>9944</v>
      </c>
      <c r="B432" s="13" t="s">
        <v>48</v>
      </c>
      <c r="C432" s="4">
        <v>1.0</v>
      </c>
      <c r="D432" s="3"/>
      <c r="E432" s="3"/>
      <c r="F432" s="3"/>
      <c r="G432" s="3"/>
      <c r="H432" s="3"/>
      <c r="I432" s="4">
        <v>15.0</v>
      </c>
    </row>
    <row r="433">
      <c r="A433" s="4" t="s">
        <v>9945</v>
      </c>
      <c r="B433" s="13" t="s">
        <v>48</v>
      </c>
      <c r="C433" s="4">
        <v>1.0</v>
      </c>
      <c r="D433" s="3"/>
      <c r="E433" s="3"/>
      <c r="F433" s="3"/>
      <c r="G433" s="3"/>
      <c r="H433" s="3"/>
      <c r="I433" s="4">
        <v>15.0</v>
      </c>
    </row>
    <row r="434">
      <c r="A434" s="4" t="s">
        <v>9946</v>
      </c>
      <c r="B434" s="13" t="s">
        <v>48</v>
      </c>
      <c r="C434" s="4">
        <v>1.0</v>
      </c>
      <c r="D434" s="3"/>
      <c r="E434" s="3"/>
      <c r="F434" s="3"/>
      <c r="G434" s="3"/>
      <c r="H434" s="3"/>
      <c r="I434" s="4">
        <v>15.0</v>
      </c>
    </row>
    <row r="435">
      <c r="A435" s="4" t="s">
        <v>9947</v>
      </c>
      <c r="B435" s="13" t="s">
        <v>48</v>
      </c>
      <c r="C435" s="4">
        <v>1.0</v>
      </c>
      <c r="D435" s="3"/>
      <c r="E435" s="3"/>
      <c r="F435" s="3"/>
      <c r="G435" s="3"/>
      <c r="H435" s="3"/>
      <c r="I435" s="4">
        <v>15.0</v>
      </c>
    </row>
    <row r="436">
      <c r="A436" s="4" t="s">
        <v>9948</v>
      </c>
      <c r="B436" s="13" t="s">
        <v>48</v>
      </c>
      <c r="C436" s="4">
        <v>1.0</v>
      </c>
      <c r="D436" s="3"/>
      <c r="E436" s="3"/>
      <c r="F436" s="3"/>
      <c r="G436" s="3"/>
      <c r="H436" s="3"/>
      <c r="I436" s="4">
        <v>15.0</v>
      </c>
    </row>
    <row r="437">
      <c r="A437" s="4" t="s">
        <v>9949</v>
      </c>
      <c r="B437" s="13" t="s">
        <v>48</v>
      </c>
      <c r="C437" s="4">
        <v>1.0</v>
      </c>
      <c r="D437" s="3"/>
      <c r="E437" s="3"/>
      <c r="F437" s="3"/>
      <c r="G437" s="3"/>
      <c r="H437" s="3"/>
      <c r="I437" s="4">
        <v>15.0</v>
      </c>
      <c r="J437" s="4" t="s">
        <v>1757</v>
      </c>
    </row>
    <row r="438">
      <c r="A438" s="4" t="s">
        <v>9950</v>
      </c>
      <c r="B438" s="13" t="s">
        <v>48</v>
      </c>
      <c r="C438" s="4">
        <v>1.0</v>
      </c>
      <c r="D438" s="3"/>
      <c r="E438" s="3"/>
      <c r="F438" s="3"/>
      <c r="G438" s="3"/>
      <c r="H438" s="3"/>
      <c r="I438" s="4">
        <v>15.0</v>
      </c>
      <c r="J438" s="4" t="s">
        <v>1757</v>
      </c>
    </row>
    <row r="439">
      <c r="A439" s="4" t="s">
        <v>9951</v>
      </c>
      <c r="B439" s="13" t="s">
        <v>43</v>
      </c>
      <c r="D439" s="3"/>
      <c r="E439" s="3"/>
      <c r="F439" s="3"/>
      <c r="G439" s="3"/>
      <c r="H439" s="3"/>
      <c r="I439" s="3"/>
      <c r="J439" s="4" t="s">
        <v>1757</v>
      </c>
    </row>
    <row r="440">
      <c r="A440" s="4" t="s">
        <v>9952</v>
      </c>
      <c r="B440" s="13" t="s">
        <v>43</v>
      </c>
      <c r="D440" s="3"/>
      <c r="E440" s="3"/>
      <c r="F440" s="3"/>
      <c r="G440" s="3"/>
      <c r="H440" s="3"/>
      <c r="I440" s="3"/>
      <c r="J440" s="4" t="s">
        <v>1757</v>
      </c>
    </row>
    <row r="441">
      <c r="A441" s="4" t="s">
        <v>9953</v>
      </c>
      <c r="B441" s="13" t="s">
        <v>43</v>
      </c>
      <c r="D441" s="3"/>
      <c r="E441" s="3"/>
      <c r="F441" s="3"/>
      <c r="G441" s="3"/>
      <c r="H441" s="3"/>
      <c r="I441" s="3"/>
      <c r="J441" s="4" t="s">
        <v>1757</v>
      </c>
    </row>
    <row r="442">
      <c r="A442" s="4" t="s">
        <v>9954</v>
      </c>
      <c r="B442" s="13" t="s">
        <v>43</v>
      </c>
      <c r="D442" s="3"/>
      <c r="E442" s="3"/>
      <c r="F442" s="3"/>
      <c r="G442" s="3"/>
      <c r="H442" s="3"/>
      <c r="I442" s="3"/>
      <c r="J442" s="4" t="s">
        <v>1757</v>
      </c>
    </row>
    <row r="443">
      <c r="A443" s="4" t="s">
        <v>9955</v>
      </c>
      <c r="B443" s="13" t="s">
        <v>48</v>
      </c>
      <c r="C443" s="4">
        <v>1.0</v>
      </c>
      <c r="D443" s="3"/>
      <c r="E443" s="3"/>
      <c r="F443" s="4">
        <v>9.0</v>
      </c>
      <c r="G443" s="3"/>
      <c r="H443" s="3"/>
      <c r="I443" s="3"/>
      <c r="J443" s="4" t="s">
        <v>1757</v>
      </c>
    </row>
    <row r="444">
      <c r="A444" s="4" t="s">
        <v>9956</v>
      </c>
      <c r="B444" s="13" t="s">
        <v>48</v>
      </c>
      <c r="C444" s="4">
        <v>1.0</v>
      </c>
      <c r="D444" s="3"/>
      <c r="E444" s="3"/>
      <c r="F444" s="4">
        <v>9.0</v>
      </c>
      <c r="G444" s="3"/>
      <c r="H444" s="3"/>
      <c r="I444" s="3"/>
      <c r="J444" s="4" t="s">
        <v>1757</v>
      </c>
    </row>
    <row r="445">
      <c r="A445" s="4" t="s">
        <v>9957</v>
      </c>
      <c r="B445" s="13" t="s">
        <v>48</v>
      </c>
      <c r="C445" s="4">
        <v>1.0</v>
      </c>
      <c r="D445" s="3"/>
      <c r="E445" s="3"/>
      <c r="F445" s="4">
        <v>9.0</v>
      </c>
      <c r="G445" s="3"/>
      <c r="H445" s="3"/>
      <c r="I445" s="3"/>
      <c r="J445" s="4" t="s">
        <v>1757</v>
      </c>
    </row>
    <row r="446">
      <c r="A446" s="4" t="s">
        <v>9958</v>
      </c>
      <c r="B446" s="13" t="s">
        <v>48</v>
      </c>
      <c r="C446" s="4">
        <v>1.0</v>
      </c>
      <c r="D446" s="3"/>
      <c r="E446" s="3"/>
      <c r="F446" s="4">
        <v>9.0</v>
      </c>
      <c r="G446" s="3"/>
      <c r="H446" s="3"/>
      <c r="I446" s="3"/>
    </row>
    <row r="447">
      <c r="A447" s="4" t="s">
        <v>9959</v>
      </c>
      <c r="B447" s="13" t="s">
        <v>48</v>
      </c>
      <c r="C447" s="4">
        <v>1.0</v>
      </c>
      <c r="D447" s="3"/>
      <c r="E447" s="3"/>
      <c r="F447" s="4">
        <v>9.0</v>
      </c>
      <c r="G447" s="3"/>
      <c r="H447" s="3"/>
      <c r="I447" s="3"/>
    </row>
    <row r="448">
      <c r="A448" s="4" t="s">
        <v>9960</v>
      </c>
      <c r="B448" s="13" t="s">
        <v>48</v>
      </c>
      <c r="C448" s="4">
        <v>1.0</v>
      </c>
      <c r="D448" s="3"/>
      <c r="E448" s="3"/>
      <c r="F448" s="4">
        <v>9.0</v>
      </c>
      <c r="G448" s="3"/>
      <c r="H448" s="3"/>
      <c r="I448" s="3"/>
    </row>
    <row r="449">
      <c r="A449" s="4" t="s">
        <v>9961</v>
      </c>
      <c r="B449" s="13" t="s">
        <v>43</v>
      </c>
      <c r="D449" s="3"/>
      <c r="E449" s="3"/>
      <c r="F449" s="3"/>
      <c r="G449" s="3"/>
      <c r="H449" s="3"/>
      <c r="I449" s="3"/>
    </row>
    <row r="450">
      <c r="A450" s="4" t="s">
        <v>9962</v>
      </c>
      <c r="B450" s="13" t="s">
        <v>43</v>
      </c>
      <c r="D450" s="3"/>
      <c r="E450" s="3"/>
      <c r="F450" s="3"/>
      <c r="G450" s="3"/>
      <c r="H450" s="3"/>
      <c r="I450" s="3"/>
    </row>
    <row r="451">
      <c r="A451" s="4" t="s">
        <v>9963</v>
      </c>
      <c r="B451" s="13" t="s">
        <v>43</v>
      </c>
      <c r="D451" s="3"/>
      <c r="E451" s="3"/>
      <c r="F451" s="3"/>
      <c r="G451" s="3"/>
      <c r="H451" s="3"/>
      <c r="I451" s="3"/>
    </row>
    <row r="452">
      <c r="A452" s="4" t="s">
        <v>9964</v>
      </c>
      <c r="B452" s="13" t="s">
        <v>43</v>
      </c>
      <c r="D452" s="3"/>
      <c r="E452" s="3"/>
      <c r="F452" s="3"/>
      <c r="G452" s="3"/>
      <c r="H452" s="3"/>
      <c r="I452" s="3"/>
    </row>
    <row r="453">
      <c r="A453" s="4" t="s">
        <v>9965</v>
      </c>
      <c r="B453" s="13" t="s">
        <v>43</v>
      </c>
      <c r="D453" s="3"/>
      <c r="E453" s="3"/>
      <c r="F453" s="3"/>
      <c r="G453" s="3"/>
      <c r="H453" s="3"/>
      <c r="I453" s="3"/>
    </row>
    <row r="454">
      <c r="A454" s="4" t="s">
        <v>9966</v>
      </c>
      <c r="B454" s="13" t="s">
        <v>43</v>
      </c>
      <c r="D454" s="3"/>
      <c r="E454" s="3"/>
      <c r="F454" s="3"/>
      <c r="G454" s="3"/>
      <c r="H454" s="3"/>
      <c r="I454" s="3"/>
    </row>
    <row r="455">
      <c r="A455" s="4" t="s">
        <v>9967</v>
      </c>
      <c r="B455" s="13" t="s">
        <v>43</v>
      </c>
      <c r="D455" s="3"/>
      <c r="E455" s="3"/>
      <c r="F455" s="3"/>
      <c r="G455" s="3"/>
      <c r="H455" s="3"/>
      <c r="I455" s="3"/>
    </row>
    <row r="456">
      <c r="A456" s="4" t="s">
        <v>9968</v>
      </c>
      <c r="B456" s="13" t="s">
        <v>43</v>
      </c>
      <c r="D456" s="3"/>
      <c r="E456" s="3"/>
      <c r="F456" s="3"/>
      <c r="G456" s="3"/>
      <c r="H456" s="3"/>
      <c r="I456" s="3"/>
    </row>
    <row r="457">
      <c r="A457" s="4" t="s">
        <v>9969</v>
      </c>
      <c r="B457" s="19" t="s">
        <v>48</v>
      </c>
      <c r="C457" s="4">
        <v>1.0</v>
      </c>
      <c r="D457" s="3"/>
      <c r="E457" s="4">
        <v>2.0</v>
      </c>
      <c r="F457" s="3"/>
      <c r="G457" s="3"/>
      <c r="H457" s="3"/>
      <c r="I457" s="3"/>
      <c r="J457" s="4" t="s">
        <v>1757</v>
      </c>
    </row>
    <row r="458">
      <c r="A458" s="4" t="s">
        <v>9970</v>
      </c>
      <c r="B458" s="19" t="s">
        <v>48</v>
      </c>
      <c r="C458" s="4">
        <v>1.0</v>
      </c>
      <c r="D458" s="3"/>
      <c r="E458" s="4">
        <v>2.0</v>
      </c>
      <c r="F458" s="3"/>
      <c r="G458" s="3"/>
      <c r="H458" s="3"/>
      <c r="I458" s="3"/>
      <c r="J458" s="4" t="s">
        <v>1757</v>
      </c>
    </row>
    <row r="459">
      <c r="A459" s="4" t="s">
        <v>9971</v>
      </c>
      <c r="B459" s="19" t="s">
        <v>48</v>
      </c>
      <c r="C459" s="4">
        <v>1.0</v>
      </c>
      <c r="D459" s="3"/>
      <c r="E459" s="4">
        <v>2.0</v>
      </c>
      <c r="F459" s="3"/>
      <c r="G459" s="3"/>
      <c r="H459" s="3"/>
      <c r="I459" s="3"/>
      <c r="J459" s="4" t="s">
        <v>1757</v>
      </c>
    </row>
    <row r="460">
      <c r="A460" s="4" t="s">
        <v>9972</v>
      </c>
      <c r="B460" s="19" t="s">
        <v>48</v>
      </c>
      <c r="C460" s="4">
        <v>1.0</v>
      </c>
      <c r="D460" s="3"/>
      <c r="E460" s="4">
        <v>2.0</v>
      </c>
      <c r="F460" s="3"/>
      <c r="G460" s="3"/>
      <c r="H460" s="3"/>
      <c r="I460" s="3"/>
      <c r="J460" s="4" t="s">
        <v>1757</v>
      </c>
    </row>
    <row r="461">
      <c r="A461" s="4" t="s">
        <v>9973</v>
      </c>
      <c r="B461" s="19" t="s">
        <v>48</v>
      </c>
      <c r="C461" s="4">
        <v>1.0</v>
      </c>
      <c r="D461" s="3"/>
      <c r="E461" s="4">
        <v>2.0</v>
      </c>
      <c r="F461" s="3"/>
      <c r="G461" s="3"/>
      <c r="H461" s="3"/>
      <c r="I461" s="3"/>
    </row>
    <row r="462">
      <c r="A462" s="4" t="s">
        <v>9974</v>
      </c>
      <c r="B462" s="19" t="s">
        <v>48</v>
      </c>
      <c r="C462" s="4">
        <v>1.0</v>
      </c>
      <c r="D462" s="3"/>
      <c r="E462" s="4">
        <v>2.0</v>
      </c>
      <c r="F462" s="3"/>
      <c r="G462" s="3"/>
      <c r="H462" s="3"/>
      <c r="I462" s="3"/>
    </row>
    <row r="463">
      <c r="A463" s="4" t="s">
        <v>9975</v>
      </c>
      <c r="B463" s="19" t="s">
        <v>48</v>
      </c>
      <c r="C463" s="4">
        <v>1.0</v>
      </c>
      <c r="D463" s="3"/>
      <c r="E463" s="4">
        <v>2.0</v>
      </c>
      <c r="F463" s="3"/>
      <c r="G463" s="3"/>
      <c r="H463" s="3"/>
      <c r="I463" s="3"/>
    </row>
    <row r="464">
      <c r="A464" s="4" t="s">
        <v>9976</v>
      </c>
      <c r="B464" s="19" t="s">
        <v>48</v>
      </c>
      <c r="C464" s="4">
        <v>1.0</v>
      </c>
      <c r="D464" s="3"/>
      <c r="E464" s="4">
        <v>2.0</v>
      </c>
      <c r="F464" s="3"/>
      <c r="G464" s="3"/>
      <c r="H464" s="3"/>
      <c r="I464" s="3"/>
    </row>
    <row r="465">
      <c r="A465" s="4" t="s">
        <v>9977</v>
      </c>
      <c r="B465" s="13" t="s">
        <v>43</v>
      </c>
      <c r="D465" s="3"/>
      <c r="E465" s="3"/>
      <c r="F465" s="3"/>
      <c r="G465" s="3"/>
      <c r="H465" s="3"/>
      <c r="I465" s="3"/>
    </row>
    <row r="466">
      <c r="A466" s="4" t="s">
        <v>9978</v>
      </c>
      <c r="B466" s="13" t="s">
        <v>43</v>
      </c>
      <c r="D466" s="3"/>
      <c r="E466" s="3"/>
      <c r="F466" s="3"/>
      <c r="G466" s="3"/>
      <c r="H466" s="3"/>
      <c r="I466" s="3"/>
    </row>
    <row r="467">
      <c r="A467" s="4" t="s">
        <v>9979</v>
      </c>
      <c r="B467" s="13" t="s">
        <v>43</v>
      </c>
      <c r="D467" s="3"/>
      <c r="E467" s="3"/>
      <c r="F467" s="3"/>
      <c r="G467" s="3"/>
      <c r="H467" s="3"/>
      <c r="I467" s="3"/>
    </row>
    <row r="468">
      <c r="A468" s="4" t="s">
        <v>9980</v>
      </c>
      <c r="B468" s="13" t="s">
        <v>43</v>
      </c>
      <c r="D468" s="3"/>
      <c r="E468" s="3"/>
      <c r="F468" s="3"/>
      <c r="G468" s="3"/>
      <c r="H468" s="3"/>
      <c r="I468" s="3"/>
    </row>
    <row r="469">
      <c r="A469" s="4" t="s">
        <v>9981</v>
      </c>
      <c r="B469" s="13" t="s">
        <v>43</v>
      </c>
      <c r="D469" s="3"/>
      <c r="E469" s="3"/>
      <c r="F469" s="3"/>
      <c r="G469" s="3"/>
      <c r="H469" s="3"/>
      <c r="I469" s="3"/>
    </row>
    <row r="470">
      <c r="A470" s="4" t="s">
        <v>9982</v>
      </c>
      <c r="B470" s="13" t="s">
        <v>43</v>
      </c>
      <c r="D470" s="3"/>
      <c r="E470" s="3"/>
      <c r="F470" s="3"/>
      <c r="G470" s="3"/>
      <c r="H470" s="3"/>
      <c r="I470" s="3"/>
    </row>
    <row r="471">
      <c r="A471" s="4" t="s">
        <v>9983</v>
      </c>
      <c r="B471" s="13" t="s">
        <v>48</v>
      </c>
      <c r="C471" s="4">
        <v>1.0</v>
      </c>
      <c r="D471" s="3"/>
      <c r="E471" s="3"/>
      <c r="F471" s="3"/>
      <c r="G471" s="3"/>
      <c r="H471" s="4">
        <v>13.0</v>
      </c>
      <c r="I471" s="3"/>
    </row>
    <row r="472">
      <c r="A472" s="4" t="s">
        <v>9984</v>
      </c>
      <c r="B472" s="13" t="s">
        <v>48</v>
      </c>
      <c r="C472" s="4">
        <v>1.0</v>
      </c>
      <c r="D472" s="3"/>
      <c r="E472" s="3"/>
      <c r="F472" s="3"/>
      <c r="G472" s="3"/>
      <c r="H472" s="4">
        <v>13.0</v>
      </c>
      <c r="I472" s="3"/>
    </row>
    <row r="473">
      <c r="A473" s="4" t="s">
        <v>9985</v>
      </c>
      <c r="B473" s="13" t="s">
        <v>48</v>
      </c>
      <c r="C473" s="4">
        <v>2.0</v>
      </c>
      <c r="D473" s="3"/>
      <c r="E473" s="3"/>
      <c r="F473" s="4">
        <v>9.0</v>
      </c>
      <c r="G473" s="3"/>
      <c r="H473" s="4">
        <v>13.0</v>
      </c>
      <c r="I473" s="3"/>
    </row>
    <row r="474">
      <c r="A474" s="4" t="s">
        <v>9986</v>
      </c>
      <c r="B474" s="13" t="s">
        <v>48</v>
      </c>
      <c r="C474" s="4">
        <v>1.0</v>
      </c>
      <c r="D474" s="3"/>
      <c r="E474" s="3"/>
      <c r="F474" s="3"/>
      <c r="G474" s="3"/>
      <c r="H474" s="4">
        <v>13.0</v>
      </c>
      <c r="I474" s="3"/>
    </row>
    <row r="475">
      <c r="A475" s="4" t="s">
        <v>9987</v>
      </c>
      <c r="B475" s="13" t="s">
        <v>48</v>
      </c>
      <c r="C475" s="4">
        <v>1.0</v>
      </c>
      <c r="D475" s="3"/>
      <c r="E475" s="3"/>
      <c r="F475" s="3"/>
      <c r="G475" s="3"/>
      <c r="H475" s="4">
        <v>13.0</v>
      </c>
      <c r="I475" s="3"/>
      <c r="J475" s="4" t="s">
        <v>1757</v>
      </c>
    </row>
    <row r="476">
      <c r="A476" s="4" t="s">
        <v>9988</v>
      </c>
      <c r="B476" s="13" t="s">
        <v>48</v>
      </c>
      <c r="C476" s="4">
        <v>1.0</v>
      </c>
      <c r="D476" s="3"/>
      <c r="E476" s="3"/>
      <c r="F476" s="3"/>
      <c r="G476" s="3"/>
      <c r="H476" s="4">
        <v>13.0</v>
      </c>
      <c r="I476" s="3"/>
      <c r="J476" s="4" t="s">
        <v>1757</v>
      </c>
    </row>
    <row r="477">
      <c r="A477" s="4" t="s">
        <v>9989</v>
      </c>
      <c r="B477" s="13" t="s">
        <v>48</v>
      </c>
      <c r="C477" s="4">
        <v>1.0</v>
      </c>
      <c r="D477" s="3"/>
      <c r="E477" s="3"/>
      <c r="F477" s="3"/>
      <c r="G477" s="3"/>
      <c r="H477" s="4">
        <v>13.0</v>
      </c>
      <c r="I477" s="3"/>
      <c r="J477" s="4" t="s">
        <v>1757</v>
      </c>
    </row>
    <row r="478">
      <c r="A478" s="4" t="s">
        <v>9990</v>
      </c>
      <c r="B478" s="13" t="s">
        <v>48</v>
      </c>
      <c r="C478" s="4">
        <v>1.0</v>
      </c>
      <c r="D478" s="3"/>
      <c r="E478" s="3"/>
      <c r="F478" s="3"/>
      <c r="G478" s="3"/>
      <c r="H478" s="4">
        <v>13.0</v>
      </c>
      <c r="I478" s="3"/>
      <c r="J478" s="4" t="s">
        <v>1757</v>
      </c>
    </row>
    <row r="479">
      <c r="A479" s="4" t="s">
        <v>9991</v>
      </c>
      <c r="B479" s="13" t="s">
        <v>48</v>
      </c>
      <c r="C479" s="4">
        <v>1.0</v>
      </c>
      <c r="D479" s="3"/>
      <c r="E479" s="3"/>
      <c r="F479" s="3"/>
      <c r="G479" s="3"/>
      <c r="H479" s="4">
        <v>13.0</v>
      </c>
      <c r="I479" s="3"/>
      <c r="J479" s="4" t="s">
        <v>1757</v>
      </c>
    </row>
    <row r="480">
      <c r="A480" s="4" t="s">
        <v>9992</v>
      </c>
      <c r="B480" s="13" t="s">
        <v>48</v>
      </c>
      <c r="C480" s="4">
        <v>1.0</v>
      </c>
      <c r="D480" s="3"/>
      <c r="E480" s="3"/>
      <c r="F480" s="3"/>
      <c r="G480" s="3"/>
      <c r="H480" s="3"/>
      <c r="I480" s="4">
        <v>15.0</v>
      </c>
      <c r="J480" s="4" t="s">
        <v>1757</v>
      </c>
    </row>
    <row r="481">
      <c r="A481" s="4" t="s">
        <v>9993</v>
      </c>
      <c r="B481" s="13" t="s">
        <v>48</v>
      </c>
      <c r="C481" s="4">
        <v>1.0</v>
      </c>
      <c r="D481" s="3"/>
      <c r="E481" s="3"/>
      <c r="F481" s="3"/>
      <c r="G481" s="3"/>
      <c r="H481" s="3"/>
      <c r="I481" s="4">
        <v>15.0</v>
      </c>
      <c r="J481" s="4" t="s">
        <v>1757</v>
      </c>
    </row>
    <row r="482">
      <c r="A482" s="4" t="s">
        <v>9994</v>
      </c>
      <c r="B482" s="13" t="s">
        <v>48</v>
      </c>
      <c r="C482" s="4">
        <v>1.0</v>
      </c>
      <c r="D482" s="3"/>
      <c r="E482" s="3"/>
      <c r="F482" s="3"/>
      <c r="G482" s="3"/>
      <c r="H482" s="3"/>
      <c r="I482" s="4">
        <v>15.0</v>
      </c>
      <c r="J482" s="4" t="s">
        <v>1757</v>
      </c>
    </row>
    <row r="483">
      <c r="A483" s="4" t="s">
        <v>9995</v>
      </c>
      <c r="B483" s="13" t="s">
        <v>48</v>
      </c>
      <c r="C483" s="4">
        <v>1.0</v>
      </c>
      <c r="D483" s="3"/>
      <c r="E483" s="3"/>
      <c r="F483" s="3"/>
      <c r="G483" s="3"/>
      <c r="H483" s="3"/>
      <c r="I483" s="4">
        <v>15.0</v>
      </c>
      <c r="J483" s="4" t="s">
        <v>1757</v>
      </c>
    </row>
    <row r="484">
      <c r="A484" s="4" t="s">
        <v>9996</v>
      </c>
      <c r="B484" s="13" t="s">
        <v>43</v>
      </c>
      <c r="D484" s="3"/>
      <c r="E484" s="3"/>
      <c r="F484" s="3"/>
      <c r="G484" s="3"/>
      <c r="H484" s="3"/>
      <c r="I484" s="3"/>
    </row>
    <row r="485">
      <c r="A485" s="4" t="s">
        <v>9997</v>
      </c>
      <c r="B485" s="13" t="s">
        <v>48</v>
      </c>
      <c r="C485" s="4">
        <v>1.0</v>
      </c>
      <c r="D485" s="4">
        <v>1.0</v>
      </c>
      <c r="E485" s="3"/>
      <c r="F485" s="3"/>
      <c r="G485" s="3"/>
      <c r="H485" s="3"/>
      <c r="I485" s="3"/>
    </row>
    <row r="486">
      <c r="A486" s="4" t="s">
        <v>9998</v>
      </c>
      <c r="B486" s="13" t="s">
        <v>48</v>
      </c>
      <c r="C486" s="4">
        <v>1.0</v>
      </c>
      <c r="D486" s="4">
        <v>1.0</v>
      </c>
      <c r="E486" s="3"/>
      <c r="F486" s="3"/>
      <c r="G486" s="3"/>
      <c r="H486" s="3"/>
      <c r="I486" s="3"/>
    </row>
    <row r="487">
      <c r="A487" s="4" t="s">
        <v>9999</v>
      </c>
      <c r="B487" s="13" t="s">
        <v>48</v>
      </c>
      <c r="C487" s="4">
        <v>1.0</v>
      </c>
      <c r="D487" s="4">
        <v>1.0</v>
      </c>
      <c r="E487" s="3"/>
      <c r="F487" s="3"/>
      <c r="G487" s="3"/>
      <c r="H487" s="3"/>
      <c r="I487" s="3"/>
    </row>
    <row r="488">
      <c r="A488" s="4" t="s">
        <v>10000</v>
      </c>
      <c r="B488" s="13" t="s">
        <v>48</v>
      </c>
      <c r="C488" s="4">
        <v>1.0</v>
      </c>
      <c r="D488" s="4">
        <v>1.0</v>
      </c>
      <c r="E488" s="3"/>
      <c r="F488" s="3"/>
      <c r="G488" s="3"/>
      <c r="H488" s="3"/>
      <c r="I488" s="3"/>
    </row>
    <row r="489">
      <c r="A489" s="4" t="s">
        <v>10001</v>
      </c>
      <c r="B489" s="13" t="s">
        <v>48</v>
      </c>
      <c r="C489" s="4">
        <v>1.0</v>
      </c>
      <c r="D489" s="4">
        <v>1.0</v>
      </c>
      <c r="E489" s="3"/>
      <c r="F489" s="3"/>
      <c r="G489" s="3"/>
      <c r="H489" s="3"/>
      <c r="I489" s="3"/>
    </row>
    <row r="490">
      <c r="A490" s="4" t="s">
        <v>10002</v>
      </c>
      <c r="B490" s="13" t="s">
        <v>48</v>
      </c>
      <c r="C490" s="4">
        <v>1.0</v>
      </c>
      <c r="D490" s="4">
        <v>1.0</v>
      </c>
      <c r="E490" s="3"/>
      <c r="F490" s="3"/>
      <c r="G490" s="3"/>
      <c r="H490" s="3"/>
      <c r="I490" s="3"/>
    </row>
    <row r="491">
      <c r="A491" s="4" t="s">
        <v>10003</v>
      </c>
      <c r="B491" s="13" t="s">
        <v>43</v>
      </c>
      <c r="D491" s="3"/>
      <c r="E491" s="3"/>
      <c r="F491" s="3"/>
      <c r="G491" s="3"/>
      <c r="H491" s="3"/>
      <c r="I491" s="3"/>
    </row>
    <row r="492">
      <c r="A492" s="4" t="s">
        <v>10004</v>
      </c>
      <c r="B492" s="13" t="s">
        <v>48</v>
      </c>
      <c r="C492" s="4">
        <v>1.0</v>
      </c>
      <c r="D492" s="4">
        <v>1.0</v>
      </c>
      <c r="E492" s="3"/>
      <c r="F492" s="3"/>
      <c r="G492" s="3"/>
      <c r="H492" s="3"/>
      <c r="I492" s="3"/>
    </row>
    <row r="493">
      <c r="A493" s="4" t="s">
        <v>10005</v>
      </c>
      <c r="B493" s="13" t="s">
        <v>48</v>
      </c>
      <c r="C493" s="4">
        <v>1.0</v>
      </c>
      <c r="D493" s="4">
        <v>1.0</v>
      </c>
      <c r="E493" s="3"/>
      <c r="F493" s="3"/>
      <c r="G493" s="3"/>
      <c r="H493" s="3"/>
      <c r="I493" s="3"/>
    </row>
    <row r="494">
      <c r="A494" s="4" t="s">
        <v>10006</v>
      </c>
      <c r="B494" s="13" t="s">
        <v>48</v>
      </c>
      <c r="C494" s="4">
        <v>1.0</v>
      </c>
      <c r="D494" s="4">
        <v>1.0</v>
      </c>
      <c r="E494" s="3"/>
      <c r="F494" s="3"/>
      <c r="G494" s="3"/>
      <c r="H494" s="3"/>
      <c r="I494" s="3"/>
    </row>
    <row r="495">
      <c r="A495" s="4" t="s">
        <v>10007</v>
      </c>
      <c r="B495" s="13" t="s">
        <v>48</v>
      </c>
      <c r="C495" s="4">
        <v>1.0</v>
      </c>
      <c r="D495" s="4">
        <v>1.0</v>
      </c>
      <c r="E495" s="3"/>
      <c r="F495" s="3"/>
      <c r="G495" s="3"/>
      <c r="H495" s="3"/>
      <c r="I495" s="3"/>
      <c r="J495" s="4" t="s">
        <v>1757</v>
      </c>
    </row>
    <row r="496">
      <c r="A496" s="4" t="s">
        <v>10008</v>
      </c>
      <c r="B496" s="13" t="s">
        <v>48</v>
      </c>
      <c r="C496" s="4">
        <v>1.0</v>
      </c>
      <c r="D496" s="3"/>
      <c r="E496" s="3"/>
      <c r="F496" s="3"/>
      <c r="G496" s="3"/>
      <c r="H496" s="4">
        <v>13.0</v>
      </c>
      <c r="I496" s="3"/>
      <c r="J496" s="4" t="s">
        <v>1757</v>
      </c>
      <c r="K496" s="4" t="s">
        <v>1757</v>
      </c>
    </row>
    <row r="497">
      <c r="A497" s="4" t="s">
        <v>10009</v>
      </c>
      <c r="B497" s="13" t="s">
        <v>48</v>
      </c>
      <c r="C497" s="4">
        <v>2.0</v>
      </c>
      <c r="D497" s="3"/>
      <c r="E497" s="4">
        <v>2.0</v>
      </c>
      <c r="F497" s="3"/>
      <c r="G497" s="3"/>
      <c r="H497" s="4">
        <v>13.0</v>
      </c>
      <c r="I497" s="3"/>
      <c r="J497" s="4" t="s">
        <v>1757</v>
      </c>
      <c r="K497" s="4" t="s">
        <v>1757</v>
      </c>
    </row>
    <row r="498">
      <c r="A498" s="4" t="s">
        <v>10010</v>
      </c>
      <c r="B498" s="13" t="s">
        <v>48</v>
      </c>
      <c r="C498" s="4">
        <v>2.0</v>
      </c>
      <c r="D498" s="3"/>
      <c r="E498" s="4">
        <v>2.0</v>
      </c>
      <c r="F498" s="3"/>
      <c r="G498" s="3"/>
      <c r="H498" s="4">
        <v>13.0</v>
      </c>
      <c r="I498" s="3"/>
      <c r="J498" s="4" t="s">
        <v>1757</v>
      </c>
    </row>
    <row r="499">
      <c r="A499" s="4" t="s">
        <v>10011</v>
      </c>
      <c r="B499" s="13" t="s">
        <v>48</v>
      </c>
      <c r="C499" s="4">
        <v>1.0</v>
      </c>
      <c r="D499" s="3"/>
      <c r="E499" s="4">
        <v>2.0</v>
      </c>
      <c r="F499" s="3"/>
      <c r="G499" s="3"/>
      <c r="H499" s="3"/>
      <c r="I499" s="3"/>
    </row>
    <row r="500">
      <c r="A500" s="4" t="s">
        <v>10012</v>
      </c>
      <c r="B500" s="13" t="s">
        <v>48</v>
      </c>
      <c r="C500" s="4">
        <v>1.0</v>
      </c>
      <c r="D500" s="3"/>
      <c r="E500" s="4">
        <v>2.0</v>
      </c>
      <c r="F500" s="3"/>
      <c r="G500" s="3"/>
      <c r="H500" s="3"/>
      <c r="I500" s="3"/>
    </row>
    <row r="501">
      <c r="A501" s="4" t="s">
        <v>10013</v>
      </c>
      <c r="B501" s="13" t="s">
        <v>48</v>
      </c>
      <c r="C501" s="4">
        <v>1.0</v>
      </c>
      <c r="D501" s="3"/>
      <c r="E501" s="4">
        <v>2.0</v>
      </c>
      <c r="F501" s="3"/>
      <c r="G501" s="3"/>
      <c r="H501" s="3"/>
      <c r="I501" s="3"/>
    </row>
    <row r="502">
      <c r="A502" s="4" t="s">
        <v>10014</v>
      </c>
      <c r="B502" s="13" t="s">
        <v>48</v>
      </c>
      <c r="C502" s="4">
        <v>2.0</v>
      </c>
      <c r="D502" s="3"/>
      <c r="E502" s="4">
        <v>2.0</v>
      </c>
      <c r="F502" s="3"/>
      <c r="G502" s="3"/>
      <c r="H502" s="4">
        <v>13.0</v>
      </c>
      <c r="I502" s="3"/>
      <c r="J502" s="4" t="s">
        <v>1757</v>
      </c>
    </row>
    <row r="503">
      <c r="A503" s="4" t="s">
        <v>10015</v>
      </c>
      <c r="B503" s="13" t="s">
        <v>48</v>
      </c>
      <c r="C503" s="4">
        <v>2.0</v>
      </c>
      <c r="D503" s="3"/>
      <c r="E503" s="3"/>
      <c r="F503" s="4">
        <v>9.0</v>
      </c>
      <c r="G503" s="3"/>
      <c r="H503" s="4">
        <v>13.0</v>
      </c>
      <c r="I503" s="3"/>
      <c r="J503" s="4" t="s">
        <v>1757</v>
      </c>
    </row>
    <row r="504">
      <c r="A504" s="4" t="s">
        <v>10016</v>
      </c>
      <c r="B504" s="13" t="s">
        <v>48</v>
      </c>
      <c r="C504" s="4">
        <v>1.0</v>
      </c>
      <c r="D504" s="4">
        <v>1.0</v>
      </c>
      <c r="E504" s="3"/>
      <c r="F504" s="3"/>
      <c r="G504" s="3"/>
      <c r="H504" s="3"/>
      <c r="I504" s="3"/>
      <c r="J504" s="4" t="s">
        <v>1757</v>
      </c>
    </row>
    <row r="505">
      <c r="A505" s="4" t="s">
        <v>10017</v>
      </c>
      <c r="B505" s="13" t="s">
        <v>48</v>
      </c>
      <c r="C505" s="4">
        <v>1.0</v>
      </c>
      <c r="D505" s="4">
        <v>1.0</v>
      </c>
      <c r="E505" s="3"/>
      <c r="F505" s="3"/>
      <c r="G505" s="3"/>
      <c r="H505" s="3"/>
      <c r="I505" s="3"/>
      <c r="J505" s="4" t="s">
        <v>1757</v>
      </c>
    </row>
    <row r="506">
      <c r="A506" s="4" t="s">
        <v>10018</v>
      </c>
      <c r="B506" s="13" t="s">
        <v>48</v>
      </c>
      <c r="C506" s="4">
        <v>1.0</v>
      </c>
      <c r="D506" s="4">
        <v>1.0</v>
      </c>
      <c r="E506" s="3"/>
      <c r="F506" s="3"/>
      <c r="G506" s="3"/>
      <c r="H506" s="3"/>
      <c r="I506" s="3"/>
    </row>
    <row r="507">
      <c r="A507" s="4" t="s">
        <v>10019</v>
      </c>
      <c r="B507" s="13" t="s">
        <v>48</v>
      </c>
      <c r="C507" s="4">
        <v>1.0</v>
      </c>
      <c r="D507" s="4">
        <v>1.0</v>
      </c>
      <c r="E507" s="3"/>
      <c r="F507" s="3"/>
      <c r="G507" s="3"/>
      <c r="H507" s="3"/>
      <c r="I507" s="3"/>
    </row>
    <row r="508">
      <c r="A508" s="4" t="s">
        <v>10020</v>
      </c>
      <c r="B508" s="13" t="s">
        <v>48</v>
      </c>
      <c r="C508" s="4">
        <v>1.0</v>
      </c>
      <c r="D508" s="4">
        <v>1.0</v>
      </c>
      <c r="E508" s="3"/>
      <c r="F508" s="3"/>
      <c r="G508" s="3"/>
      <c r="H508" s="3"/>
      <c r="I508" s="3"/>
    </row>
    <row r="509">
      <c r="A509" s="4" t="s">
        <v>10021</v>
      </c>
      <c r="B509" s="13" t="s">
        <v>48</v>
      </c>
      <c r="C509" s="4">
        <v>1.0</v>
      </c>
      <c r="D509" s="4">
        <v>1.0</v>
      </c>
      <c r="E509" s="3"/>
      <c r="F509" s="3"/>
      <c r="G509" s="3"/>
      <c r="H509" s="3"/>
      <c r="I509" s="3"/>
    </row>
    <row r="510">
      <c r="A510" s="4" t="s">
        <v>10022</v>
      </c>
      <c r="B510" s="13" t="s">
        <v>48</v>
      </c>
      <c r="C510" s="4">
        <v>1.0</v>
      </c>
      <c r="D510" s="4">
        <v>1.0</v>
      </c>
      <c r="E510" s="3"/>
      <c r="F510" s="3"/>
      <c r="G510" s="3"/>
      <c r="H510" s="3"/>
      <c r="I510" s="3"/>
      <c r="J510" s="4" t="s">
        <v>1757</v>
      </c>
    </row>
    <row r="511">
      <c r="A511" s="4" t="s">
        <v>10023</v>
      </c>
      <c r="B511" s="13" t="s">
        <v>43</v>
      </c>
      <c r="D511" s="3"/>
      <c r="E511" s="3"/>
      <c r="F511" s="3"/>
      <c r="G511" s="3"/>
      <c r="H511" s="3"/>
      <c r="I511" s="3"/>
      <c r="J511" s="4" t="s">
        <v>1757</v>
      </c>
    </row>
    <row r="512">
      <c r="A512" s="4" t="s">
        <v>10024</v>
      </c>
      <c r="B512" s="13" t="s">
        <v>43</v>
      </c>
      <c r="D512" s="3"/>
      <c r="E512" s="3"/>
      <c r="F512" s="3"/>
      <c r="G512" s="3"/>
      <c r="H512" s="3"/>
      <c r="I512" s="3"/>
      <c r="J512" s="4" t="s">
        <v>1757</v>
      </c>
    </row>
    <row r="513">
      <c r="A513" s="4" t="s">
        <v>10025</v>
      </c>
      <c r="B513" s="13" t="s">
        <v>43</v>
      </c>
      <c r="D513" s="3"/>
      <c r="E513" s="3"/>
      <c r="F513" s="3"/>
      <c r="G513" s="3"/>
      <c r="H513" s="3"/>
      <c r="I513" s="3"/>
      <c r="J513" s="4" t="s">
        <v>1757</v>
      </c>
    </row>
    <row r="514">
      <c r="A514" s="4" t="s">
        <v>10026</v>
      </c>
      <c r="B514" s="13" t="s">
        <v>43</v>
      </c>
      <c r="D514" s="3"/>
      <c r="E514" s="3"/>
      <c r="F514" s="3"/>
      <c r="G514" s="3"/>
      <c r="H514" s="3"/>
      <c r="I514" s="3"/>
      <c r="J514" s="4" t="s">
        <v>1757</v>
      </c>
    </row>
    <row r="515">
      <c r="A515" s="4" t="s">
        <v>10027</v>
      </c>
      <c r="B515" s="13" t="s">
        <v>43</v>
      </c>
      <c r="D515" s="3"/>
      <c r="E515" s="3"/>
      <c r="F515" s="3"/>
      <c r="G515" s="3"/>
      <c r="H515" s="3"/>
      <c r="I515" s="3"/>
      <c r="J515" s="4" t="s">
        <v>1757</v>
      </c>
    </row>
    <row r="516">
      <c r="A516" s="4" t="s">
        <v>10028</v>
      </c>
      <c r="B516" s="13" t="s">
        <v>48</v>
      </c>
      <c r="C516" s="4">
        <v>1.0</v>
      </c>
      <c r="D516" s="3"/>
      <c r="E516" s="3"/>
      <c r="F516" s="3"/>
      <c r="G516" s="3"/>
      <c r="H516" s="4">
        <v>13.0</v>
      </c>
      <c r="I516" s="3"/>
      <c r="J516" s="4" t="s">
        <v>1757</v>
      </c>
    </row>
    <row r="517">
      <c r="A517" s="4" t="s">
        <v>10029</v>
      </c>
      <c r="B517" s="13" t="s">
        <v>48</v>
      </c>
      <c r="C517" s="4">
        <v>1.0</v>
      </c>
      <c r="D517" s="3"/>
      <c r="E517" s="3"/>
      <c r="F517" s="3"/>
      <c r="G517" s="3"/>
      <c r="H517" s="4">
        <v>13.0</v>
      </c>
      <c r="I517" s="3"/>
      <c r="J517" s="4" t="s">
        <v>1757</v>
      </c>
    </row>
    <row r="518">
      <c r="A518" s="4" t="s">
        <v>10030</v>
      </c>
      <c r="B518" s="13" t="s">
        <v>48</v>
      </c>
      <c r="C518" s="4">
        <v>1.0</v>
      </c>
      <c r="D518" s="3"/>
      <c r="E518" s="3"/>
      <c r="F518" s="3"/>
      <c r="G518" s="3"/>
      <c r="H518" s="4">
        <v>13.0</v>
      </c>
      <c r="I518" s="3"/>
      <c r="J518" s="4" t="s">
        <v>1757</v>
      </c>
    </row>
    <row r="519">
      <c r="A519" s="4" t="s">
        <v>10031</v>
      </c>
      <c r="B519" s="13" t="s">
        <v>48</v>
      </c>
      <c r="C519" s="4">
        <v>1.0</v>
      </c>
      <c r="D519" s="3"/>
      <c r="E519" s="3"/>
      <c r="F519" s="3"/>
      <c r="G519" s="3"/>
      <c r="H519" s="4">
        <v>13.0</v>
      </c>
      <c r="I519" s="3"/>
    </row>
    <row r="520">
      <c r="A520" s="4" t="s">
        <v>10032</v>
      </c>
      <c r="B520" s="13" t="s">
        <v>48</v>
      </c>
      <c r="C520" s="4">
        <v>1.0</v>
      </c>
      <c r="D520" s="3"/>
      <c r="E520" s="3"/>
      <c r="F520" s="3"/>
      <c r="G520" s="3"/>
      <c r="H520" s="4">
        <v>13.0</v>
      </c>
      <c r="I520" s="3"/>
    </row>
    <row r="521">
      <c r="A521" s="4" t="s">
        <v>10033</v>
      </c>
      <c r="B521" s="13" t="s">
        <v>48</v>
      </c>
      <c r="C521" s="4">
        <v>1.0</v>
      </c>
      <c r="D521" s="3"/>
      <c r="E521" s="3"/>
      <c r="F521" s="3"/>
      <c r="G521" s="3"/>
      <c r="H521" s="4">
        <v>13.0</v>
      </c>
      <c r="I521" s="3"/>
    </row>
    <row r="522">
      <c r="A522" s="4" t="s">
        <v>10034</v>
      </c>
      <c r="B522" s="13" t="s">
        <v>43</v>
      </c>
      <c r="D522" s="3"/>
      <c r="E522" s="3"/>
      <c r="F522" s="3"/>
      <c r="G522" s="3"/>
      <c r="H522" s="3"/>
      <c r="I522" s="3"/>
    </row>
    <row r="523">
      <c r="A523" s="4" t="s">
        <v>10035</v>
      </c>
      <c r="B523" s="13" t="s">
        <v>48</v>
      </c>
      <c r="C523" s="4">
        <v>1.0</v>
      </c>
      <c r="D523" s="3"/>
      <c r="E523" s="4">
        <v>2.0</v>
      </c>
      <c r="F523" s="3"/>
      <c r="G523" s="3"/>
      <c r="H523" s="3"/>
      <c r="I523" s="3"/>
    </row>
    <row r="524">
      <c r="A524" s="4" t="s">
        <v>10036</v>
      </c>
      <c r="B524" s="13" t="s">
        <v>48</v>
      </c>
      <c r="C524" s="4">
        <v>1.0</v>
      </c>
      <c r="D524" s="3"/>
      <c r="E524" s="4">
        <v>2.0</v>
      </c>
      <c r="F524" s="3"/>
      <c r="G524" s="3"/>
      <c r="H524" s="3"/>
      <c r="I524" s="3"/>
    </row>
    <row r="525">
      <c r="A525" s="4" t="s">
        <v>10037</v>
      </c>
      <c r="B525" s="13" t="s">
        <v>48</v>
      </c>
      <c r="C525" s="4">
        <v>1.0</v>
      </c>
      <c r="D525" s="3"/>
      <c r="E525" s="4">
        <v>2.0</v>
      </c>
      <c r="F525" s="3"/>
      <c r="G525" s="3"/>
      <c r="H525" s="3"/>
      <c r="I525" s="3"/>
    </row>
    <row r="526">
      <c r="A526" s="4" t="s">
        <v>10038</v>
      </c>
      <c r="B526" s="13" t="s">
        <v>48</v>
      </c>
      <c r="C526" s="4">
        <v>1.0</v>
      </c>
      <c r="D526" s="3"/>
      <c r="E526" s="4">
        <v>2.0</v>
      </c>
      <c r="F526" s="3"/>
      <c r="G526" s="3"/>
      <c r="H526" s="3"/>
      <c r="I526" s="3"/>
    </row>
    <row r="527">
      <c r="A527" s="4" t="s">
        <v>10039</v>
      </c>
      <c r="B527" s="13" t="s">
        <v>48</v>
      </c>
      <c r="C527" s="4">
        <v>1.0</v>
      </c>
      <c r="D527" s="3"/>
      <c r="E527" s="4">
        <v>2.0</v>
      </c>
      <c r="F527" s="3"/>
      <c r="G527" s="3"/>
      <c r="H527" s="3"/>
      <c r="I527" s="3"/>
    </row>
    <row r="528">
      <c r="A528" s="4" t="s">
        <v>10040</v>
      </c>
      <c r="B528" s="13" t="s">
        <v>48</v>
      </c>
      <c r="C528" s="4">
        <v>1.0</v>
      </c>
      <c r="D528" s="3"/>
      <c r="E528" s="4">
        <v>2.0</v>
      </c>
      <c r="F528" s="3"/>
      <c r="G528" s="3"/>
      <c r="H528" s="3"/>
      <c r="I528" s="3"/>
    </row>
    <row r="529">
      <c r="A529" s="4" t="s">
        <v>10041</v>
      </c>
      <c r="B529" s="13" t="s">
        <v>48</v>
      </c>
      <c r="C529" s="4">
        <v>1.0</v>
      </c>
      <c r="D529" s="3"/>
      <c r="E529" s="4">
        <v>2.0</v>
      </c>
      <c r="F529" s="3"/>
      <c r="G529" s="3"/>
      <c r="H529" s="3"/>
      <c r="I529" s="3"/>
    </row>
    <row r="530">
      <c r="A530" s="4" t="s">
        <v>10042</v>
      </c>
      <c r="B530" s="13" t="s">
        <v>48</v>
      </c>
      <c r="C530" s="4">
        <v>1.0</v>
      </c>
      <c r="D530" s="3"/>
      <c r="E530" s="4">
        <v>2.0</v>
      </c>
      <c r="F530" s="3"/>
      <c r="G530" s="3"/>
      <c r="H530" s="3"/>
      <c r="I530" s="3"/>
    </row>
    <row r="531">
      <c r="A531" s="4" t="s">
        <v>10043</v>
      </c>
      <c r="B531" s="13" t="s">
        <v>48</v>
      </c>
      <c r="C531" s="4">
        <v>1.0</v>
      </c>
      <c r="D531" s="3"/>
      <c r="E531" s="4">
        <v>2.0</v>
      </c>
      <c r="F531" s="3"/>
      <c r="G531" s="3"/>
      <c r="H531" s="3"/>
      <c r="I531" s="3"/>
    </row>
    <row r="532">
      <c r="A532" s="4" t="s">
        <v>10044</v>
      </c>
      <c r="B532" s="13" t="s">
        <v>48</v>
      </c>
      <c r="C532" s="4">
        <v>1.0</v>
      </c>
      <c r="D532" s="3"/>
      <c r="E532" s="4">
        <v>2.0</v>
      </c>
      <c r="F532" s="3"/>
      <c r="G532" s="3"/>
      <c r="H532" s="3"/>
      <c r="I532" s="3"/>
    </row>
    <row r="533">
      <c r="A533" s="4" t="s">
        <v>10045</v>
      </c>
      <c r="B533" s="13" t="s">
        <v>48</v>
      </c>
      <c r="C533" s="4">
        <v>1.0</v>
      </c>
      <c r="D533" s="3"/>
      <c r="E533" s="4">
        <v>2.0</v>
      </c>
      <c r="F533" s="3"/>
      <c r="G533" s="3"/>
      <c r="H533" s="3"/>
      <c r="I533" s="3"/>
    </row>
    <row r="534">
      <c r="A534" s="4" t="s">
        <v>10046</v>
      </c>
      <c r="B534" s="13" t="s">
        <v>43</v>
      </c>
      <c r="D534" s="3"/>
      <c r="E534" s="3"/>
      <c r="F534" s="3"/>
      <c r="G534" s="3"/>
      <c r="H534" s="3"/>
      <c r="I534" s="3"/>
    </row>
    <row r="535">
      <c r="A535" s="4" t="s">
        <v>10047</v>
      </c>
      <c r="B535" s="13" t="s">
        <v>48</v>
      </c>
      <c r="C535" s="4">
        <v>1.0</v>
      </c>
      <c r="D535" s="3"/>
      <c r="E535" s="4">
        <v>2.0</v>
      </c>
      <c r="F535" s="3"/>
      <c r="G535" s="3"/>
      <c r="H535" s="3"/>
      <c r="I535" s="3"/>
    </row>
    <row r="536">
      <c r="A536" s="4" t="s">
        <v>10048</v>
      </c>
      <c r="B536" s="13" t="s">
        <v>43</v>
      </c>
      <c r="D536" s="3"/>
      <c r="E536" s="3"/>
      <c r="F536" s="3"/>
      <c r="G536" s="3"/>
      <c r="H536" s="3"/>
      <c r="I536" s="3"/>
    </row>
    <row r="537">
      <c r="A537" s="4" t="s">
        <v>10049</v>
      </c>
      <c r="B537" s="13" t="s">
        <v>43</v>
      </c>
      <c r="D537" s="3"/>
      <c r="E537" s="3"/>
      <c r="F537" s="3"/>
      <c r="G537" s="3"/>
      <c r="H537" s="3"/>
      <c r="I537" s="3"/>
      <c r="J537" s="4" t="s">
        <v>1757</v>
      </c>
    </row>
    <row r="538">
      <c r="A538" s="4" t="s">
        <v>10050</v>
      </c>
      <c r="B538" s="13" t="s">
        <v>48</v>
      </c>
      <c r="C538" s="4">
        <v>1.0</v>
      </c>
      <c r="D538" s="3"/>
      <c r="E538" s="3"/>
      <c r="F538" s="3"/>
      <c r="G538" s="3"/>
      <c r="H538" s="4">
        <v>13.0</v>
      </c>
      <c r="I538" s="3"/>
      <c r="J538" s="4" t="s">
        <v>1757</v>
      </c>
    </row>
    <row r="539">
      <c r="A539" s="4" t="s">
        <v>10051</v>
      </c>
      <c r="B539" s="13" t="s">
        <v>48</v>
      </c>
      <c r="C539" s="4">
        <v>1.0</v>
      </c>
      <c r="D539" s="3"/>
      <c r="E539" s="3"/>
      <c r="F539" s="3"/>
      <c r="G539" s="3"/>
      <c r="H539" s="4">
        <v>13.0</v>
      </c>
      <c r="I539" s="3"/>
      <c r="J539" s="4" t="s">
        <v>1757</v>
      </c>
    </row>
    <row r="540">
      <c r="A540" s="4" t="s">
        <v>10052</v>
      </c>
      <c r="B540" s="13" t="s">
        <v>48</v>
      </c>
      <c r="C540" s="4">
        <v>1.0</v>
      </c>
      <c r="D540" s="3"/>
      <c r="E540" s="3"/>
      <c r="F540" s="3"/>
      <c r="G540" s="3"/>
      <c r="H540" s="4">
        <v>13.0</v>
      </c>
      <c r="I540" s="3"/>
      <c r="J540" s="4" t="s">
        <v>1757</v>
      </c>
    </row>
    <row r="541">
      <c r="A541" s="4" t="s">
        <v>10053</v>
      </c>
      <c r="B541" s="13" t="s">
        <v>48</v>
      </c>
      <c r="C541" s="4">
        <v>1.0</v>
      </c>
      <c r="D541" s="3"/>
      <c r="E541" s="3"/>
      <c r="F541" s="3"/>
      <c r="G541" s="3"/>
      <c r="H541" s="4">
        <v>13.0</v>
      </c>
      <c r="I541" s="3"/>
      <c r="J541" s="4" t="s">
        <v>1757</v>
      </c>
    </row>
    <row r="542">
      <c r="A542" s="4" t="s">
        <v>10054</v>
      </c>
      <c r="B542" s="13" t="s">
        <v>48</v>
      </c>
      <c r="C542" s="4">
        <v>1.0</v>
      </c>
      <c r="D542" s="3"/>
      <c r="E542" s="3"/>
      <c r="F542" s="3"/>
      <c r="G542" s="3"/>
      <c r="H542" s="4">
        <v>13.0</v>
      </c>
      <c r="I542" s="3"/>
      <c r="J542" s="4" t="s">
        <v>1757</v>
      </c>
    </row>
    <row r="543">
      <c r="A543" s="4" t="s">
        <v>10055</v>
      </c>
      <c r="B543" s="13" t="s">
        <v>48</v>
      </c>
      <c r="C543" s="4">
        <v>1.0</v>
      </c>
      <c r="D543" s="3"/>
      <c r="E543" s="3"/>
      <c r="F543" s="3"/>
      <c r="G543" s="3"/>
      <c r="H543" s="4">
        <v>13.0</v>
      </c>
      <c r="I543" s="3"/>
      <c r="J543" s="4" t="s">
        <v>1757</v>
      </c>
    </row>
    <row r="544">
      <c r="A544" s="4" t="s">
        <v>10056</v>
      </c>
      <c r="B544" s="13" t="s">
        <v>48</v>
      </c>
      <c r="C544" s="4">
        <v>1.0</v>
      </c>
      <c r="D544" s="3"/>
      <c r="E544" s="3"/>
      <c r="F544" s="3"/>
      <c r="G544" s="3"/>
      <c r="H544" s="4">
        <v>13.0</v>
      </c>
      <c r="I544" s="3"/>
      <c r="J544" s="4" t="s">
        <v>1757</v>
      </c>
    </row>
    <row r="545">
      <c r="A545" s="4" t="s">
        <v>10057</v>
      </c>
      <c r="B545" s="13" t="s">
        <v>48</v>
      </c>
      <c r="C545" s="4">
        <v>1.0</v>
      </c>
      <c r="D545" s="3"/>
      <c r="E545" s="3"/>
      <c r="F545" s="3"/>
      <c r="G545" s="3"/>
      <c r="H545" s="4">
        <v>13.0</v>
      </c>
      <c r="I545" s="3"/>
      <c r="J545" s="4" t="s">
        <v>1757</v>
      </c>
    </row>
    <row r="546">
      <c r="A546" s="4" t="s">
        <v>10058</v>
      </c>
      <c r="B546" s="13" t="s">
        <v>43</v>
      </c>
      <c r="D546" s="3"/>
      <c r="E546" s="3"/>
      <c r="F546" s="3"/>
      <c r="G546" s="3"/>
      <c r="H546" s="3"/>
      <c r="I546" s="3"/>
      <c r="J546" s="4" t="s">
        <v>1757</v>
      </c>
    </row>
    <row r="547">
      <c r="A547" s="4" t="s">
        <v>10059</v>
      </c>
      <c r="B547" s="13" t="s">
        <v>43</v>
      </c>
      <c r="D547" s="3"/>
      <c r="E547" s="3"/>
      <c r="F547" s="3"/>
      <c r="G547" s="3"/>
      <c r="H547" s="3"/>
      <c r="I547" s="3"/>
      <c r="J547" s="4" t="s">
        <v>1757</v>
      </c>
    </row>
    <row r="548">
      <c r="A548" s="4" t="s">
        <v>10060</v>
      </c>
      <c r="B548" s="13" t="s">
        <v>43</v>
      </c>
      <c r="D548" s="3"/>
      <c r="E548" s="3"/>
      <c r="F548" s="3"/>
      <c r="G548" s="3"/>
      <c r="H548" s="3"/>
      <c r="I548" s="3"/>
      <c r="J548" s="4" t="s">
        <v>1757</v>
      </c>
    </row>
    <row r="549">
      <c r="A549" s="4" t="s">
        <v>10061</v>
      </c>
      <c r="B549" s="13" t="s">
        <v>43</v>
      </c>
      <c r="D549" s="3"/>
      <c r="E549" s="3"/>
      <c r="F549" s="3"/>
      <c r="G549" s="3"/>
      <c r="H549" s="3"/>
      <c r="I549" s="3"/>
      <c r="J549" s="4" t="s">
        <v>1757</v>
      </c>
    </row>
    <row r="550">
      <c r="A550" s="4" t="s">
        <v>10062</v>
      </c>
      <c r="B550" s="13" t="s">
        <v>43</v>
      </c>
      <c r="D550" s="3"/>
      <c r="E550" s="3"/>
      <c r="F550" s="3"/>
      <c r="G550" s="3"/>
      <c r="H550" s="3"/>
      <c r="I550" s="3"/>
      <c r="J550" s="4" t="s">
        <v>1757</v>
      </c>
    </row>
    <row r="551">
      <c r="A551" s="4" t="s">
        <v>10063</v>
      </c>
      <c r="B551" s="13" t="s">
        <v>43</v>
      </c>
      <c r="D551" s="3"/>
      <c r="E551" s="3"/>
      <c r="F551" s="3"/>
      <c r="G551" s="3"/>
      <c r="H551" s="3"/>
      <c r="I551" s="3"/>
      <c r="J551" s="4" t="s">
        <v>1757</v>
      </c>
    </row>
    <row r="552">
      <c r="A552" s="4" t="s">
        <v>10064</v>
      </c>
      <c r="B552" s="13" t="s">
        <v>43</v>
      </c>
      <c r="D552" s="3"/>
      <c r="E552" s="3"/>
      <c r="F552" s="3"/>
      <c r="G552" s="3"/>
      <c r="H552" s="3"/>
      <c r="I552" s="3"/>
      <c r="J552" s="4" t="s">
        <v>1757</v>
      </c>
    </row>
    <row r="553">
      <c r="A553" s="4" t="s">
        <v>10065</v>
      </c>
      <c r="B553" s="13" t="s">
        <v>48</v>
      </c>
      <c r="C553" s="4">
        <v>1.0</v>
      </c>
      <c r="D553" s="4">
        <v>1.0</v>
      </c>
      <c r="E553" s="3"/>
      <c r="F553" s="3"/>
      <c r="G553" s="3"/>
      <c r="H553" s="3"/>
      <c r="I553" s="3"/>
      <c r="J553" s="4" t="s">
        <v>1757</v>
      </c>
    </row>
    <row r="554">
      <c r="A554" s="4" t="s">
        <v>10066</v>
      </c>
      <c r="B554" s="13" t="s">
        <v>48</v>
      </c>
      <c r="C554" s="4">
        <v>1.0</v>
      </c>
      <c r="D554" s="4">
        <v>1.0</v>
      </c>
      <c r="E554" s="3"/>
      <c r="F554" s="3"/>
      <c r="G554" s="3"/>
      <c r="H554" s="3"/>
      <c r="I554" s="3"/>
    </row>
    <row r="555">
      <c r="A555" s="4" t="s">
        <v>10067</v>
      </c>
      <c r="B555" s="13" t="s">
        <v>48</v>
      </c>
      <c r="C555" s="4">
        <v>1.0</v>
      </c>
      <c r="D555" s="4">
        <v>1.0</v>
      </c>
      <c r="E555" s="3"/>
      <c r="F555" s="3"/>
      <c r="G555" s="3"/>
      <c r="H555" s="3"/>
      <c r="I555" s="3"/>
    </row>
    <row r="556">
      <c r="A556" s="4" t="s">
        <v>10068</v>
      </c>
      <c r="B556" s="13" t="s">
        <v>48</v>
      </c>
      <c r="C556" s="4">
        <v>1.0</v>
      </c>
      <c r="D556" s="4">
        <v>1.0</v>
      </c>
      <c r="E556" s="3"/>
      <c r="F556" s="3"/>
      <c r="G556" s="3"/>
      <c r="H556" s="3"/>
      <c r="I556" s="3"/>
    </row>
    <row r="557">
      <c r="A557" s="4" t="s">
        <v>10069</v>
      </c>
      <c r="B557" s="13" t="s">
        <v>48</v>
      </c>
      <c r="C557" s="4">
        <v>1.0</v>
      </c>
      <c r="D557" s="4">
        <v>1.0</v>
      </c>
      <c r="E557" s="3"/>
      <c r="F557" s="3"/>
      <c r="G557" s="3"/>
      <c r="H557" s="3"/>
      <c r="I557" s="3"/>
    </row>
    <row r="558">
      <c r="A558" s="4" t="s">
        <v>10070</v>
      </c>
      <c r="B558" s="13" t="s">
        <v>48</v>
      </c>
      <c r="C558" s="4">
        <v>1.0</v>
      </c>
      <c r="D558" s="4">
        <v>1.0</v>
      </c>
      <c r="E558" s="3"/>
      <c r="F558" s="3"/>
      <c r="G558" s="3"/>
      <c r="H558" s="3"/>
      <c r="I558" s="3"/>
    </row>
    <row r="559">
      <c r="A559" s="4" t="s">
        <v>10071</v>
      </c>
      <c r="B559" s="13" t="s">
        <v>48</v>
      </c>
      <c r="C559" s="4">
        <v>1.0</v>
      </c>
      <c r="D559" s="4">
        <v>1.0</v>
      </c>
      <c r="E559" s="3"/>
      <c r="F559" s="3"/>
      <c r="G559" s="3"/>
      <c r="H559" s="3"/>
      <c r="I559" s="3"/>
    </row>
    <row r="560">
      <c r="A560" s="4" t="s">
        <v>10072</v>
      </c>
      <c r="B560" s="13" t="s">
        <v>48</v>
      </c>
      <c r="C560" s="4">
        <v>1.0</v>
      </c>
      <c r="D560" s="4">
        <v>1.0</v>
      </c>
      <c r="E560" s="3"/>
      <c r="F560" s="3"/>
      <c r="G560" s="3"/>
      <c r="H560" s="3"/>
      <c r="I560" s="3"/>
    </row>
    <row r="561">
      <c r="A561" s="4" t="s">
        <v>10073</v>
      </c>
      <c r="B561" s="13" t="s">
        <v>48</v>
      </c>
      <c r="C561" s="4">
        <v>1.0</v>
      </c>
      <c r="D561" s="4">
        <v>1.0</v>
      </c>
      <c r="E561" s="3"/>
      <c r="F561" s="3"/>
      <c r="G561" s="3"/>
      <c r="H561" s="3"/>
      <c r="I561" s="3"/>
    </row>
    <row r="562">
      <c r="A562" s="4" t="s">
        <v>10074</v>
      </c>
      <c r="B562" s="13" t="s">
        <v>48</v>
      </c>
      <c r="C562" s="4">
        <v>1.0</v>
      </c>
      <c r="D562" s="4">
        <v>1.0</v>
      </c>
      <c r="E562" s="3"/>
      <c r="F562" s="3"/>
      <c r="G562" s="3"/>
      <c r="H562" s="3"/>
      <c r="I562" s="3"/>
    </row>
    <row r="563">
      <c r="A563" s="4" t="s">
        <v>10075</v>
      </c>
      <c r="B563" s="13" t="s">
        <v>48</v>
      </c>
      <c r="C563" s="4">
        <v>1.0</v>
      </c>
      <c r="D563" s="4">
        <v>1.0</v>
      </c>
      <c r="E563" s="3"/>
      <c r="F563" s="3"/>
      <c r="G563" s="3"/>
      <c r="H563" s="3"/>
      <c r="I563" s="3"/>
    </row>
    <row r="564">
      <c r="A564" s="4" t="s">
        <v>10076</v>
      </c>
      <c r="B564" s="13" t="s">
        <v>48</v>
      </c>
      <c r="C564" s="4">
        <v>1.0</v>
      </c>
      <c r="D564" s="4">
        <v>1.0</v>
      </c>
      <c r="E564" s="3"/>
      <c r="F564" s="3"/>
      <c r="G564" s="3"/>
      <c r="H564" s="3"/>
      <c r="I564" s="3"/>
    </row>
    <row r="565">
      <c r="A565" s="4" t="s">
        <v>10077</v>
      </c>
      <c r="B565" s="13" t="s">
        <v>48</v>
      </c>
      <c r="C565" s="4">
        <v>1.0</v>
      </c>
      <c r="D565" s="4">
        <v>1.0</v>
      </c>
      <c r="E565" s="3"/>
      <c r="F565" s="3"/>
      <c r="G565" s="3"/>
      <c r="H565" s="3"/>
      <c r="I565" s="3"/>
    </row>
    <row r="566">
      <c r="A566" s="4" t="s">
        <v>10078</v>
      </c>
      <c r="B566" s="13" t="s">
        <v>48</v>
      </c>
      <c r="C566" s="4">
        <v>1.0</v>
      </c>
      <c r="D566" s="4">
        <v>1.0</v>
      </c>
      <c r="E566" s="3"/>
      <c r="F566" s="3"/>
      <c r="G566" s="3"/>
      <c r="H566" s="3"/>
      <c r="I566" s="3"/>
    </row>
    <row r="567">
      <c r="A567" s="4" t="s">
        <v>10079</v>
      </c>
      <c r="B567" s="13" t="s">
        <v>48</v>
      </c>
      <c r="C567" s="4">
        <v>1.0</v>
      </c>
      <c r="D567" s="4">
        <v>1.0</v>
      </c>
      <c r="E567" s="3"/>
      <c r="F567" s="3"/>
      <c r="G567" s="3"/>
      <c r="H567" s="3"/>
      <c r="I567" s="3"/>
    </row>
    <row r="568">
      <c r="A568" s="4" t="s">
        <v>10080</v>
      </c>
      <c r="B568" s="13" t="s">
        <v>43</v>
      </c>
      <c r="D568" s="3"/>
      <c r="E568" s="3"/>
      <c r="F568" s="3"/>
      <c r="G568" s="3"/>
      <c r="H568" s="3"/>
      <c r="I568" s="3"/>
    </row>
    <row r="569">
      <c r="A569" s="4" t="s">
        <v>10081</v>
      </c>
      <c r="B569" s="13" t="s">
        <v>43</v>
      </c>
      <c r="D569" s="3"/>
      <c r="E569" s="3"/>
      <c r="F569" s="3"/>
      <c r="G569" s="3"/>
      <c r="H569" s="3"/>
      <c r="I569" s="3"/>
      <c r="J569" s="4" t="s">
        <v>1757</v>
      </c>
    </row>
    <row r="570">
      <c r="A570" s="4" t="s">
        <v>10082</v>
      </c>
      <c r="B570" s="13" t="s">
        <v>43</v>
      </c>
      <c r="D570" s="3"/>
      <c r="E570" s="3"/>
      <c r="F570" s="3"/>
      <c r="G570" s="3"/>
      <c r="H570" s="3"/>
      <c r="I570" s="3"/>
      <c r="J570" s="4" t="s">
        <v>1757</v>
      </c>
    </row>
    <row r="571">
      <c r="A571" s="4" t="s">
        <v>10083</v>
      </c>
      <c r="B571" s="13" t="s">
        <v>48</v>
      </c>
      <c r="C571" s="4">
        <v>1.0</v>
      </c>
      <c r="D571" s="3"/>
      <c r="E571" s="3"/>
      <c r="F571" s="3"/>
      <c r="G571" s="3"/>
      <c r="H571" s="4">
        <v>13.0</v>
      </c>
      <c r="I571" s="3"/>
      <c r="J571" s="4" t="s">
        <v>1757</v>
      </c>
      <c r="K571" s="4" t="s">
        <v>1757</v>
      </c>
    </row>
    <row r="572">
      <c r="A572" s="4" t="s">
        <v>10084</v>
      </c>
      <c r="B572" s="13" t="s">
        <v>48</v>
      </c>
      <c r="C572" s="4">
        <v>1.0</v>
      </c>
      <c r="D572" s="3"/>
      <c r="E572" s="3"/>
      <c r="F572" s="3"/>
      <c r="G572" s="3"/>
      <c r="H572" s="4">
        <v>13.0</v>
      </c>
      <c r="I572" s="3"/>
      <c r="J572" s="4" t="s">
        <v>1757</v>
      </c>
      <c r="K572" s="4" t="s">
        <v>1757</v>
      </c>
    </row>
    <row r="573">
      <c r="A573" s="4" t="s">
        <v>10085</v>
      </c>
      <c r="B573" s="13" t="s">
        <v>48</v>
      </c>
      <c r="C573" s="4">
        <v>1.0</v>
      </c>
      <c r="D573" s="3"/>
      <c r="E573" s="3"/>
      <c r="F573" s="3"/>
      <c r="G573" s="3"/>
      <c r="H573" s="4">
        <v>13.0</v>
      </c>
      <c r="I573" s="3"/>
      <c r="J573" s="4" t="s">
        <v>1757</v>
      </c>
    </row>
    <row r="574">
      <c r="A574" s="4" t="s">
        <v>10086</v>
      </c>
      <c r="B574" s="13" t="s">
        <v>48</v>
      </c>
      <c r="C574" s="4">
        <v>3.0</v>
      </c>
      <c r="D574" s="3"/>
      <c r="E574" s="4">
        <v>2.0</v>
      </c>
      <c r="F574" s="4">
        <v>9.0</v>
      </c>
      <c r="G574" s="3"/>
      <c r="H574" s="4">
        <v>13.0</v>
      </c>
      <c r="I574" s="3"/>
      <c r="J574" s="4" t="s">
        <v>1757</v>
      </c>
    </row>
    <row r="575">
      <c r="A575" s="4" t="s">
        <v>10087</v>
      </c>
      <c r="B575" s="13" t="s">
        <v>48</v>
      </c>
      <c r="C575" s="4">
        <v>3.0</v>
      </c>
      <c r="D575" s="3"/>
      <c r="E575" s="4">
        <v>2.0</v>
      </c>
      <c r="F575" s="4">
        <v>9.0</v>
      </c>
      <c r="G575" s="3"/>
      <c r="H575" s="4">
        <v>13.0</v>
      </c>
      <c r="I575" s="3"/>
    </row>
    <row r="576">
      <c r="A576" s="4" t="s">
        <v>10088</v>
      </c>
      <c r="B576" s="13" t="s">
        <v>48</v>
      </c>
      <c r="C576" s="4">
        <v>3.0</v>
      </c>
      <c r="D576" s="3"/>
      <c r="E576" s="4">
        <v>2.0</v>
      </c>
      <c r="F576" s="4">
        <v>9.0</v>
      </c>
      <c r="G576" s="3"/>
      <c r="H576" s="4">
        <v>13.0</v>
      </c>
      <c r="I576" s="3"/>
    </row>
    <row r="577">
      <c r="A577" s="4" t="s">
        <v>10089</v>
      </c>
      <c r="B577" s="13" t="s">
        <v>48</v>
      </c>
      <c r="C577" s="4">
        <v>2.0</v>
      </c>
      <c r="D577" s="3"/>
      <c r="E577" s="4">
        <v>2.0</v>
      </c>
      <c r="F577" s="4">
        <v>9.0</v>
      </c>
      <c r="G577" s="3"/>
      <c r="H577" s="3"/>
      <c r="I577" s="3"/>
    </row>
    <row r="578">
      <c r="A578" s="4" t="s">
        <v>10090</v>
      </c>
      <c r="B578" s="13" t="s">
        <v>48</v>
      </c>
      <c r="C578" s="4">
        <v>2.0</v>
      </c>
      <c r="D578" s="3"/>
      <c r="E578" s="4">
        <v>2.0</v>
      </c>
      <c r="F578" s="4">
        <v>9.0</v>
      </c>
      <c r="G578" s="3"/>
      <c r="H578" s="3"/>
      <c r="I578" s="3"/>
    </row>
    <row r="579">
      <c r="A579" s="4" t="s">
        <v>10091</v>
      </c>
      <c r="B579" s="13" t="s">
        <v>48</v>
      </c>
      <c r="C579" s="4">
        <v>3.0</v>
      </c>
      <c r="D579" s="3"/>
      <c r="E579" s="4">
        <v>2.0</v>
      </c>
      <c r="F579" s="4">
        <v>9.0</v>
      </c>
      <c r="G579" s="3"/>
      <c r="H579" s="4">
        <v>13.0</v>
      </c>
      <c r="I579" s="3"/>
      <c r="J579" s="4" t="s">
        <v>1757</v>
      </c>
    </row>
    <row r="580">
      <c r="A580" s="4" t="s">
        <v>10092</v>
      </c>
      <c r="B580" s="13" t="s">
        <v>48</v>
      </c>
      <c r="C580" s="4">
        <v>3.0</v>
      </c>
      <c r="D580" s="3"/>
      <c r="E580" s="4">
        <v>2.0</v>
      </c>
      <c r="F580" s="4">
        <v>9.0</v>
      </c>
      <c r="G580" s="3"/>
      <c r="H580" s="4">
        <v>13.0</v>
      </c>
      <c r="I580" s="3"/>
      <c r="J580" s="4" t="s">
        <v>1757</v>
      </c>
    </row>
    <row r="581">
      <c r="A581" s="4" t="s">
        <v>10093</v>
      </c>
      <c r="B581" s="13" t="s">
        <v>48</v>
      </c>
      <c r="C581" s="4">
        <v>3.0</v>
      </c>
      <c r="D581" s="3"/>
      <c r="E581" s="3"/>
      <c r="F581" s="4">
        <v>9.0</v>
      </c>
      <c r="G581" s="3"/>
      <c r="H581" s="4">
        <v>13.0</v>
      </c>
      <c r="I581" s="4">
        <v>15.0</v>
      </c>
      <c r="J581" s="4" t="s">
        <v>1757</v>
      </c>
    </row>
    <row r="582">
      <c r="A582" s="4" t="s">
        <v>10094</v>
      </c>
      <c r="B582" s="13" t="s">
        <v>48</v>
      </c>
      <c r="C582" s="4">
        <v>3.0</v>
      </c>
      <c r="D582" s="3"/>
      <c r="E582" s="3"/>
      <c r="F582" s="4">
        <v>9.0</v>
      </c>
      <c r="G582" s="3"/>
      <c r="H582" s="4">
        <v>13.0</v>
      </c>
      <c r="I582" s="4">
        <v>15.0</v>
      </c>
      <c r="J582" s="4" t="s">
        <v>1757</v>
      </c>
      <c r="K582" s="4" t="s">
        <v>1757</v>
      </c>
    </row>
    <row r="583">
      <c r="A583" s="4" t="s">
        <v>10095</v>
      </c>
      <c r="B583" s="13" t="s">
        <v>48</v>
      </c>
      <c r="C583" s="4">
        <v>2.0</v>
      </c>
      <c r="D583" s="3"/>
      <c r="E583" s="3"/>
      <c r="F583" s="4">
        <v>9.0</v>
      </c>
      <c r="G583" s="3"/>
      <c r="H583" s="4">
        <v>13.0</v>
      </c>
      <c r="I583" s="3"/>
      <c r="J583" s="4" t="s">
        <v>1757</v>
      </c>
      <c r="K583" s="4" t="s">
        <v>1757</v>
      </c>
    </row>
    <row r="584">
      <c r="A584" s="4" t="s">
        <v>10096</v>
      </c>
      <c r="B584" s="13" t="s">
        <v>43</v>
      </c>
      <c r="D584" s="3"/>
      <c r="E584" s="3"/>
      <c r="F584" s="3"/>
      <c r="G584" s="3"/>
      <c r="H584" s="3"/>
      <c r="I584" s="3"/>
      <c r="J584" s="4" t="s">
        <v>1757</v>
      </c>
    </row>
    <row r="585">
      <c r="A585" s="4" t="s">
        <v>10097</v>
      </c>
      <c r="B585" s="13" t="s">
        <v>43</v>
      </c>
      <c r="D585" s="3"/>
      <c r="E585" s="3"/>
      <c r="F585" s="3"/>
      <c r="G585" s="3"/>
      <c r="H585" s="3"/>
      <c r="I585" s="3"/>
      <c r="J585" s="4" t="s">
        <v>1757</v>
      </c>
    </row>
    <row r="586">
      <c r="A586" s="4" t="s">
        <v>10098</v>
      </c>
      <c r="B586" s="13" t="s">
        <v>43</v>
      </c>
      <c r="D586" s="3"/>
      <c r="E586" s="3"/>
      <c r="F586" s="3"/>
      <c r="G586" s="3"/>
      <c r="H586" s="3"/>
      <c r="I586" s="3"/>
    </row>
    <row r="587">
      <c r="A587" s="4" t="s">
        <v>10099</v>
      </c>
      <c r="B587" s="13" t="s">
        <v>43</v>
      </c>
      <c r="D587" s="3"/>
      <c r="E587" s="3"/>
      <c r="F587" s="3"/>
      <c r="G587" s="3"/>
      <c r="H587" s="3"/>
      <c r="I587" s="3"/>
    </row>
    <row r="588">
      <c r="A588" s="4" t="s">
        <v>10100</v>
      </c>
      <c r="B588" s="13" t="s">
        <v>48</v>
      </c>
      <c r="C588" s="4">
        <v>1.0</v>
      </c>
      <c r="D588" s="3"/>
      <c r="E588" s="3"/>
      <c r="F588" s="3"/>
      <c r="G588" s="3"/>
      <c r="H588" s="4">
        <v>13.0</v>
      </c>
      <c r="I588" s="3"/>
      <c r="J588" s="4" t="s">
        <v>1757</v>
      </c>
    </row>
    <row r="589">
      <c r="A589" s="4" t="s">
        <v>10101</v>
      </c>
      <c r="B589" s="13" t="s">
        <v>48</v>
      </c>
      <c r="C589" s="4">
        <v>1.0</v>
      </c>
      <c r="D589" s="3"/>
      <c r="E589" s="3"/>
      <c r="F589" s="3"/>
      <c r="G589" s="3"/>
      <c r="H589" s="4">
        <v>13.0</v>
      </c>
      <c r="I589" s="3"/>
      <c r="J589" s="4" t="s">
        <v>1757</v>
      </c>
    </row>
    <row r="590">
      <c r="A590" s="4" t="s">
        <v>10102</v>
      </c>
      <c r="B590" s="13" t="s">
        <v>48</v>
      </c>
      <c r="C590" s="4">
        <v>1.0</v>
      </c>
      <c r="D590" s="3"/>
      <c r="E590" s="3"/>
      <c r="F590" s="3"/>
      <c r="G590" s="3"/>
      <c r="H590" s="4">
        <v>13.0</v>
      </c>
      <c r="I590" s="3"/>
      <c r="J590" s="4" t="s">
        <v>1757</v>
      </c>
    </row>
    <row r="591">
      <c r="A591" s="4" t="s">
        <v>10103</v>
      </c>
      <c r="B591" s="13" t="s">
        <v>48</v>
      </c>
      <c r="C591" s="4">
        <v>1.0</v>
      </c>
      <c r="D591" s="3"/>
      <c r="E591" s="3"/>
      <c r="F591" s="3"/>
      <c r="G591" s="3"/>
      <c r="H591" s="4">
        <v>13.0</v>
      </c>
      <c r="I591" s="3"/>
      <c r="J591" s="4" t="s">
        <v>1757</v>
      </c>
    </row>
    <row r="592">
      <c r="A592" s="4" t="s">
        <v>10104</v>
      </c>
      <c r="B592" s="13" t="s">
        <v>43</v>
      </c>
      <c r="D592" s="3"/>
      <c r="E592" s="3"/>
      <c r="F592" s="3"/>
      <c r="G592" s="3"/>
      <c r="H592" s="3"/>
      <c r="I592" s="3"/>
      <c r="J592" s="4" t="s">
        <v>1757</v>
      </c>
    </row>
    <row r="593">
      <c r="A593" s="4" t="s">
        <v>10105</v>
      </c>
      <c r="B593" s="13" t="s">
        <v>43</v>
      </c>
      <c r="D593" s="3"/>
      <c r="E593" s="3"/>
      <c r="F593" s="3"/>
      <c r="G593" s="3"/>
      <c r="H593" s="3"/>
      <c r="I593" s="3"/>
      <c r="J593" s="4" t="s">
        <v>1757</v>
      </c>
    </row>
    <row r="594">
      <c r="A594" s="4" t="s">
        <v>10106</v>
      </c>
      <c r="B594" s="13" t="s">
        <v>43</v>
      </c>
      <c r="D594" s="3"/>
      <c r="E594" s="3"/>
      <c r="F594" s="3"/>
      <c r="G594" s="3"/>
      <c r="H594" s="3"/>
      <c r="I594" s="3"/>
      <c r="J594" s="4" t="s">
        <v>1757</v>
      </c>
    </row>
    <row r="595">
      <c r="A595" s="4" t="s">
        <v>10107</v>
      </c>
      <c r="B595" s="13" t="s">
        <v>43</v>
      </c>
      <c r="D595" s="3"/>
      <c r="E595" s="3"/>
      <c r="F595" s="3"/>
      <c r="G595" s="3"/>
      <c r="H595" s="3"/>
      <c r="I595" s="3"/>
    </row>
    <row r="596">
      <c r="A596" s="4" t="s">
        <v>10108</v>
      </c>
      <c r="B596" s="13" t="s">
        <v>43</v>
      </c>
      <c r="D596" s="3"/>
      <c r="E596" s="3"/>
      <c r="F596" s="3"/>
      <c r="G596" s="3"/>
      <c r="H596" s="3"/>
      <c r="I596" s="3"/>
    </row>
    <row r="597">
      <c r="A597" s="4" t="s">
        <v>10109</v>
      </c>
      <c r="B597" s="13" t="s">
        <v>43</v>
      </c>
      <c r="D597" s="3"/>
      <c r="E597" s="3"/>
      <c r="F597" s="3"/>
      <c r="G597" s="3"/>
      <c r="H597" s="3"/>
      <c r="I597" s="3"/>
    </row>
    <row r="598">
      <c r="A598" s="4" t="s">
        <v>10110</v>
      </c>
      <c r="B598" s="13" t="s">
        <v>43</v>
      </c>
      <c r="D598" s="3"/>
      <c r="E598" s="3"/>
      <c r="F598" s="3"/>
      <c r="G598" s="3"/>
      <c r="H598" s="3"/>
      <c r="I598" s="3"/>
    </row>
    <row r="599">
      <c r="A599" s="4" t="s">
        <v>10111</v>
      </c>
      <c r="B599" s="13" t="s">
        <v>43</v>
      </c>
      <c r="D599" s="3"/>
      <c r="E599" s="3"/>
      <c r="F599" s="3"/>
      <c r="G599" s="3"/>
      <c r="H599" s="3"/>
      <c r="I599" s="3"/>
    </row>
    <row r="600">
      <c r="A600" s="4" t="s">
        <v>10112</v>
      </c>
      <c r="B600" s="13" t="s">
        <v>43</v>
      </c>
      <c r="D600" s="3"/>
      <c r="E600" s="3"/>
      <c r="F600" s="3"/>
      <c r="G600" s="3"/>
      <c r="H600" s="3"/>
      <c r="I600" s="3"/>
    </row>
    <row r="601">
      <c r="A601" s="4" t="s">
        <v>10113</v>
      </c>
      <c r="B601" s="13" t="s">
        <v>43</v>
      </c>
      <c r="D601" s="3"/>
      <c r="E601" s="3"/>
      <c r="F601" s="3"/>
      <c r="G601" s="3"/>
      <c r="H601" s="3"/>
      <c r="I601" s="3"/>
      <c r="J601" s="4" t="s">
        <v>1757</v>
      </c>
    </row>
    <row r="602">
      <c r="A602" s="4" t="s">
        <v>10114</v>
      </c>
      <c r="B602" s="13" t="s">
        <v>43</v>
      </c>
      <c r="D602" s="3"/>
      <c r="E602" s="3"/>
      <c r="F602" s="3"/>
      <c r="G602" s="3"/>
      <c r="H602" s="3"/>
      <c r="I602" s="3"/>
      <c r="J602" s="4" t="s">
        <v>1757</v>
      </c>
    </row>
    <row r="603">
      <c r="A603" s="4" t="s">
        <v>10115</v>
      </c>
      <c r="B603" s="13" t="s">
        <v>43</v>
      </c>
      <c r="D603" s="3"/>
      <c r="E603" s="3"/>
      <c r="F603" s="3"/>
      <c r="G603" s="3"/>
      <c r="H603" s="3"/>
      <c r="I603" s="3"/>
      <c r="J603" s="4" t="s">
        <v>1757</v>
      </c>
    </row>
    <row r="604">
      <c r="A604" s="4" t="s">
        <v>10116</v>
      </c>
      <c r="B604" s="13" t="s">
        <v>43</v>
      </c>
      <c r="D604" s="3"/>
      <c r="E604" s="3"/>
      <c r="F604" s="3"/>
      <c r="G604" s="3"/>
      <c r="H604" s="3"/>
      <c r="I604" s="3"/>
      <c r="J604" s="4" t="s">
        <v>1757</v>
      </c>
    </row>
    <row r="605">
      <c r="A605" s="4" t="s">
        <v>10117</v>
      </c>
      <c r="B605" s="13" t="s">
        <v>43</v>
      </c>
      <c r="D605" s="3"/>
      <c r="E605" s="3"/>
      <c r="F605" s="3"/>
      <c r="G605" s="3"/>
      <c r="H605" s="3"/>
      <c r="I605" s="3"/>
      <c r="J605" s="4" t="s">
        <v>1757</v>
      </c>
    </row>
    <row r="606">
      <c r="A606" s="4" t="s">
        <v>10118</v>
      </c>
      <c r="B606" s="13" t="s">
        <v>43</v>
      </c>
      <c r="D606" s="3"/>
      <c r="E606" s="3"/>
      <c r="F606" s="3"/>
      <c r="G606" s="3"/>
      <c r="H606" s="3"/>
      <c r="I606" s="3"/>
      <c r="J606" s="4" t="s">
        <v>1757</v>
      </c>
    </row>
    <row r="607">
      <c r="A607" s="4" t="s">
        <v>10119</v>
      </c>
      <c r="B607" s="13" t="s">
        <v>43</v>
      </c>
      <c r="D607" s="3"/>
      <c r="E607" s="3"/>
      <c r="F607" s="3"/>
      <c r="G607" s="3"/>
      <c r="H607" s="3"/>
      <c r="I607" s="3"/>
      <c r="J607" s="4" t="s">
        <v>1757</v>
      </c>
    </row>
    <row r="608">
      <c r="A608" s="4" t="s">
        <v>10120</v>
      </c>
      <c r="B608" s="13" t="s">
        <v>43</v>
      </c>
      <c r="D608" s="3"/>
      <c r="E608" s="3"/>
      <c r="F608" s="3"/>
      <c r="G608" s="3"/>
      <c r="H608" s="3"/>
      <c r="I608" s="3"/>
      <c r="J608" s="4" t="s">
        <v>1757</v>
      </c>
    </row>
    <row r="609">
      <c r="A609" s="4" t="s">
        <v>10121</v>
      </c>
      <c r="B609" s="13" t="s">
        <v>43</v>
      </c>
      <c r="D609" s="3"/>
      <c r="E609" s="3"/>
      <c r="F609" s="3"/>
      <c r="G609" s="3"/>
      <c r="H609" s="3"/>
      <c r="I609" s="3"/>
      <c r="J609" s="4" t="s">
        <v>1757</v>
      </c>
    </row>
    <row r="610">
      <c r="A610" s="4" t="s">
        <v>10122</v>
      </c>
      <c r="B610" s="13" t="s">
        <v>43</v>
      </c>
      <c r="D610" s="3"/>
      <c r="E610" s="3"/>
      <c r="F610" s="3"/>
      <c r="G610" s="3"/>
      <c r="H610" s="3"/>
      <c r="I610" s="3"/>
      <c r="J610" s="4" t="s">
        <v>1757</v>
      </c>
    </row>
    <row r="611">
      <c r="A611" s="4" t="s">
        <v>10123</v>
      </c>
      <c r="B611" s="13" t="s">
        <v>43</v>
      </c>
      <c r="D611" s="3"/>
      <c r="E611" s="3"/>
      <c r="F611" s="3"/>
      <c r="G611" s="3"/>
      <c r="H611" s="3"/>
      <c r="I611" s="3"/>
      <c r="J611" s="4" t="s">
        <v>1757</v>
      </c>
    </row>
    <row r="612">
      <c r="A612" s="4" t="s">
        <v>10124</v>
      </c>
      <c r="B612" s="13" t="s">
        <v>43</v>
      </c>
      <c r="D612" s="3"/>
      <c r="E612" s="3"/>
      <c r="F612" s="3"/>
      <c r="G612" s="3"/>
      <c r="H612" s="3"/>
      <c r="I612" s="3"/>
      <c r="J612" s="4" t="s">
        <v>1757</v>
      </c>
    </row>
    <row r="613">
      <c r="A613" s="4" t="s">
        <v>10125</v>
      </c>
      <c r="B613" s="13" t="s">
        <v>43</v>
      </c>
      <c r="D613" s="3"/>
      <c r="E613" s="3"/>
      <c r="F613" s="3"/>
      <c r="G613" s="3"/>
      <c r="H613" s="3"/>
      <c r="I613" s="3"/>
      <c r="J613" s="4" t="s">
        <v>1757</v>
      </c>
    </row>
    <row r="614">
      <c r="A614" s="4" t="s">
        <v>10126</v>
      </c>
      <c r="B614" s="13" t="s">
        <v>43</v>
      </c>
      <c r="D614" s="3"/>
      <c r="E614" s="3"/>
      <c r="F614" s="3"/>
      <c r="G614" s="3"/>
      <c r="H614" s="3"/>
      <c r="I614" s="3"/>
      <c r="J614" s="4" t="s">
        <v>1757</v>
      </c>
    </row>
    <row r="615">
      <c r="A615" s="4" t="s">
        <v>10127</v>
      </c>
      <c r="B615" s="13" t="s">
        <v>43</v>
      </c>
      <c r="D615" s="3"/>
      <c r="E615" s="3"/>
      <c r="F615" s="3"/>
      <c r="G615" s="3"/>
      <c r="H615" s="3"/>
      <c r="I615" s="3"/>
      <c r="J615" s="4" t="s">
        <v>1757</v>
      </c>
    </row>
    <row r="616">
      <c r="A616" s="4" t="s">
        <v>10128</v>
      </c>
      <c r="B616" s="13" t="s">
        <v>43</v>
      </c>
      <c r="D616" s="3"/>
      <c r="E616" s="3"/>
      <c r="F616" s="3"/>
      <c r="G616" s="3"/>
      <c r="H616" s="3"/>
      <c r="I616" s="3"/>
      <c r="J616" s="4" t="s">
        <v>1757</v>
      </c>
    </row>
    <row r="617">
      <c r="A617" s="4" t="s">
        <v>10129</v>
      </c>
      <c r="B617" s="13" t="s">
        <v>43</v>
      </c>
      <c r="D617" s="3"/>
      <c r="E617" s="3"/>
      <c r="F617" s="3"/>
      <c r="G617" s="3"/>
      <c r="H617" s="3"/>
      <c r="I617" s="3"/>
    </row>
    <row r="618">
      <c r="A618" s="4" t="s">
        <v>10130</v>
      </c>
      <c r="B618" s="13" t="s">
        <v>43</v>
      </c>
      <c r="D618" s="3"/>
      <c r="E618" s="3"/>
      <c r="F618" s="3"/>
      <c r="G618" s="3"/>
      <c r="H618" s="3"/>
      <c r="I618" s="3"/>
    </row>
    <row r="619">
      <c r="A619" s="4" t="s">
        <v>10131</v>
      </c>
      <c r="B619" s="13" t="s">
        <v>43</v>
      </c>
      <c r="D619" s="3"/>
      <c r="E619" s="3"/>
      <c r="F619" s="3"/>
      <c r="G619" s="3"/>
      <c r="H619" s="3"/>
      <c r="I619" s="3"/>
    </row>
    <row r="620">
      <c r="A620" s="4" t="s">
        <v>10132</v>
      </c>
      <c r="B620" s="13" t="s">
        <v>43</v>
      </c>
      <c r="D620" s="3"/>
      <c r="E620" s="3"/>
      <c r="F620" s="3"/>
      <c r="G620" s="3"/>
      <c r="H620" s="3"/>
      <c r="I620" s="3"/>
    </row>
    <row r="621">
      <c r="A621" s="4" t="s">
        <v>10133</v>
      </c>
      <c r="B621" s="13" t="s">
        <v>48</v>
      </c>
      <c r="C621" s="4">
        <v>1.0</v>
      </c>
      <c r="D621" s="3"/>
      <c r="E621" s="3"/>
      <c r="F621" s="3"/>
      <c r="G621" s="3"/>
      <c r="H621" s="4">
        <v>13.0</v>
      </c>
      <c r="I621" s="3"/>
      <c r="J621" s="4" t="s">
        <v>1757</v>
      </c>
    </row>
    <row r="622">
      <c r="A622" s="4" t="s">
        <v>10134</v>
      </c>
      <c r="B622" s="13" t="s">
        <v>43</v>
      </c>
      <c r="D622" s="3"/>
      <c r="E622" s="3"/>
      <c r="F622" s="3"/>
      <c r="G622" s="3"/>
      <c r="H622" s="3"/>
      <c r="I622" s="3"/>
      <c r="J622" s="4" t="s">
        <v>1757</v>
      </c>
    </row>
    <row r="623">
      <c r="A623" s="4" t="s">
        <v>10135</v>
      </c>
      <c r="B623" s="13" t="s">
        <v>43</v>
      </c>
      <c r="D623" s="3"/>
      <c r="E623" s="3"/>
      <c r="F623" s="3"/>
      <c r="G623" s="3"/>
      <c r="H623" s="3"/>
      <c r="I623" s="3"/>
    </row>
    <row r="624">
      <c r="A624" s="4" t="s">
        <v>10136</v>
      </c>
      <c r="B624" s="13" t="s">
        <v>43</v>
      </c>
      <c r="D624" s="3"/>
      <c r="E624" s="3"/>
      <c r="F624" s="3"/>
      <c r="G624" s="3"/>
      <c r="H624" s="3"/>
      <c r="I624" s="3"/>
    </row>
    <row r="625">
      <c r="A625" s="4" t="s">
        <v>10137</v>
      </c>
      <c r="B625" s="13" t="s">
        <v>43</v>
      </c>
      <c r="D625" s="3"/>
      <c r="E625" s="3"/>
      <c r="F625" s="3"/>
      <c r="G625" s="3"/>
      <c r="H625" s="3"/>
      <c r="I625" s="3"/>
    </row>
    <row r="626">
      <c r="A626" s="4" t="s">
        <v>10138</v>
      </c>
      <c r="B626" s="13" t="s">
        <v>43</v>
      </c>
      <c r="D626" s="3"/>
      <c r="E626" s="3"/>
      <c r="F626" s="3"/>
      <c r="G626" s="3"/>
      <c r="H626" s="3"/>
      <c r="I626" s="3"/>
    </row>
    <row r="627">
      <c r="A627" s="4" t="s">
        <v>10139</v>
      </c>
      <c r="B627" s="13" t="s">
        <v>43</v>
      </c>
      <c r="D627" s="3"/>
      <c r="E627" s="3"/>
      <c r="F627" s="3"/>
      <c r="G627" s="3"/>
      <c r="H627" s="3"/>
      <c r="I627" s="3"/>
    </row>
    <row r="628">
      <c r="A628" s="4" t="s">
        <v>10140</v>
      </c>
      <c r="B628" s="13" t="s">
        <v>43</v>
      </c>
      <c r="D628" s="3"/>
      <c r="E628" s="3"/>
      <c r="F628" s="3"/>
      <c r="G628" s="3"/>
      <c r="H628" s="3"/>
      <c r="I628" s="3"/>
    </row>
    <row r="629">
      <c r="A629" s="4" t="s">
        <v>10141</v>
      </c>
      <c r="B629" s="13" t="s">
        <v>43</v>
      </c>
      <c r="D629" s="3"/>
      <c r="E629" s="3"/>
      <c r="F629" s="3"/>
      <c r="G629" s="3"/>
      <c r="H629" s="3"/>
      <c r="I629" s="3"/>
    </row>
    <row r="630">
      <c r="A630" s="4" t="s">
        <v>10142</v>
      </c>
      <c r="B630" s="13" t="s">
        <v>43</v>
      </c>
      <c r="D630" s="3"/>
      <c r="E630" s="3"/>
      <c r="F630" s="3"/>
      <c r="G630" s="3"/>
      <c r="H630" s="3"/>
      <c r="I630" s="3"/>
    </row>
    <row r="631">
      <c r="A631" s="4" t="s">
        <v>10143</v>
      </c>
      <c r="B631" s="13" t="s">
        <v>43</v>
      </c>
      <c r="D631" s="3"/>
      <c r="E631" s="3"/>
      <c r="F631" s="3"/>
      <c r="G631" s="3"/>
      <c r="H631" s="3"/>
      <c r="I631" s="3"/>
    </row>
    <row r="632">
      <c r="A632" s="4" t="s">
        <v>10144</v>
      </c>
      <c r="B632" s="13" t="s">
        <v>43</v>
      </c>
      <c r="D632" s="3"/>
      <c r="E632" s="3"/>
      <c r="F632" s="3"/>
      <c r="G632" s="3"/>
      <c r="H632" s="3"/>
      <c r="I632" s="3"/>
    </row>
    <row r="633">
      <c r="A633" s="4" t="s">
        <v>10145</v>
      </c>
      <c r="B633" s="13" t="s">
        <v>43</v>
      </c>
      <c r="D633" s="3"/>
      <c r="E633" s="3"/>
      <c r="F633" s="3"/>
      <c r="G633" s="3"/>
      <c r="H633" s="3"/>
      <c r="I633" s="3"/>
    </row>
    <row r="634">
      <c r="A634" s="4" t="s">
        <v>10146</v>
      </c>
      <c r="B634" s="13" t="s">
        <v>43</v>
      </c>
      <c r="D634" s="3"/>
      <c r="E634" s="3"/>
      <c r="F634" s="3"/>
      <c r="G634" s="3"/>
      <c r="H634" s="3"/>
      <c r="I634" s="3"/>
    </row>
    <row r="635">
      <c r="A635" s="4" t="s">
        <v>10147</v>
      </c>
      <c r="B635" s="13" t="s">
        <v>43</v>
      </c>
      <c r="D635" s="3"/>
      <c r="E635" s="3"/>
      <c r="F635" s="3"/>
      <c r="G635" s="3"/>
      <c r="H635" s="3"/>
      <c r="I635" s="3"/>
    </row>
    <row r="636">
      <c r="A636" s="4" t="s">
        <v>10148</v>
      </c>
      <c r="B636" s="13" t="s">
        <v>43</v>
      </c>
      <c r="D636" s="3"/>
      <c r="E636" s="3"/>
      <c r="F636" s="3"/>
      <c r="G636" s="3"/>
      <c r="H636" s="3"/>
      <c r="I636" s="3"/>
    </row>
    <row r="637">
      <c r="A637" s="4" t="s">
        <v>10149</v>
      </c>
      <c r="B637" s="13" t="s">
        <v>43</v>
      </c>
      <c r="D637" s="3"/>
      <c r="E637" s="3"/>
      <c r="F637" s="3"/>
      <c r="G637" s="3"/>
      <c r="H637" s="3"/>
      <c r="I637" s="3"/>
    </row>
    <row r="638">
      <c r="A638" s="4" t="s">
        <v>10150</v>
      </c>
      <c r="B638" s="13" t="s">
        <v>43</v>
      </c>
      <c r="D638" s="3"/>
      <c r="E638" s="3"/>
      <c r="F638" s="3"/>
      <c r="G638" s="3"/>
      <c r="H638" s="3"/>
      <c r="I638" s="3"/>
    </row>
    <row r="639">
      <c r="A639" s="4" t="s">
        <v>10151</v>
      </c>
      <c r="B639" s="13" t="s">
        <v>43</v>
      </c>
      <c r="D639" s="3"/>
      <c r="E639" s="3"/>
      <c r="F639" s="3"/>
      <c r="G639" s="3"/>
      <c r="H639" s="3"/>
      <c r="I639" s="3"/>
    </row>
    <row r="640">
      <c r="A640" s="4" t="s">
        <v>10152</v>
      </c>
      <c r="B640" s="13" t="s">
        <v>43</v>
      </c>
      <c r="D640" s="3"/>
      <c r="E640" s="3"/>
      <c r="F640" s="3"/>
      <c r="G640" s="3"/>
      <c r="H640" s="3"/>
      <c r="I640" s="3"/>
    </row>
    <row r="641">
      <c r="A641" s="4" t="s">
        <v>10153</v>
      </c>
      <c r="B641" s="13" t="s">
        <v>43</v>
      </c>
      <c r="D641" s="3"/>
      <c r="E641" s="3"/>
      <c r="F641" s="3"/>
      <c r="G641" s="3"/>
      <c r="H641" s="3"/>
      <c r="I641" s="3"/>
    </row>
    <row r="642">
      <c r="A642" s="4" t="s">
        <v>10154</v>
      </c>
      <c r="B642" s="13" t="s">
        <v>43</v>
      </c>
      <c r="D642" s="3"/>
      <c r="E642" s="3"/>
      <c r="F642" s="3"/>
      <c r="G642" s="3"/>
      <c r="H642" s="3"/>
      <c r="I642" s="3"/>
    </row>
    <row r="643">
      <c r="A643" s="4" t="s">
        <v>10155</v>
      </c>
      <c r="B643" s="13" t="s">
        <v>43</v>
      </c>
      <c r="D643" s="3"/>
      <c r="E643" s="3"/>
      <c r="F643" s="3"/>
      <c r="G643" s="3"/>
      <c r="H643" s="3"/>
      <c r="I643" s="3"/>
    </row>
    <row r="644">
      <c r="A644" s="4" t="s">
        <v>10156</v>
      </c>
      <c r="B644" s="13" t="s">
        <v>43</v>
      </c>
      <c r="D644" s="3"/>
      <c r="E644" s="3"/>
      <c r="F644" s="3"/>
      <c r="G644" s="3"/>
      <c r="H644" s="3"/>
      <c r="I644" s="3"/>
    </row>
    <row r="645">
      <c r="A645" s="4" t="s">
        <v>10157</v>
      </c>
      <c r="B645" s="13" t="s">
        <v>43</v>
      </c>
      <c r="D645" s="3"/>
      <c r="E645" s="3"/>
      <c r="F645" s="3"/>
      <c r="G645" s="3"/>
      <c r="H645" s="3"/>
      <c r="I645" s="3"/>
    </row>
    <row r="646">
      <c r="A646" s="4" t="s">
        <v>10158</v>
      </c>
      <c r="B646" s="13" t="s">
        <v>43</v>
      </c>
      <c r="D646" s="3"/>
      <c r="E646" s="3"/>
      <c r="F646" s="3"/>
      <c r="G646" s="3"/>
      <c r="H646" s="3"/>
      <c r="I646" s="3"/>
      <c r="J646" s="4" t="s">
        <v>1757</v>
      </c>
    </row>
    <row r="647">
      <c r="A647" s="4" t="s">
        <v>10159</v>
      </c>
      <c r="B647" s="13" t="s">
        <v>43</v>
      </c>
      <c r="D647" s="3"/>
      <c r="E647" s="3"/>
      <c r="F647" s="3"/>
      <c r="G647" s="3"/>
      <c r="H647" s="3"/>
      <c r="I647" s="3"/>
    </row>
    <row r="648">
      <c r="A648" s="4" t="s">
        <v>10160</v>
      </c>
      <c r="B648" s="13" t="s">
        <v>43</v>
      </c>
      <c r="D648" s="3"/>
      <c r="E648" s="3"/>
      <c r="F648" s="3"/>
      <c r="G648" s="3"/>
      <c r="H648" s="3"/>
      <c r="I648" s="3"/>
    </row>
    <row r="649">
      <c r="A649" s="4" t="s">
        <v>10161</v>
      </c>
      <c r="B649" s="13" t="s">
        <v>43</v>
      </c>
      <c r="D649" s="3"/>
      <c r="E649" s="3"/>
      <c r="F649" s="3"/>
      <c r="G649" s="3"/>
      <c r="H649" s="3"/>
      <c r="I649" s="3"/>
    </row>
    <row r="650">
      <c r="A650" s="4" t="s">
        <v>10162</v>
      </c>
      <c r="B650" s="13" t="s">
        <v>43</v>
      </c>
      <c r="D650" s="3"/>
      <c r="E650" s="3"/>
      <c r="F650" s="3"/>
      <c r="G650" s="3"/>
      <c r="H650" s="3"/>
      <c r="I650" s="3"/>
    </row>
    <row r="651">
      <c r="A651" s="4" t="s">
        <v>10163</v>
      </c>
      <c r="B651" s="13" t="s">
        <v>43</v>
      </c>
      <c r="D651" s="3"/>
      <c r="E651" s="3"/>
      <c r="F651" s="3"/>
      <c r="G651" s="3"/>
      <c r="H651" s="3"/>
      <c r="I651" s="3"/>
    </row>
    <row r="652">
      <c r="A652" s="4" t="s">
        <v>10164</v>
      </c>
      <c r="B652" s="13" t="s">
        <v>43</v>
      </c>
      <c r="D652" s="3"/>
      <c r="E652" s="3"/>
      <c r="F652" s="3"/>
      <c r="G652" s="3"/>
      <c r="H652" s="3"/>
      <c r="I652" s="3"/>
    </row>
    <row r="653">
      <c r="A653" s="4" t="s">
        <v>10165</v>
      </c>
      <c r="B653" s="13" t="s">
        <v>43</v>
      </c>
      <c r="D653" s="3"/>
      <c r="E653" s="3"/>
      <c r="F653" s="3"/>
      <c r="G653" s="3"/>
      <c r="H653" s="3"/>
      <c r="I653" s="3"/>
    </row>
    <row r="654">
      <c r="A654" s="4" t="s">
        <v>10166</v>
      </c>
      <c r="B654" s="13" t="s">
        <v>43</v>
      </c>
      <c r="D654" s="3"/>
      <c r="E654" s="3"/>
      <c r="F654" s="3"/>
      <c r="G654" s="3"/>
      <c r="H654" s="3"/>
      <c r="I654" s="3"/>
    </row>
    <row r="655">
      <c r="A655" s="4" t="s">
        <v>10167</v>
      </c>
      <c r="B655" s="13" t="s">
        <v>43</v>
      </c>
      <c r="D655" s="3"/>
      <c r="E655" s="3"/>
      <c r="F655" s="3"/>
      <c r="G655" s="3"/>
      <c r="H655" s="3"/>
      <c r="I655" s="3"/>
      <c r="J655" s="4" t="s">
        <v>1757</v>
      </c>
    </row>
    <row r="656">
      <c r="A656" s="4" t="s">
        <v>10168</v>
      </c>
      <c r="B656" s="13" t="s">
        <v>43</v>
      </c>
      <c r="D656" s="3"/>
      <c r="E656" s="3"/>
      <c r="F656" s="3"/>
      <c r="G656" s="3"/>
      <c r="H656" s="3"/>
      <c r="I656" s="3"/>
      <c r="J656" s="4" t="s">
        <v>1757</v>
      </c>
    </row>
    <row r="657">
      <c r="A657" s="4" t="s">
        <v>10169</v>
      </c>
      <c r="B657" s="13" t="s">
        <v>43</v>
      </c>
      <c r="D657" s="3"/>
      <c r="E657" s="3"/>
      <c r="F657" s="3"/>
      <c r="G657" s="3"/>
      <c r="H657" s="3"/>
      <c r="I657" s="3"/>
      <c r="J657" s="4" t="s">
        <v>1757</v>
      </c>
    </row>
    <row r="658">
      <c r="A658" s="4" t="s">
        <v>10170</v>
      </c>
      <c r="B658" s="13" t="s">
        <v>48</v>
      </c>
      <c r="C658" s="4">
        <v>1.0</v>
      </c>
      <c r="D658" s="3"/>
      <c r="E658" s="4">
        <v>2.0</v>
      </c>
      <c r="F658" s="3"/>
      <c r="G658" s="3"/>
      <c r="H658" s="3"/>
      <c r="I658" s="3"/>
      <c r="J658" s="4" t="s">
        <v>1757</v>
      </c>
    </row>
    <row r="659">
      <c r="A659" s="4" t="s">
        <v>10171</v>
      </c>
      <c r="B659" s="13" t="s">
        <v>48</v>
      </c>
      <c r="C659" s="4">
        <v>1.0</v>
      </c>
      <c r="D659" s="3"/>
      <c r="E659" s="4">
        <v>2.0</v>
      </c>
      <c r="F659" s="3"/>
      <c r="G659" s="3"/>
      <c r="H659" s="3"/>
      <c r="I659" s="3"/>
    </row>
    <row r="660">
      <c r="A660" s="4" t="s">
        <v>10172</v>
      </c>
      <c r="B660" s="13" t="s">
        <v>48</v>
      </c>
      <c r="C660" s="4">
        <v>1.0</v>
      </c>
      <c r="D660" s="3"/>
      <c r="E660" s="4">
        <v>2.0</v>
      </c>
      <c r="F660" s="3"/>
      <c r="G660" s="3"/>
      <c r="H660" s="3"/>
      <c r="I660" s="3"/>
    </row>
    <row r="661">
      <c r="A661" s="4" t="s">
        <v>10173</v>
      </c>
      <c r="B661" s="13" t="s">
        <v>43</v>
      </c>
      <c r="D661" s="3"/>
      <c r="E661" s="3"/>
      <c r="F661" s="3"/>
      <c r="G661" s="3"/>
      <c r="H661" s="3"/>
      <c r="I661" s="3"/>
    </row>
    <row r="662">
      <c r="A662" s="4" t="s">
        <v>10174</v>
      </c>
      <c r="B662" s="13" t="s">
        <v>43</v>
      </c>
      <c r="D662" s="3"/>
      <c r="E662" s="3"/>
      <c r="F662" s="3"/>
      <c r="G662" s="3"/>
      <c r="H662" s="3"/>
      <c r="I662" s="3"/>
    </row>
    <row r="663">
      <c r="A663" s="4" t="s">
        <v>10175</v>
      </c>
      <c r="B663" s="13" t="s">
        <v>43</v>
      </c>
      <c r="D663" s="3"/>
      <c r="E663" s="3"/>
      <c r="F663" s="3"/>
      <c r="G663" s="3"/>
      <c r="H663" s="3"/>
      <c r="I663" s="3"/>
    </row>
    <row r="664">
      <c r="A664" s="4" t="s">
        <v>10176</v>
      </c>
      <c r="B664" s="13" t="s">
        <v>43</v>
      </c>
      <c r="D664" s="3"/>
      <c r="E664" s="3"/>
      <c r="F664" s="3"/>
      <c r="G664" s="3"/>
      <c r="H664" s="3"/>
      <c r="I664" s="3"/>
    </row>
    <row r="665">
      <c r="A665" s="4" t="s">
        <v>10177</v>
      </c>
      <c r="B665" s="13" t="s">
        <v>43</v>
      </c>
      <c r="D665" s="3"/>
      <c r="E665" s="3"/>
      <c r="F665" s="3"/>
      <c r="G665" s="3"/>
      <c r="H665" s="3"/>
      <c r="I665" s="3"/>
    </row>
    <row r="666">
      <c r="A666" s="4" t="s">
        <v>10178</v>
      </c>
      <c r="B666" s="13" t="s">
        <v>43</v>
      </c>
      <c r="D666" s="3"/>
      <c r="E666" s="3"/>
      <c r="F666" s="3"/>
      <c r="G666" s="3"/>
      <c r="H666" s="3"/>
      <c r="I666" s="3"/>
    </row>
    <row r="667">
      <c r="A667" s="4" t="s">
        <v>10179</v>
      </c>
      <c r="B667" s="13" t="s">
        <v>43</v>
      </c>
      <c r="D667" s="3"/>
      <c r="E667" s="3"/>
      <c r="F667" s="3"/>
      <c r="G667" s="3"/>
      <c r="H667" s="3"/>
      <c r="I667" s="3"/>
    </row>
    <row r="668">
      <c r="A668" s="4" t="s">
        <v>10180</v>
      </c>
      <c r="B668" s="13" t="s">
        <v>43</v>
      </c>
      <c r="D668" s="3"/>
      <c r="E668" s="3"/>
      <c r="F668" s="3"/>
      <c r="G668" s="3"/>
      <c r="H668" s="3"/>
      <c r="I668" s="3"/>
      <c r="J668" s="4" t="s">
        <v>1757</v>
      </c>
    </row>
    <row r="669">
      <c r="A669" s="4" t="s">
        <v>10181</v>
      </c>
      <c r="B669" s="13" t="s">
        <v>43</v>
      </c>
      <c r="D669" s="3"/>
      <c r="E669" s="3"/>
      <c r="F669" s="3"/>
      <c r="G669" s="3"/>
      <c r="H669" s="3"/>
      <c r="I669" s="3"/>
      <c r="J669" s="4" t="s">
        <v>1757</v>
      </c>
    </row>
    <row r="670">
      <c r="A670" s="4" t="s">
        <v>10182</v>
      </c>
      <c r="B670" s="13" t="s">
        <v>43</v>
      </c>
      <c r="D670" s="3"/>
      <c r="E670" s="3"/>
      <c r="F670" s="3"/>
      <c r="G670" s="3"/>
      <c r="H670" s="3"/>
      <c r="I670" s="3"/>
      <c r="J670" s="4" t="s">
        <v>1757</v>
      </c>
    </row>
    <row r="671">
      <c r="A671" s="4" t="s">
        <v>10183</v>
      </c>
      <c r="B671" s="13" t="s">
        <v>43</v>
      </c>
      <c r="D671" s="3"/>
      <c r="E671" s="3"/>
      <c r="F671" s="3"/>
      <c r="G671" s="3"/>
      <c r="H671" s="3"/>
      <c r="I671" s="3"/>
      <c r="J671" s="4" t="s">
        <v>1757</v>
      </c>
    </row>
    <row r="672">
      <c r="A672" s="4" t="s">
        <v>10184</v>
      </c>
      <c r="B672" s="13" t="s">
        <v>43</v>
      </c>
      <c r="D672" s="3"/>
      <c r="E672" s="3"/>
      <c r="F672" s="3"/>
      <c r="G672" s="3"/>
      <c r="H672" s="3"/>
      <c r="I672" s="3"/>
      <c r="J672" s="4" t="s">
        <v>1757</v>
      </c>
    </row>
    <row r="673">
      <c r="A673" s="4" t="s">
        <v>10185</v>
      </c>
      <c r="B673" s="13" t="s">
        <v>43</v>
      </c>
      <c r="D673" s="3"/>
      <c r="E673" s="3"/>
      <c r="F673" s="3"/>
      <c r="G673" s="3"/>
      <c r="H673" s="3"/>
      <c r="I673" s="3"/>
      <c r="J673" s="4" t="s">
        <v>1757</v>
      </c>
    </row>
    <row r="674">
      <c r="A674" s="4" t="s">
        <v>10186</v>
      </c>
      <c r="B674" s="13" t="s">
        <v>43</v>
      </c>
      <c r="D674" s="3"/>
      <c r="E674" s="3"/>
      <c r="F674" s="3"/>
      <c r="G674" s="3"/>
      <c r="H674" s="3"/>
      <c r="I674" s="3"/>
      <c r="J674" s="4" t="s">
        <v>1757</v>
      </c>
    </row>
    <row r="675">
      <c r="A675" s="4" t="s">
        <v>10187</v>
      </c>
      <c r="B675" s="13" t="s">
        <v>43</v>
      </c>
      <c r="D675" s="3"/>
      <c r="E675" s="3"/>
      <c r="F675" s="3"/>
      <c r="G675" s="3"/>
      <c r="H675" s="3"/>
      <c r="I675" s="3"/>
      <c r="J675" s="4" t="s">
        <v>1757</v>
      </c>
    </row>
    <row r="676">
      <c r="A676" s="4" t="s">
        <v>10188</v>
      </c>
      <c r="B676" s="13" t="s">
        <v>43</v>
      </c>
      <c r="D676" s="3"/>
      <c r="E676" s="3"/>
      <c r="F676" s="3"/>
      <c r="G676" s="3"/>
      <c r="H676" s="3"/>
      <c r="I676" s="3"/>
      <c r="J676" s="4" t="s">
        <v>1757</v>
      </c>
    </row>
    <row r="677">
      <c r="A677" s="4" t="s">
        <v>10189</v>
      </c>
      <c r="B677" s="13" t="s">
        <v>43</v>
      </c>
      <c r="D677" s="3"/>
      <c r="E677" s="3"/>
      <c r="F677" s="3"/>
      <c r="G677" s="3"/>
      <c r="H677" s="3"/>
      <c r="I677" s="3"/>
      <c r="J677" s="4" t="s">
        <v>1757</v>
      </c>
    </row>
    <row r="678">
      <c r="A678" s="4" t="s">
        <v>10190</v>
      </c>
      <c r="B678" s="13" t="s">
        <v>43</v>
      </c>
      <c r="D678" s="3"/>
      <c r="E678" s="3"/>
      <c r="F678" s="3"/>
      <c r="G678" s="3"/>
      <c r="H678" s="3"/>
      <c r="I678" s="3"/>
    </row>
    <row r="679">
      <c r="A679" s="4" t="s">
        <v>10191</v>
      </c>
      <c r="B679" s="13" t="s">
        <v>43</v>
      </c>
      <c r="D679" s="3"/>
      <c r="E679" s="3"/>
      <c r="F679" s="3"/>
      <c r="G679" s="3"/>
      <c r="H679" s="3"/>
      <c r="I679" s="3"/>
    </row>
    <row r="680">
      <c r="A680" s="4" t="s">
        <v>10192</v>
      </c>
      <c r="B680" s="13" t="s">
        <v>43</v>
      </c>
      <c r="D680" s="3"/>
      <c r="E680" s="3"/>
      <c r="F680" s="3"/>
      <c r="G680" s="3"/>
      <c r="H680" s="3"/>
      <c r="I680" s="3"/>
    </row>
    <row r="681">
      <c r="A681" s="4" t="s">
        <v>10193</v>
      </c>
      <c r="B681" s="13" t="s">
        <v>43</v>
      </c>
      <c r="D681" s="3"/>
      <c r="E681" s="3"/>
      <c r="F681" s="3"/>
      <c r="G681" s="3"/>
      <c r="H681" s="3"/>
      <c r="I681" s="3"/>
    </row>
    <row r="682">
      <c r="A682" s="4" t="s">
        <v>10194</v>
      </c>
      <c r="B682" s="13" t="s">
        <v>43</v>
      </c>
      <c r="D682" s="3"/>
      <c r="E682" s="3"/>
      <c r="F682" s="3"/>
      <c r="G682" s="3"/>
      <c r="H682" s="3"/>
      <c r="I682" s="3"/>
    </row>
    <row r="683">
      <c r="A683" s="4" t="s">
        <v>10195</v>
      </c>
      <c r="B683" s="13" t="s">
        <v>43</v>
      </c>
      <c r="D683" s="3"/>
      <c r="E683" s="3"/>
      <c r="F683" s="3"/>
      <c r="G683" s="3"/>
      <c r="H683" s="3"/>
      <c r="I683" s="3"/>
    </row>
    <row r="684">
      <c r="A684" s="4" t="s">
        <v>10196</v>
      </c>
      <c r="B684" s="13" t="s">
        <v>43</v>
      </c>
      <c r="D684" s="3"/>
      <c r="E684" s="3"/>
      <c r="F684" s="3"/>
      <c r="G684" s="3"/>
      <c r="H684" s="3"/>
      <c r="I684" s="3"/>
    </row>
    <row r="685">
      <c r="A685" s="4" t="s">
        <v>10197</v>
      </c>
      <c r="B685" s="13" t="s">
        <v>43</v>
      </c>
      <c r="D685" s="3"/>
      <c r="E685" s="3"/>
      <c r="F685" s="3"/>
      <c r="G685" s="3"/>
      <c r="H685" s="3"/>
      <c r="I685" s="3"/>
    </row>
    <row r="686">
      <c r="A686" s="4" t="s">
        <v>10198</v>
      </c>
      <c r="B686" s="13" t="s">
        <v>43</v>
      </c>
      <c r="D686" s="3"/>
      <c r="E686" s="3"/>
      <c r="F686" s="3"/>
      <c r="G686" s="3"/>
      <c r="H686" s="3"/>
      <c r="I686" s="3"/>
    </row>
    <row r="687">
      <c r="A687" s="4" t="s">
        <v>10199</v>
      </c>
      <c r="B687" s="13" t="s">
        <v>43</v>
      </c>
      <c r="D687" s="3"/>
      <c r="E687" s="3"/>
      <c r="F687" s="3"/>
      <c r="G687" s="3"/>
      <c r="H687" s="3"/>
      <c r="I687" s="3"/>
    </row>
    <row r="688">
      <c r="A688" s="4" t="s">
        <v>10200</v>
      </c>
      <c r="B688" s="13" t="s">
        <v>43</v>
      </c>
      <c r="D688" s="3"/>
      <c r="E688" s="3"/>
      <c r="F688" s="3"/>
      <c r="G688" s="3"/>
      <c r="H688" s="3"/>
      <c r="I688" s="3"/>
    </row>
    <row r="689">
      <c r="A689" s="4" t="s">
        <v>10201</v>
      </c>
      <c r="B689" s="13" t="s">
        <v>43</v>
      </c>
      <c r="D689" s="3"/>
      <c r="E689" s="3"/>
      <c r="F689" s="3"/>
      <c r="G689" s="3"/>
      <c r="H689" s="3"/>
      <c r="I689" s="3"/>
    </row>
    <row r="690">
      <c r="A690" s="4" t="s">
        <v>10202</v>
      </c>
      <c r="B690" s="13" t="s">
        <v>43</v>
      </c>
      <c r="D690" s="3"/>
      <c r="E690" s="3"/>
      <c r="F690" s="3"/>
      <c r="G690" s="3"/>
      <c r="H690" s="3"/>
      <c r="I690" s="3"/>
    </row>
    <row r="691">
      <c r="A691" s="4" t="s">
        <v>10203</v>
      </c>
      <c r="B691" s="13" t="s">
        <v>43</v>
      </c>
      <c r="D691" s="3"/>
      <c r="E691" s="3"/>
      <c r="F691" s="3"/>
      <c r="G691" s="3"/>
      <c r="H691" s="3"/>
      <c r="I691" s="3"/>
    </row>
    <row r="692">
      <c r="A692" s="4" t="s">
        <v>10204</v>
      </c>
      <c r="B692" s="13" t="s">
        <v>43</v>
      </c>
      <c r="D692" s="3"/>
      <c r="E692" s="3"/>
      <c r="F692" s="3"/>
      <c r="G692" s="3"/>
      <c r="H692" s="3"/>
      <c r="I692" s="3"/>
    </row>
    <row r="693">
      <c r="A693" s="4" t="s">
        <v>10205</v>
      </c>
      <c r="B693" s="13" t="s">
        <v>43</v>
      </c>
      <c r="D693" s="3"/>
      <c r="E693" s="3"/>
      <c r="F693" s="3"/>
      <c r="G693" s="3"/>
      <c r="H693" s="3"/>
      <c r="I693" s="3"/>
    </row>
    <row r="694">
      <c r="A694" s="4" t="s">
        <v>10206</v>
      </c>
      <c r="B694" s="13" t="s">
        <v>43</v>
      </c>
      <c r="D694" s="3"/>
      <c r="E694" s="3"/>
      <c r="F694" s="3"/>
      <c r="G694" s="3"/>
      <c r="H694" s="3"/>
      <c r="I694" s="3"/>
    </row>
    <row r="695">
      <c r="A695" s="4" t="s">
        <v>10207</v>
      </c>
      <c r="B695" s="13" t="s">
        <v>43</v>
      </c>
      <c r="D695" s="3"/>
      <c r="E695" s="3"/>
      <c r="F695" s="3"/>
      <c r="G695" s="3"/>
      <c r="H695" s="3"/>
      <c r="I695" s="3"/>
    </row>
    <row r="696">
      <c r="A696" s="4" t="s">
        <v>10208</v>
      </c>
      <c r="B696" s="13" t="s">
        <v>43</v>
      </c>
      <c r="D696" s="3"/>
      <c r="E696" s="3"/>
      <c r="F696" s="3"/>
      <c r="G696" s="3"/>
      <c r="H696" s="3"/>
      <c r="I696" s="3"/>
    </row>
    <row r="697">
      <c r="A697" s="4" t="s">
        <v>10209</v>
      </c>
      <c r="B697" s="13" t="s">
        <v>43</v>
      </c>
      <c r="D697" s="3"/>
      <c r="E697" s="3"/>
      <c r="F697" s="3"/>
      <c r="G697" s="3"/>
      <c r="H697" s="3"/>
      <c r="I697" s="3"/>
    </row>
    <row r="698">
      <c r="A698" s="4" t="s">
        <v>10210</v>
      </c>
      <c r="B698" s="13" t="s">
        <v>43</v>
      </c>
      <c r="D698" s="3"/>
      <c r="E698" s="3"/>
      <c r="F698" s="3"/>
      <c r="G698" s="3"/>
      <c r="H698" s="3"/>
      <c r="I698" s="3"/>
    </row>
    <row r="699">
      <c r="A699" s="4" t="s">
        <v>10211</v>
      </c>
      <c r="B699" s="13" t="s">
        <v>43</v>
      </c>
      <c r="D699" s="3"/>
      <c r="E699" s="3"/>
      <c r="F699" s="3"/>
      <c r="G699" s="3"/>
      <c r="H699" s="3"/>
      <c r="I699" s="3"/>
    </row>
    <row r="700">
      <c r="A700" s="4" t="s">
        <v>10212</v>
      </c>
      <c r="B700" s="13" t="s">
        <v>43</v>
      </c>
      <c r="D700" s="3"/>
      <c r="E700" s="3"/>
      <c r="F700" s="3"/>
      <c r="G700" s="3"/>
      <c r="H700" s="3"/>
      <c r="I700" s="3"/>
    </row>
    <row r="701">
      <c r="A701" s="4" t="s">
        <v>10213</v>
      </c>
      <c r="B701" s="13" t="s">
        <v>43</v>
      </c>
      <c r="D701" s="3"/>
      <c r="E701" s="3"/>
      <c r="F701" s="3"/>
      <c r="G701" s="3"/>
      <c r="H701" s="3"/>
      <c r="I701" s="3"/>
    </row>
    <row r="702">
      <c r="A702" s="4" t="s">
        <v>10214</v>
      </c>
      <c r="B702" s="13" t="s">
        <v>43</v>
      </c>
      <c r="D702" s="3"/>
      <c r="E702" s="3"/>
      <c r="F702" s="3"/>
      <c r="G702" s="3"/>
      <c r="H702" s="3"/>
      <c r="I702" s="3"/>
    </row>
    <row r="703">
      <c r="A703" s="4" t="s">
        <v>10215</v>
      </c>
      <c r="B703" s="13" t="s">
        <v>43</v>
      </c>
      <c r="D703" s="3"/>
      <c r="E703" s="3"/>
      <c r="F703" s="3"/>
      <c r="G703" s="3"/>
      <c r="H703" s="3"/>
      <c r="I703" s="3"/>
    </row>
    <row r="704">
      <c r="A704" s="4" t="s">
        <v>10216</v>
      </c>
      <c r="B704" s="13" t="s">
        <v>43</v>
      </c>
      <c r="D704" s="3"/>
      <c r="E704" s="3"/>
      <c r="F704" s="3"/>
      <c r="G704" s="3"/>
      <c r="H704" s="3"/>
      <c r="I704" s="3"/>
    </row>
    <row r="705">
      <c r="A705" s="4" t="s">
        <v>10217</v>
      </c>
      <c r="B705" s="13" t="s">
        <v>43</v>
      </c>
      <c r="D705" s="3"/>
      <c r="E705" s="3"/>
      <c r="F705" s="3"/>
      <c r="G705" s="3"/>
      <c r="H705" s="3"/>
      <c r="I705" s="3"/>
    </row>
    <row r="706">
      <c r="A706" s="4" t="s">
        <v>10218</v>
      </c>
      <c r="B706" s="13" t="s">
        <v>43</v>
      </c>
      <c r="D706" s="3"/>
      <c r="E706" s="3"/>
      <c r="F706" s="3"/>
      <c r="G706" s="3"/>
      <c r="H706" s="3"/>
      <c r="I706" s="3"/>
    </row>
    <row r="707">
      <c r="A707" s="4" t="s">
        <v>10219</v>
      </c>
      <c r="B707" s="13" t="s">
        <v>43</v>
      </c>
      <c r="D707" s="3"/>
      <c r="E707" s="3"/>
      <c r="F707" s="3"/>
      <c r="G707" s="3"/>
      <c r="H707" s="3"/>
      <c r="I707" s="3"/>
    </row>
    <row r="708">
      <c r="A708" s="4" t="s">
        <v>10220</v>
      </c>
      <c r="B708" s="13" t="s">
        <v>43</v>
      </c>
      <c r="D708" s="3"/>
      <c r="E708" s="3"/>
      <c r="F708" s="3"/>
      <c r="G708" s="3"/>
      <c r="H708" s="3"/>
      <c r="I708" s="3"/>
    </row>
    <row r="709">
      <c r="A709" s="4" t="s">
        <v>10221</v>
      </c>
      <c r="B709" s="13" t="s">
        <v>43</v>
      </c>
      <c r="D709" s="3"/>
      <c r="E709" s="3"/>
      <c r="F709" s="3"/>
      <c r="G709" s="3"/>
      <c r="H709" s="3"/>
      <c r="I709" s="3"/>
    </row>
    <row r="710">
      <c r="A710" s="4" t="s">
        <v>10222</v>
      </c>
      <c r="B710" s="13" t="s">
        <v>43</v>
      </c>
      <c r="D710" s="3"/>
      <c r="E710" s="3"/>
      <c r="F710" s="3"/>
      <c r="G710" s="3"/>
      <c r="H710" s="3"/>
      <c r="I710" s="3"/>
    </row>
    <row r="711">
      <c r="A711" s="4" t="s">
        <v>10223</v>
      </c>
      <c r="B711" s="13" t="s">
        <v>43</v>
      </c>
      <c r="D711" s="3"/>
      <c r="E711" s="3"/>
      <c r="F711" s="3"/>
      <c r="G711" s="3"/>
      <c r="H711" s="3"/>
      <c r="I711" s="3"/>
    </row>
    <row r="712">
      <c r="A712" s="4" t="s">
        <v>10224</v>
      </c>
      <c r="B712" s="13" t="s">
        <v>43</v>
      </c>
      <c r="D712" s="3"/>
      <c r="E712" s="3"/>
      <c r="F712" s="3"/>
      <c r="G712" s="3"/>
      <c r="H712" s="3"/>
      <c r="I712" s="3"/>
    </row>
    <row r="713">
      <c r="A713" s="4" t="s">
        <v>10225</v>
      </c>
      <c r="B713" s="13" t="s">
        <v>43</v>
      </c>
      <c r="D713" s="3"/>
      <c r="E713" s="3"/>
      <c r="F713" s="3"/>
      <c r="G713" s="3"/>
      <c r="H713" s="3"/>
      <c r="I713" s="3"/>
    </row>
    <row r="714">
      <c r="A714" s="4" t="s">
        <v>10226</v>
      </c>
      <c r="B714" s="13" t="s">
        <v>43</v>
      </c>
      <c r="D714" s="3"/>
      <c r="E714" s="3"/>
      <c r="F714" s="3"/>
      <c r="G714" s="3"/>
      <c r="H714" s="3"/>
      <c r="I714" s="3"/>
    </row>
    <row r="715">
      <c r="A715" s="4" t="s">
        <v>10227</v>
      </c>
      <c r="B715" s="13" t="s">
        <v>43</v>
      </c>
      <c r="D715" s="3"/>
      <c r="E715" s="3"/>
      <c r="F715" s="3"/>
      <c r="G715" s="3"/>
      <c r="H715" s="3"/>
      <c r="I715" s="3"/>
    </row>
    <row r="716">
      <c r="A716" s="4" t="s">
        <v>10228</v>
      </c>
      <c r="B716" s="13" t="s">
        <v>43</v>
      </c>
      <c r="D716" s="3"/>
      <c r="E716" s="3"/>
      <c r="F716" s="3"/>
      <c r="G716" s="3"/>
      <c r="H716" s="3"/>
      <c r="I716" s="3"/>
    </row>
    <row r="717">
      <c r="A717" s="4" t="s">
        <v>10229</v>
      </c>
      <c r="B717" s="13" t="s">
        <v>43</v>
      </c>
      <c r="D717" s="3"/>
      <c r="E717" s="3"/>
      <c r="F717" s="3"/>
      <c r="G717" s="3"/>
      <c r="H717" s="3"/>
      <c r="I717" s="3"/>
    </row>
    <row r="718">
      <c r="A718" s="4" t="s">
        <v>10230</v>
      </c>
      <c r="B718" s="13" t="s">
        <v>43</v>
      </c>
      <c r="D718" s="3"/>
      <c r="E718" s="3"/>
      <c r="F718" s="3"/>
      <c r="G718" s="3"/>
      <c r="H718" s="3"/>
      <c r="I718" s="3"/>
    </row>
    <row r="719">
      <c r="A719" s="4" t="s">
        <v>10231</v>
      </c>
      <c r="B719" s="13" t="s">
        <v>43</v>
      </c>
      <c r="D719" s="3"/>
      <c r="E719" s="3"/>
      <c r="F719" s="3"/>
      <c r="G719" s="3"/>
      <c r="H719" s="3"/>
      <c r="I719" s="3"/>
    </row>
    <row r="720">
      <c r="A720" s="4" t="s">
        <v>10232</v>
      </c>
      <c r="B720" s="13" t="s">
        <v>43</v>
      </c>
      <c r="D720" s="3"/>
      <c r="E720" s="3"/>
      <c r="F720" s="3"/>
      <c r="G720" s="3"/>
      <c r="H720" s="3"/>
      <c r="I720" s="3"/>
    </row>
    <row r="721">
      <c r="A721" s="4" t="s">
        <v>10233</v>
      </c>
      <c r="B721" s="13" t="s">
        <v>43</v>
      </c>
      <c r="D721" s="3"/>
      <c r="E721" s="3"/>
      <c r="F721" s="3"/>
      <c r="G721" s="3"/>
      <c r="H721" s="3"/>
      <c r="I721" s="3"/>
    </row>
    <row r="722">
      <c r="A722" s="4" t="s">
        <v>10234</v>
      </c>
      <c r="B722" s="13" t="s">
        <v>43</v>
      </c>
      <c r="D722" s="3"/>
      <c r="E722" s="3"/>
      <c r="F722" s="3"/>
      <c r="G722" s="3"/>
      <c r="H722" s="3"/>
      <c r="I722" s="3"/>
    </row>
    <row r="723">
      <c r="A723" s="4" t="s">
        <v>10235</v>
      </c>
      <c r="B723" s="13" t="s">
        <v>43</v>
      </c>
      <c r="D723" s="3"/>
      <c r="E723" s="3"/>
      <c r="F723" s="3"/>
      <c r="G723" s="3"/>
      <c r="H723" s="3"/>
      <c r="I723" s="3"/>
    </row>
    <row r="724">
      <c r="A724" s="4" t="s">
        <v>10236</v>
      </c>
      <c r="B724" s="13" t="s">
        <v>43</v>
      </c>
      <c r="D724" s="3"/>
      <c r="E724" s="3"/>
      <c r="F724" s="3"/>
      <c r="G724" s="3"/>
      <c r="H724" s="3"/>
      <c r="I724" s="3"/>
    </row>
    <row r="725">
      <c r="A725" s="4" t="s">
        <v>10237</v>
      </c>
      <c r="B725" s="13" t="s">
        <v>43</v>
      </c>
      <c r="D725" s="3"/>
      <c r="E725" s="3"/>
      <c r="F725" s="3"/>
      <c r="G725" s="3"/>
      <c r="H725" s="3"/>
      <c r="I725" s="3"/>
    </row>
    <row r="726">
      <c r="A726" s="4" t="s">
        <v>10238</v>
      </c>
      <c r="B726" s="13" t="s">
        <v>43</v>
      </c>
      <c r="D726" s="3"/>
      <c r="E726" s="3"/>
      <c r="F726" s="3"/>
      <c r="G726" s="3"/>
      <c r="H726" s="3"/>
      <c r="I726" s="3"/>
    </row>
    <row r="727">
      <c r="A727" s="4" t="s">
        <v>10239</v>
      </c>
      <c r="B727" s="13" t="s">
        <v>43</v>
      </c>
      <c r="D727" s="3"/>
      <c r="E727" s="3"/>
      <c r="F727" s="3"/>
      <c r="G727" s="3"/>
      <c r="H727" s="3"/>
      <c r="I727" s="3"/>
    </row>
    <row r="728">
      <c r="A728" s="4" t="s">
        <v>10240</v>
      </c>
      <c r="B728" s="13" t="s">
        <v>43</v>
      </c>
      <c r="D728" s="3"/>
      <c r="E728" s="3"/>
      <c r="F728" s="3"/>
      <c r="G728" s="3"/>
      <c r="H728" s="3"/>
      <c r="I728" s="3"/>
    </row>
    <row r="729">
      <c r="A729" s="4" t="s">
        <v>10241</v>
      </c>
      <c r="B729" s="13" t="s">
        <v>43</v>
      </c>
      <c r="D729" s="3"/>
      <c r="E729" s="3"/>
      <c r="F729" s="3"/>
      <c r="G729" s="3"/>
      <c r="H729" s="3"/>
      <c r="I729" s="3"/>
    </row>
    <row r="730">
      <c r="A730" s="4" t="s">
        <v>10242</v>
      </c>
      <c r="B730" s="13" t="s">
        <v>43</v>
      </c>
      <c r="D730" s="3"/>
      <c r="E730" s="3"/>
      <c r="F730" s="3"/>
      <c r="G730" s="3"/>
      <c r="H730" s="3"/>
      <c r="I730" s="3"/>
    </row>
    <row r="731">
      <c r="A731" s="4" t="s">
        <v>10243</v>
      </c>
      <c r="B731" s="13" t="s">
        <v>43</v>
      </c>
      <c r="D731" s="3"/>
      <c r="E731" s="3"/>
      <c r="F731" s="3"/>
      <c r="G731" s="3"/>
      <c r="H731" s="3"/>
      <c r="I731" s="3"/>
    </row>
    <row r="732">
      <c r="A732" s="4" t="s">
        <v>10244</v>
      </c>
      <c r="B732" s="13" t="s">
        <v>43</v>
      </c>
      <c r="D732" s="3"/>
      <c r="E732" s="3"/>
      <c r="F732" s="3"/>
      <c r="G732" s="3"/>
      <c r="H732" s="3"/>
      <c r="I732" s="3"/>
    </row>
    <row r="733">
      <c r="A733" s="4" t="s">
        <v>10245</v>
      </c>
      <c r="B733" s="13" t="s">
        <v>43</v>
      </c>
      <c r="D733" s="3"/>
      <c r="E733" s="3"/>
      <c r="F733" s="3"/>
      <c r="G733" s="3"/>
      <c r="H733" s="3"/>
      <c r="I733" s="3"/>
    </row>
    <row r="734">
      <c r="A734" s="4" t="s">
        <v>10246</v>
      </c>
      <c r="B734" s="13" t="s">
        <v>43</v>
      </c>
      <c r="D734" s="3"/>
      <c r="E734" s="3"/>
      <c r="F734" s="3"/>
      <c r="G734" s="3"/>
      <c r="H734" s="3"/>
      <c r="I734" s="3"/>
    </row>
    <row r="735">
      <c r="A735" s="4" t="s">
        <v>10247</v>
      </c>
      <c r="B735" s="13" t="s">
        <v>43</v>
      </c>
      <c r="D735" s="3"/>
      <c r="E735" s="3"/>
      <c r="F735" s="3"/>
      <c r="G735" s="3"/>
      <c r="H735" s="3"/>
      <c r="I735" s="3"/>
    </row>
    <row r="736">
      <c r="A736" s="4" t="s">
        <v>10248</v>
      </c>
      <c r="B736" s="13" t="s">
        <v>43</v>
      </c>
      <c r="D736" s="3"/>
      <c r="E736" s="3"/>
      <c r="F736" s="3"/>
      <c r="G736" s="3"/>
      <c r="H736" s="3"/>
      <c r="I736" s="3"/>
    </row>
    <row r="737">
      <c r="A737" s="4" t="s">
        <v>10249</v>
      </c>
      <c r="B737" s="13" t="s">
        <v>43</v>
      </c>
      <c r="D737" s="3"/>
      <c r="E737" s="3"/>
      <c r="F737" s="3"/>
      <c r="G737" s="3"/>
      <c r="H737" s="3"/>
      <c r="I737" s="3"/>
    </row>
    <row r="738">
      <c r="A738" s="4" t="s">
        <v>10250</v>
      </c>
      <c r="B738" s="13" t="s">
        <v>43</v>
      </c>
      <c r="D738" s="3"/>
      <c r="E738" s="3"/>
      <c r="F738" s="3"/>
      <c r="G738" s="3"/>
      <c r="H738" s="3"/>
      <c r="I738" s="3"/>
    </row>
    <row r="739">
      <c r="A739" s="4" t="s">
        <v>10251</v>
      </c>
      <c r="B739" s="13" t="s">
        <v>43</v>
      </c>
      <c r="D739" s="3"/>
      <c r="E739" s="3"/>
      <c r="F739" s="3"/>
      <c r="G739" s="3"/>
      <c r="H739" s="3"/>
      <c r="I739" s="3"/>
    </row>
    <row r="740">
      <c r="A740" s="4" t="s">
        <v>10252</v>
      </c>
      <c r="B740" s="13" t="s">
        <v>43</v>
      </c>
      <c r="D740" s="3"/>
      <c r="E740" s="3"/>
      <c r="F740" s="3"/>
      <c r="G740" s="3"/>
      <c r="H740" s="3"/>
      <c r="I740" s="3"/>
    </row>
    <row r="741">
      <c r="A741" s="4" t="s">
        <v>10253</v>
      </c>
      <c r="B741" s="13" t="s">
        <v>43</v>
      </c>
      <c r="D741" s="3"/>
      <c r="E741" s="3"/>
      <c r="F741" s="3"/>
      <c r="G741" s="3"/>
      <c r="H741" s="3"/>
      <c r="I741" s="3"/>
    </row>
    <row r="742">
      <c r="A742" s="4" t="s">
        <v>10254</v>
      </c>
      <c r="B742" s="13" t="s">
        <v>43</v>
      </c>
      <c r="D742" s="3"/>
      <c r="E742" s="3"/>
      <c r="F742" s="3"/>
      <c r="G742" s="3"/>
      <c r="H742" s="3"/>
      <c r="I742" s="3"/>
    </row>
    <row r="743">
      <c r="A743" s="4" t="s">
        <v>10255</v>
      </c>
      <c r="B743" s="13" t="s">
        <v>43</v>
      </c>
      <c r="D743" s="3"/>
      <c r="E743" s="3"/>
      <c r="F743" s="3"/>
      <c r="G743" s="3"/>
      <c r="H743" s="3"/>
      <c r="I743" s="3"/>
    </row>
    <row r="744">
      <c r="A744" s="4" t="s">
        <v>10256</v>
      </c>
      <c r="B744" s="13" t="s">
        <v>43</v>
      </c>
      <c r="D744" s="3"/>
      <c r="E744" s="3"/>
      <c r="F744" s="3"/>
      <c r="G744" s="3"/>
      <c r="H744" s="3"/>
      <c r="I744" s="3"/>
    </row>
    <row r="745">
      <c r="A745" s="4" t="s">
        <v>10257</v>
      </c>
      <c r="B745" s="13" t="s">
        <v>43</v>
      </c>
      <c r="D745" s="3"/>
      <c r="E745" s="3"/>
      <c r="F745" s="3"/>
      <c r="G745" s="3"/>
      <c r="H745" s="3"/>
      <c r="I745" s="3"/>
    </row>
    <row r="746">
      <c r="A746" s="4" t="s">
        <v>10258</v>
      </c>
      <c r="B746" s="13" t="s">
        <v>43</v>
      </c>
      <c r="D746" s="3"/>
      <c r="E746" s="3"/>
      <c r="F746" s="3"/>
      <c r="G746" s="3"/>
      <c r="H746" s="3"/>
      <c r="I746" s="3"/>
    </row>
    <row r="747">
      <c r="A747" s="4" t="s">
        <v>10259</v>
      </c>
      <c r="B747" s="13" t="s">
        <v>43</v>
      </c>
      <c r="D747" s="3"/>
      <c r="E747" s="3"/>
      <c r="F747" s="3"/>
      <c r="G747" s="3"/>
      <c r="H747" s="3"/>
      <c r="I747" s="3"/>
    </row>
    <row r="748">
      <c r="A748" s="4" t="s">
        <v>10260</v>
      </c>
      <c r="B748" s="13" t="s">
        <v>43</v>
      </c>
      <c r="D748" s="3"/>
      <c r="E748" s="3"/>
      <c r="F748" s="3"/>
      <c r="G748" s="3"/>
      <c r="H748" s="3"/>
      <c r="I748" s="3"/>
    </row>
    <row r="749">
      <c r="A749" s="4" t="s">
        <v>10261</v>
      </c>
      <c r="B749" s="13" t="s">
        <v>43</v>
      </c>
      <c r="D749" s="3"/>
      <c r="E749" s="3"/>
      <c r="F749" s="3"/>
      <c r="G749" s="3"/>
      <c r="H749" s="3"/>
      <c r="I749" s="3"/>
    </row>
    <row r="750">
      <c r="A750" s="4" t="s">
        <v>10262</v>
      </c>
      <c r="B750" s="13" t="s">
        <v>43</v>
      </c>
      <c r="D750" s="3"/>
      <c r="E750" s="3"/>
      <c r="F750" s="3"/>
      <c r="G750" s="3"/>
      <c r="H750" s="3"/>
      <c r="I750" s="3"/>
    </row>
    <row r="751">
      <c r="A751" s="4" t="s">
        <v>10263</v>
      </c>
      <c r="B751" s="13" t="s">
        <v>43</v>
      </c>
      <c r="D751" s="3"/>
      <c r="E751" s="3"/>
      <c r="F751" s="3"/>
      <c r="G751" s="3"/>
      <c r="H751" s="3"/>
      <c r="I751" s="3"/>
    </row>
    <row r="752">
      <c r="A752" s="4" t="s">
        <v>10264</v>
      </c>
      <c r="B752" s="13" t="s">
        <v>43</v>
      </c>
      <c r="D752" s="3"/>
      <c r="E752" s="3"/>
      <c r="F752" s="3"/>
      <c r="G752" s="3"/>
      <c r="H752" s="3"/>
      <c r="I752" s="3"/>
    </row>
    <row r="753">
      <c r="A753" s="4" t="s">
        <v>10265</v>
      </c>
      <c r="B753" s="13" t="s">
        <v>43</v>
      </c>
      <c r="D753" s="3"/>
      <c r="E753" s="3"/>
      <c r="F753" s="3"/>
      <c r="G753" s="3"/>
      <c r="H753" s="3"/>
      <c r="I753" s="3"/>
    </row>
    <row r="754">
      <c r="A754" s="4" t="s">
        <v>10266</v>
      </c>
      <c r="B754" s="13" t="s">
        <v>43</v>
      </c>
      <c r="D754" s="3"/>
      <c r="E754" s="3"/>
      <c r="F754" s="3"/>
      <c r="G754" s="3"/>
      <c r="H754" s="3"/>
      <c r="I754" s="3"/>
    </row>
    <row r="755">
      <c r="A755" s="4" t="s">
        <v>10267</v>
      </c>
      <c r="B755" s="13" t="s">
        <v>43</v>
      </c>
      <c r="D755" s="3"/>
      <c r="E755" s="3"/>
      <c r="F755" s="3"/>
      <c r="G755" s="3"/>
      <c r="H755" s="3"/>
      <c r="I755" s="3"/>
    </row>
    <row r="756">
      <c r="A756" s="4" t="s">
        <v>10268</v>
      </c>
      <c r="B756" s="13" t="s">
        <v>43</v>
      </c>
      <c r="D756" s="3"/>
      <c r="E756" s="3"/>
      <c r="F756" s="3"/>
      <c r="G756" s="3"/>
      <c r="H756" s="3"/>
      <c r="I756" s="3"/>
    </row>
    <row r="757">
      <c r="A757" s="4" t="s">
        <v>10269</v>
      </c>
      <c r="B757" s="13" t="s">
        <v>43</v>
      </c>
      <c r="D757" s="3"/>
      <c r="E757" s="3"/>
      <c r="F757" s="3"/>
      <c r="G757" s="3"/>
      <c r="H757" s="3"/>
      <c r="I757" s="3"/>
    </row>
    <row r="758">
      <c r="A758" s="4" t="s">
        <v>10270</v>
      </c>
      <c r="B758" s="13" t="s">
        <v>43</v>
      </c>
      <c r="D758" s="3"/>
      <c r="E758" s="3"/>
      <c r="F758" s="3"/>
      <c r="G758" s="3"/>
      <c r="H758" s="3"/>
      <c r="I758" s="3"/>
    </row>
    <row r="759">
      <c r="A759" s="4" t="s">
        <v>10271</v>
      </c>
      <c r="B759" s="13" t="s">
        <v>43</v>
      </c>
      <c r="D759" s="3"/>
      <c r="E759" s="3"/>
      <c r="F759" s="3"/>
      <c r="G759" s="3"/>
      <c r="H759" s="3"/>
      <c r="I759" s="3"/>
    </row>
    <row r="760">
      <c r="A760" s="4" t="s">
        <v>10272</v>
      </c>
      <c r="B760" s="13" t="s">
        <v>43</v>
      </c>
      <c r="D760" s="3"/>
      <c r="E760" s="3"/>
      <c r="F760" s="3"/>
      <c r="G760" s="3"/>
      <c r="H760" s="3"/>
      <c r="I760" s="3"/>
    </row>
    <row r="761">
      <c r="A761" s="4" t="s">
        <v>10273</v>
      </c>
      <c r="B761" s="13" t="s">
        <v>43</v>
      </c>
      <c r="D761" s="3"/>
      <c r="E761" s="3"/>
      <c r="F761" s="3"/>
      <c r="G761" s="3"/>
      <c r="H761" s="3"/>
      <c r="I761" s="3"/>
    </row>
    <row r="762">
      <c r="A762" s="4" t="s">
        <v>10274</v>
      </c>
      <c r="B762" s="13" t="s">
        <v>43</v>
      </c>
      <c r="D762" s="3"/>
      <c r="E762" s="3"/>
      <c r="F762" s="3"/>
      <c r="G762" s="3"/>
      <c r="H762" s="3"/>
      <c r="I762" s="3"/>
    </row>
    <row r="763">
      <c r="A763" s="4" t="s">
        <v>10275</v>
      </c>
      <c r="B763" s="13" t="s">
        <v>43</v>
      </c>
      <c r="D763" s="3"/>
      <c r="E763" s="3"/>
      <c r="F763" s="3"/>
      <c r="G763" s="3"/>
      <c r="H763" s="3"/>
      <c r="I763" s="3"/>
    </row>
    <row r="764">
      <c r="A764" s="4" t="s">
        <v>10276</v>
      </c>
      <c r="B764" s="13" t="s">
        <v>43</v>
      </c>
      <c r="D764" s="3"/>
      <c r="E764" s="3"/>
      <c r="F764" s="3"/>
      <c r="G764" s="3"/>
      <c r="H764" s="3"/>
      <c r="I764" s="3"/>
    </row>
    <row r="765">
      <c r="A765" s="4" t="s">
        <v>10277</v>
      </c>
      <c r="B765" s="13" t="s">
        <v>43</v>
      </c>
      <c r="D765" s="3"/>
      <c r="E765" s="3"/>
      <c r="F765" s="3"/>
      <c r="G765" s="3"/>
      <c r="H765" s="3"/>
      <c r="I765" s="3"/>
    </row>
    <row r="766">
      <c r="A766" s="4" t="s">
        <v>10278</v>
      </c>
      <c r="B766" s="13" t="s">
        <v>43</v>
      </c>
      <c r="D766" s="3"/>
      <c r="E766" s="3"/>
      <c r="F766" s="3"/>
      <c r="G766" s="3"/>
      <c r="H766" s="3"/>
      <c r="I766" s="3"/>
    </row>
    <row r="767">
      <c r="A767" s="4" t="s">
        <v>10279</v>
      </c>
      <c r="B767" s="13" t="s">
        <v>43</v>
      </c>
      <c r="D767" s="3"/>
      <c r="E767" s="3"/>
      <c r="F767" s="3"/>
      <c r="G767" s="3"/>
      <c r="H767" s="3"/>
      <c r="I767" s="3"/>
    </row>
    <row r="768">
      <c r="A768" s="4" t="s">
        <v>10280</v>
      </c>
      <c r="B768" s="13" t="s">
        <v>43</v>
      </c>
      <c r="D768" s="3"/>
      <c r="E768" s="3"/>
      <c r="F768" s="3"/>
      <c r="G768" s="3"/>
      <c r="H768" s="3"/>
      <c r="I768" s="3"/>
    </row>
    <row r="769">
      <c r="A769" s="4" t="s">
        <v>10281</v>
      </c>
      <c r="B769" s="13" t="s">
        <v>48</v>
      </c>
      <c r="C769" s="4">
        <v>1.0</v>
      </c>
      <c r="D769" s="3"/>
      <c r="E769" s="4">
        <v>2.0</v>
      </c>
      <c r="F769" s="3"/>
      <c r="G769" s="3"/>
      <c r="H769" s="3"/>
      <c r="I769" s="3"/>
    </row>
    <row r="770">
      <c r="A770" s="4" t="s">
        <v>10282</v>
      </c>
      <c r="B770" s="13" t="s">
        <v>48</v>
      </c>
      <c r="C770" s="4">
        <v>1.0</v>
      </c>
      <c r="D770" s="3"/>
      <c r="E770" s="4">
        <v>2.0</v>
      </c>
      <c r="F770" s="3"/>
      <c r="G770" s="3"/>
      <c r="H770" s="3"/>
      <c r="I770" s="3"/>
    </row>
    <row r="771">
      <c r="A771" s="4" t="s">
        <v>10283</v>
      </c>
      <c r="B771" s="13" t="s">
        <v>43</v>
      </c>
      <c r="D771" s="3"/>
      <c r="E771" s="3"/>
      <c r="F771" s="3"/>
      <c r="G771" s="3"/>
      <c r="H771" s="3"/>
      <c r="I771" s="3"/>
    </row>
    <row r="772">
      <c r="A772" s="4" t="s">
        <v>10284</v>
      </c>
      <c r="B772" s="13" t="s">
        <v>43</v>
      </c>
      <c r="D772" s="3"/>
      <c r="E772" s="3"/>
      <c r="F772" s="3"/>
      <c r="G772" s="3"/>
      <c r="H772" s="3"/>
      <c r="I772" s="3"/>
    </row>
    <row r="773">
      <c r="A773" s="4" t="s">
        <v>10285</v>
      </c>
      <c r="B773" s="13" t="s">
        <v>43</v>
      </c>
      <c r="D773" s="3"/>
      <c r="E773" s="3"/>
      <c r="F773" s="3"/>
      <c r="G773" s="3"/>
      <c r="H773" s="3"/>
      <c r="I773" s="3"/>
      <c r="J773" s="4" t="s">
        <v>1757</v>
      </c>
    </row>
    <row r="774">
      <c r="A774" s="4" t="s">
        <v>10286</v>
      </c>
      <c r="B774" s="13" t="s">
        <v>43</v>
      </c>
      <c r="D774" s="3"/>
      <c r="E774" s="3"/>
      <c r="F774" s="3"/>
      <c r="G774" s="3"/>
      <c r="H774" s="3"/>
      <c r="I774" s="3"/>
      <c r="J774" s="4" t="s">
        <v>1757</v>
      </c>
    </row>
    <row r="775">
      <c r="A775" s="4" t="s">
        <v>10287</v>
      </c>
      <c r="B775" s="13" t="s">
        <v>43</v>
      </c>
      <c r="D775" s="3"/>
      <c r="E775" s="3"/>
      <c r="F775" s="3"/>
      <c r="G775" s="3"/>
      <c r="H775" s="3"/>
      <c r="I775" s="3"/>
      <c r="J775" s="4" t="s">
        <v>1757</v>
      </c>
    </row>
    <row r="776">
      <c r="A776" s="4" t="s">
        <v>10288</v>
      </c>
      <c r="B776" s="13" t="s">
        <v>43</v>
      </c>
      <c r="D776" s="3"/>
      <c r="E776" s="3"/>
      <c r="F776" s="3"/>
      <c r="G776" s="3"/>
      <c r="H776" s="3"/>
      <c r="I776" s="3"/>
      <c r="J776" s="4" t="s">
        <v>1757</v>
      </c>
    </row>
    <row r="777">
      <c r="A777" s="4" t="s">
        <v>10289</v>
      </c>
      <c r="B777" s="13" t="s">
        <v>43</v>
      </c>
      <c r="D777" s="3"/>
      <c r="E777" s="3"/>
      <c r="F777" s="3"/>
      <c r="G777" s="3"/>
      <c r="H777" s="3"/>
      <c r="I777" s="3"/>
      <c r="J777" s="4" t="s">
        <v>1757</v>
      </c>
    </row>
    <row r="778">
      <c r="A778" s="4" t="s">
        <v>10290</v>
      </c>
      <c r="B778" s="13" t="s">
        <v>43</v>
      </c>
      <c r="D778" s="3"/>
      <c r="E778" s="3"/>
      <c r="F778" s="3"/>
      <c r="G778" s="3"/>
      <c r="H778" s="3"/>
      <c r="I778" s="3"/>
      <c r="J778" s="4" t="s">
        <v>1757</v>
      </c>
    </row>
    <row r="779">
      <c r="A779" s="4" t="s">
        <v>10291</v>
      </c>
      <c r="B779" s="13" t="s">
        <v>43</v>
      </c>
      <c r="D779" s="3"/>
      <c r="E779" s="3"/>
      <c r="F779" s="3"/>
      <c r="G779" s="3"/>
      <c r="H779" s="3"/>
      <c r="I779" s="3"/>
      <c r="J779" s="4" t="s">
        <v>1757</v>
      </c>
    </row>
    <row r="780">
      <c r="A780" s="4" t="s">
        <v>10292</v>
      </c>
      <c r="B780" s="13" t="s">
        <v>43</v>
      </c>
      <c r="D780" s="3"/>
      <c r="E780" s="3"/>
      <c r="F780" s="3"/>
      <c r="G780" s="3"/>
      <c r="H780" s="3"/>
      <c r="I780" s="3"/>
    </row>
    <row r="781">
      <c r="A781" s="4" t="s">
        <v>10293</v>
      </c>
      <c r="B781" s="13" t="s">
        <v>43</v>
      </c>
      <c r="D781" s="3"/>
      <c r="E781" s="3"/>
      <c r="F781" s="3"/>
      <c r="G781" s="3"/>
      <c r="H781" s="3"/>
      <c r="I781" s="3"/>
    </row>
    <row r="782">
      <c r="A782" s="4" t="s">
        <v>10294</v>
      </c>
      <c r="B782" s="13" t="s">
        <v>43</v>
      </c>
      <c r="D782" s="3"/>
      <c r="E782" s="3"/>
      <c r="F782" s="3"/>
      <c r="G782" s="3"/>
      <c r="H782" s="3"/>
      <c r="I782" s="3"/>
    </row>
    <row r="783">
      <c r="A783" s="4" t="s">
        <v>10295</v>
      </c>
      <c r="B783" s="13" t="s">
        <v>43</v>
      </c>
      <c r="D783" s="3"/>
      <c r="E783" s="3"/>
      <c r="F783" s="3"/>
      <c r="G783" s="3"/>
      <c r="H783" s="3"/>
      <c r="I783" s="3"/>
    </row>
    <row r="784">
      <c r="A784" s="4" t="s">
        <v>10296</v>
      </c>
      <c r="B784" s="13" t="s">
        <v>43</v>
      </c>
      <c r="D784" s="3"/>
      <c r="E784" s="3"/>
      <c r="F784" s="3"/>
      <c r="G784" s="3"/>
      <c r="H784" s="3"/>
      <c r="I784" s="3"/>
    </row>
    <row r="785">
      <c r="A785" s="4" t="s">
        <v>10297</v>
      </c>
      <c r="B785" s="13" t="s">
        <v>43</v>
      </c>
      <c r="D785" s="3"/>
      <c r="E785" s="3"/>
      <c r="F785" s="3"/>
      <c r="G785" s="3"/>
      <c r="H785" s="3"/>
      <c r="I785" s="3"/>
    </row>
    <row r="786">
      <c r="A786" s="4" t="s">
        <v>10298</v>
      </c>
      <c r="B786" s="13" t="s">
        <v>48</v>
      </c>
      <c r="C786" s="4">
        <v>1.0</v>
      </c>
      <c r="D786" s="3"/>
      <c r="E786" s="4">
        <v>2.0</v>
      </c>
      <c r="F786" s="3"/>
      <c r="G786" s="3"/>
      <c r="H786" s="3"/>
      <c r="I786" s="3"/>
    </row>
    <row r="787">
      <c r="A787" s="4" t="s">
        <v>10299</v>
      </c>
      <c r="B787" s="13" t="s">
        <v>48</v>
      </c>
      <c r="C787" s="4">
        <v>1.0</v>
      </c>
      <c r="D787" s="3"/>
      <c r="E787" s="4">
        <v>2.0</v>
      </c>
      <c r="F787" s="3"/>
      <c r="G787" s="3"/>
      <c r="H787" s="3"/>
      <c r="I787" s="3"/>
    </row>
    <row r="788">
      <c r="A788" s="4" t="s">
        <v>10300</v>
      </c>
      <c r="B788" s="13" t="s">
        <v>48</v>
      </c>
      <c r="C788" s="4">
        <v>1.0</v>
      </c>
      <c r="D788" s="3"/>
      <c r="E788" s="4">
        <v>2.0</v>
      </c>
      <c r="F788" s="3"/>
      <c r="G788" s="3"/>
      <c r="H788" s="3"/>
      <c r="I788" s="3"/>
    </row>
    <row r="789">
      <c r="A789" s="4" t="s">
        <v>10301</v>
      </c>
      <c r="B789" s="13" t="s">
        <v>48</v>
      </c>
      <c r="C789" s="4">
        <v>1.0</v>
      </c>
      <c r="D789" s="3"/>
      <c r="E789" s="4">
        <v>2.0</v>
      </c>
      <c r="F789" s="3"/>
      <c r="G789" s="3"/>
      <c r="H789" s="3"/>
      <c r="I789" s="3"/>
    </row>
    <row r="790">
      <c r="A790" s="4" t="s">
        <v>10302</v>
      </c>
      <c r="B790" s="13" t="s">
        <v>48</v>
      </c>
      <c r="C790" s="4">
        <v>1.0</v>
      </c>
      <c r="D790" s="3"/>
      <c r="E790" s="4">
        <v>2.0</v>
      </c>
      <c r="F790" s="3"/>
      <c r="G790" s="3"/>
      <c r="H790" s="3"/>
      <c r="I790" s="3"/>
    </row>
    <row r="791">
      <c r="A791" s="4" t="s">
        <v>10303</v>
      </c>
      <c r="B791" s="13" t="s">
        <v>48</v>
      </c>
      <c r="C791" s="4">
        <v>1.0</v>
      </c>
      <c r="D791" s="3"/>
      <c r="E791" s="4">
        <v>2.0</v>
      </c>
      <c r="F791" s="3"/>
      <c r="G791" s="3"/>
      <c r="H791" s="3"/>
      <c r="I791" s="3"/>
    </row>
    <row r="792">
      <c r="A792" s="4" t="s">
        <v>10304</v>
      </c>
      <c r="B792" s="13" t="s">
        <v>48</v>
      </c>
      <c r="C792" s="4">
        <v>1.0</v>
      </c>
      <c r="D792" s="3"/>
      <c r="E792" s="4">
        <v>2.0</v>
      </c>
      <c r="F792" s="3"/>
      <c r="G792" s="3"/>
      <c r="H792" s="3"/>
      <c r="I792" s="3"/>
    </row>
    <row r="793">
      <c r="A793" s="4" t="s">
        <v>10305</v>
      </c>
      <c r="B793" s="13" t="s">
        <v>43</v>
      </c>
      <c r="D793" s="3"/>
      <c r="E793" s="3"/>
      <c r="F793" s="3"/>
      <c r="G793" s="3"/>
      <c r="H793" s="3"/>
      <c r="I793" s="3"/>
      <c r="J793" s="4" t="s">
        <v>1757</v>
      </c>
    </row>
    <row r="794">
      <c r="A794" s="4" t="s">
        <v>10306</v>
      </c>
      <c r="B794" s="13" t="s">
        <v>43</v>
      </c>
      <c r="D794" s="3"/>
      <c r="E794" s="3"/>
      <c r="F794" s="3"/>
      <c r="G794" s="3"/>
      <c r="H794" s="3"/>
      <c r="I794" s="3"/>
      <c r="J794" s="4" t="s">
        <v>1757</v>
      </c>
    </row>
    <row r="795">
      <c r="A795" s="4" t="s">
        <v>10307</v>
      </c>
      <c r="B795" s="13" t="s">
        <v>43</v>
      </c>
      <c r="D795" s="3"/>
      <c r="E795" s="3"/>
      <c r="F795" s="3"/>
      <c r="G795" s="3"/>
      <c r="H795" s="3"/>
      <c r="I795" s="3"/>
    </row>
    <row r="796">
      <c r="A796" s="4" t="s">
        <v>10308</v>
      </c>
      <c r="B796" s="13" t="s">
        <v>43</v>
      </c>
      <c r="D796" s="3"/>
      <c r="E796" s="3"/>
      <c r="F796" s="3"/>
      <c r="G796" s="3"/>
      <c r="H796" s="3"/>
      <c r="I796" s="3"/>
    </row>
    <row r="797">
      <c r="A797" s="4" t="s">
        <v>10309</v>
      </c>
      <c r="B797" s="13" t="s">
        <v>43</v>
      </c>
      <c r="D797" s="3"/>
      <c r="E797" s="3"/>
      <c r="F797" s="3"/>
      <c r="G797" s="3"/>
      <c r="H797" s="3"/>
      <c r="I797" s="3"/>
      <c r="J797" s="4" t="s">
        <v>1757</v>
      </c>
    </row>
    <row r="798">
      <c r="A798" s="4" t="s">
        <v>10310</v>
      </c>
      <c r="B798" s="13" t="s">
        <v>43</v>
      </c>
      <c r="D798" s="3"/>
      <c r="E798" s="3"/>
      <c r="F798" s="3"/>
      <c r="G798" s="3"/>
      <c r="H798" s="3"/>
      <c r="I798" s="3"/>
      <c r="J798" s="4" t="s">
        <v>1757</v>
      </c>
    </row>
    <row r="799">
      <c r="A799" s="4" t="s">
        <v>10311</v>
      </c>
      <c r="B799" s="13" t="s">
        <v>43</v>
      </c>
      <c r="D799" s="3"/>
      <c r="E799" s="3"/>
      <c r="F799" s="3"/>
      <c r="G799" s="3"/>
      <c r="H799" s="3"/>
      <c r="I799" s="3"/>
      <c r="J799" s="4" t="s">
        <v>1757</v>
      </c>
    </row>
    <row r="800">
      <c r="A800" s="4" t="s">
        <v>10312</v>
      </c>
      <c r="B800" s="13" t="s">
        <v>43</v>
      </c>
      <c r="D800" s="3"/>
      <c r="E800" s="3"/>
      <c r="F800" s="3"/>
      <c r="G800" s="3"/>
      <c r="H800" s="3"/>
      <c r="I800" s="3"/>
      <c r="J800" s="4" t="s">
        <v>1757</v>
      </c>
    </row>
    <row r="801">
      <c r="A801" s="4" t="s">
        <v>10313</v>
      </c>
      <c r="B801" s="13" t="s">
        <v>43</v>
      </c>
      <c r="D801" s="3"/>
      <c r="E801" s="3"/>
      <c r="F801" s="3"/>
      <c r="G801" s="3"/>
      <c r="H801" s="3"/>
      <c r="I801" s="3"/>
    </row>
    <row r="802">
      <c r="A802" s="4" t="s">
        <v>10314</v>
      </c>
      <c r="B802" s="13" t="s">
        <v>43</v>
      </c>
      <c r="D802" s="3"/>
      <c r="E802" s="3"/>
      <c r="F802" s="3"/>
      <c r="G802" s="3"/>
      <c r="H802" s="3"/>
      <c r="I802" s="3"/>
    </row>
    <row r="803">
      <c r="A803" s="4" t="s">
        <v>10315</v>
      </c>
      <c r="B803" s="13" t="s">
        <v>43</v>
      </c>
      <c r="D803" s="3"/>
      <c r="E803" s="3"/>
      <c r="F803" s="3"/>
      <c r="G803" s="3"/>
      <c r="H803" s="3"/>
      <c r="I803" s="3"/>
    </row>
    <row r="804">
      <c r="A804" s="4" t="s">
        <v>10316</v>
      </c>
      <c r="B804" s="13" t="s">
        <v>43</v>
      </c>
      <c r="D804" s="3"/>
      <c r="E804" s="3"/>
      <c r="F804" s="3"/>
      <c r="G804" s="3"/>
      <c r="H804" s="3"/>
      <c r="I804" s="3"/>
    </row>
    <row r="805">
      <c r="A805" s="4" t="s">
        <v>10317</v>
      </c>
      <c r="B805" s="13" t="s">
        <v>43</v>
      </c>
      <c r="D805" s="3"/>
      <c r="E805" s="3"/>
      <c r="F805" s="3"/>
      <c r="G805" s="3"/>
      <c r="H805" s="3"/>
      <c r="I805" s="3"/>
    </row>
    <row r="806">
      <c r="A806" s="4" t="s">
        <v>10318</v>
      </c>
      <c r="B806" s="13" t="s">
        <v>43</v>
      </c>
      <c r="D806" s="3"/>
      <c r="E806" s="3"/>
      <c r="F806" s="3"/>
      <c r="G806" s="3"/>
      <c r="H806" s="3"/>
      <c r="I806" s="3"/>
    </row>
    <row r="807">
      <c r="A807" s="4" t="s">
        <v>10319</v>
      </c>
      <c r="B807" s="13" t="s">
        <v>43</v>
      </c>
      <c r="D807" s="3"/>
      <c r="E807" s="3"/>
      <c r="F807" s="3"/>
      <c r="G807" s="3"/>
      <c r="H807" s="3"/>
      <c r="I807" s="3"/>
    </row>
    <row r="808">
      <c r="A808" s="4" t="s">
        <v>10320</v>
      </c>
      <c r="B808" s="13" t="s">
        <v>43</v>
      </c>
      <c r="D808" s="3"/>
      <c r="E808" s="3"/>
      <c r="F808" s="3"/>
      <c r="G808" s="3"/>
      <c r="H808" s="3"/>
      <c r="I808" s="3"/>
      <c r="J808" s="4" t="s">
        <v>1757</v>
      </c>
    </row>
    <row r="809">
      <c r="A809" s="4" t="s">
        <v>10321</v>
      </c>
      <c r="B809" s="13" t="s">
        <v>43</v>
      </c>
      <c r="D809" s="3"/>
      <c r="E809" s="3"/>
      <c r="F809" s="3"/>
      <c r="G809" s="3"/>
      <c r="H809" s="3"/>
      <c r="I809" s="3"/>
      <c r="J809" s="4" t="s">
        <v>1757</v>
      </c>
    </row>
    <row r="810">
      <c r="A810" s="4" t="s">
        <v>10322</v>
      </c>
      <c r="B810" s="13" t="s">
        <v>43</v>
      </c>
      <c r="D810" s="3"/>
      <c r="E810" s="3"/>
      <c r="F810" s="3"/>
      <c r="G810" s="3"/>
      <c r="H810" s="3"/>
      <c r="I810" s="3"/>
      <c r="J810" s="4" t="s">
        <v>1757</v>
      </c>
    </row>
    <row r="811">
      <c r="A811" s="4" t="s">
        <v>10323</v>
      </c>
      <c r="B811" s="13" t="s">
        <v>43</v>
      </c>
      <c r="D811" s="3"/>
      <c r="E811" s="3"/>
      <c r="F811" s="3"/>
      <c r="G811" s="3"/>
      <c r="H811" s="3"/>
      <c r="I811" s="3"/>
      <c r="J811" s="4" t="s">
        <v>1757</v>
      </c>
    </row>
    <row r="812">
      <c r="A812" s="4" t="s">
        <v>10324</v>
      </c>
      <c r="B812" s="13" t="s">
        <v>43</v>
      </c>
      <c r="D812" s="3"/>
      <c r="E812" s="3"/>
      <c r="F812" s="3"/>
      <c r="G812" s="3"/>
      <c r="H812" s="3"/>
      <c r="I812" s="3"/>
      <c r="J812" s="4" t="s">
        <v>1757</v>
      </c>
    </row>
    <row r="813">
      <c r="A813" s="4" t="s">
        <v>10325</v>
      </c>
      <c r="B813" s="13" t="s">
        <v>43</v>
      </c>
      <c r="D813" s="3"/>
      <c r="E813" s="3"/>
      <c r="F813" s="3"/>
      <c r="G813" s="3"/>
      <c r="H813" s="3"/>
      <c r="I813" s="3"/>
      <c r="J813" s="4" t="s">
        <v>1757</v>
      </c>
    </row>
    <row r="814">
      <c r="A814" s="4" t="s">
        <v>10326</v>
      </c>
      <c r="B814" s="13" t="s">
        <v>43</v>
      </c>
      <c r="D814" s="3"/>
      <c r="E814" s="3"/>
      <c r="F814" s="3"/>
      <c r="G814" s="3"/>
      <c r="H814" s="3"/>
      <c r="I814" s="3"/>
      <c r="J814" s="4" t="s">
        <v>1757</v>
      </c>
    </row>
    <row r="815">
      <c r="A815" s="4" t="s">
        <v>10327</v>
      </c>
      <c r="B815" s="13" t="s">
        <v>43</v>
      </c>
      <c r="D815" s="3"/>
      <c r="E815" s="3"/>
      <c r="F815" s="3"/>
      <c r="G815" s="3"/>
      <c r="H815" s="3"/>
      <c r="I815" s="3"/>
      <c r="J815" s="4" t="s">
        <v>1757</v>
      </c>
    </row>
    <row r="816">
      <c r="A816" s="4" t="s">
        <v>10328</v>
      </c>
      <c r="B816" s="13" t="s">
        <v>43</v>
      </c>
      <c r="D816" s="3"/>
      <c r="E816" s="3"/>
      <c r="F816" s="3"/>
      <c r="G816" s="3"/>
      <c r="H816" s="3"/>
      <c r="I816" s="3"/>
      <c r="J816" s="4" t="s">
        <v>1757</v>
      </c>
    </row>
    <row r="817">
      <c r="A817" s="4" t="s">
        <v>10329</v>
      </c>
      <c r="B817" s="13" t="s">
        <v>43</v>
      </c>
      <c r="D817" s="3"/>
      <c r="E817" s="3"/>
      <c r="F817" s="3"/>
      <c r="G817" s="3"/>
      <c r="H817" s="3"/>
      <c r="I817" s="3"/>
      <c r="J817" s="4" t="s">
        <v>1757</v>
      </c>
    </row>
    <row r="818">
      <c r="A818" s="4" t="s">
        <v>10330</v>
      </c>
      <c r="B818" s="13" t="s">
        <v>43</v>
      </c>
      <c r="D818" s="3"/>
      <c r="E818" s="3"/>
      <c r="F818" s="3"/>
      <c r="G818" s="3"/>
      <c r="H818" s="3"/>
      <c r="I818" s="3"/>
      <c r="J818" s="4" t="s">
        <v>1757</v>
      </c>
    </row>
    <row r="819">
      <c r="A819" s="4" t="s">
        <v>10331</v>
      </c>
      <c r="B819" s="13" t="s">
        <v>43</v>
      </c>
      <c r="D819" s="3"/>
      <c r="E819" s="3"/>
      <c r="F819" s="3"/>
      <c r="G819" s="3"/>
      <c r="H819" s="3"/>
      <c r="I819" s="3"/>
      <c r="J819" s="4" t="s">
        <v>1757</v>
      </c>
    </row>
    <row r="820">
      <c r="A820" s="4" t="s">
        <v>10332</v>
      </c>
      <c r="B820" s="13" t="s">
        <v>43</v>
      </c>
      <c r="D820" s="3"/>
      <c r="E820" s="3"/>
      <c r="F820" s="3"/>
      <c r="G820" s="3"/>
      <c r="H820" s="3"/>
      <c r="I820" s="3"/>
    </row>
    <row r="821">
      <c r="A821" s="4" t="s">
        <v>10333</v>
      </c>
      <c r="B821" s="13" t="s">
        <v>43</v>
      </c>
      <c r="D821" s="3"/>
      <c r="E821" s="3"/>
      <c r="F821" s="3"/>
      <c r="G821" s="3"/>
      <c r="H821" s="3"/>
      <c r="I821" s="3"/>
    </row>
    <row r="822">
      <c r="A822" s="4" t="s">
        <v>10334</v>
      </c>
      <c r="B822" s="13" t="s">
        <v>43</v>
      </c>
      <c r="D822" s="3"/>
      <c r="E822" s="3"/>
      <c r="F822" s="3"/>
      <c r="G822" s="3"/>
      <c r="H822" s="3"/>
      <c r="I822" s="3"/>
    </row>
    <row r="823">
      <c r="A823" s="4" t="s">
        <v>10335</v>
      </c>
      <c r="B823" s="13" t="s">
        <v>43</v>
      </c>
      <c r="D823" s="3"/>
      <c r="E823" s="3"/>
      <c r="F823" s="3"/>
      <c r="G823" s="3"/>
      <c r="H823" s="3"/>
      <c r="I823" s="3"/>
    </row>
    <row r="824">
      <c r="A824" s="4" t="s">
        <v>10336</v>
      </c>
      <c r="B824" s="13" t="s">
        <v>43</v>
      </c>
      <c r="D824" s="3"/>
      <c r="E824" s="3"/>
      <c r="F824" s="3"/>
      <c r="G824" s="3"/>
      <c r="H824" s="3"/>
      <c r="I824" s="3"/>
    </row>
    <row r="825">
      <c r="A825" s="4" t="s">
        <v>10337</v>
      </c>
      <c r="B825" s="13" t="s">
        <v>43</v>
      </c>
      <c r="D825" s="3"/>
      <c r="E825" s="3"/>
      <c r="F825" s="3"/>
      <c r="G825" s="3"/>
      <c r="H825" s="3"/>
      <c r="I825" s="3"/>
    </row>
    <row r="826">
      <c r="A826" s="4" t="s">
        <v>10338</v>
      </c>
      <c r="B826" s="13" t="s">
        <v>43</v>
      </c>
      <c r="D826" s="3"/>
      <c r="E826" s="3"/>
      <c r="F826" s="3"/>
      <c r="G826" s="3"/>
      <c r="H826" s="3"/>
      <c r="I826" s="3"/>
    </row>
    <row r="827">
      <c r="A827" s="4" t="s">
        <v>10339</v>
      </c>
      <c r="B827" s="13" t="s">
        <v>43</v>
      </c>
      <c r="D827" s="3"/>
      <c r="E827" s="3"/>
      <c r="F827" s="3"/>
      <c r="G827" s="3"/>
      <c r="H827" s="3"/>
      <c r="I827" s="3"/>
    </row>
    <row r="828">
      <c r="A828" s="4" t="s">
        <v>10340</v>
      </c>
      <c r="B828" s="13" t="s">
        <v>43</v>
      </c>
      <c r="D828" s="3"/>
      <c r="E828" s="3"/>
      <c r="F828" s="3"/>
      <c r="G828" s="3"/>
      <c r="H828" s="3"/>
      <c r="I828" s="3"/>
    </row>
    <row r="829">
      <c r="A829" s="4" t="s">
        <v>10341</v>
      </c>
      <c r="B829" s="13" t="s">
        <v>43</v>
      </c>
      <c r="D829" s="3"/>
      <c r="E829" s="3"/>
      <c r="F829" s="3"/>
      <c r="G829" s="3"/>
      <c r="H829" s="3"/>
      <c r="I829" s="3"/>
    </row>
    <row r="830">
      <c r="A830" s="4" t="s">
        <v>10342</v>
      </c>
      <c r="B830" s="13" t="s">
        <v>43</v>
      </c>
      <c r="D830" s="3"/>
      <c r="E830" s="3"/>
      <c r="F830" s="3"/>
      <c r="G830" s="3"/>
      <c r="H830" s="3"/>
      <c r="I830" s="3"/>
    </row>
    <row r="831">
      <c r="A831" s="4" t="s">
        <v>10343</v>
      </c>
      <c r="B831" s="13" t="s">
        <v>43</v>
      </c>
      <c r="D831" s="3"/>
      <c r="E831" s="3"/>
      <c r="F831" s="3"/>
      <c r="G831" s="3"/>
      <c r="H831" s="3"/>
      <c r="I831" s="3"/>
    </row>
    <row r="832">
      <c r="A832" s="4" t="s">
        <v>10344</v>
      </c>
      <c r="B832" s="13" t="s">
        <v>43</v>
      </c>
      <c r="D832" s="3"/>
      <c r="E832" s="3"/>
      <c r="F832" s="3"/>
      <c r="G832" s="3"/>
      <c r="H832" s="3"/>
      <c r="I832" s="3"/>
    </row>
    <row r="833">
      <c r="A833" s="4" t="s">
        <v>10345</v>
      </c>
      <c r="B833" s="13" t="s">
        <v>43</v>
      </c>
      <c r="D833" s="3"/>
      <c r="E833" s="3"/>
      <c r="F833" s="3"/>
      <c r="G833" s="3"/>
      <c r="H833" s="3"/>
      <c r="I833" s="3"/>
    </row>
    <row r="834">
      <c r="A834" s="4" t="s">
        <v>10346</v>
      </c>
      <c r="B834" s="13" t="s">
        <v>43</v>
      </c>
      <c r="D834" s="3"/>
      <c r="E834" s="3"/>
      <c r="F834" s="3"/>
      <c r="G834" s="3"/>
      <c r="H834" s="3"/>
      <c r="I834" s="3"/>
    </row>
    <row r="835">
      <c r="A835" s="4" t="s">
        <v>10347</v>
      </c>
      <c r="B835" s="13" t="s">
        <v>43</v>
      </c>
      <c r="D835" s="3"/>
      <c r="E835" s="3"/>
      <c r="F835" s="3"/>
      <c r="G835" s="3"/>
      <c r="H835" s="3"/>
      <c r="I835" s="3"/>
    </row>
    <row r="836">
      <c r="A836" s="4" t="s">
        <v>10348</v>
      </c>
      <c r="B836" s="13" t="s">
        <v>43</v>
      </c>
      <c r="D836" s="3"/>
      <c r="E836" s="3"/>
      <c r="F836" s="3"/>
      <c r="G836" s="3"/>
      <c r="H836" s="3"/>
      <c r="I836" s="3"/>
    </row>
    <row r="837">
      <c r="A837" s="4" t="s">
        <v>10349</v>
      </c>
      <c r="B837" s="13" t="s">
        <v>43</v>
      </c>
      <c r="D837" s="3"/>
      <c r="E837" s="3"/>
      <c r="F837" s="3"/>
      <c r="G837" s="3"/>
      <c r="H837" s="3"/>
      <c r="I837" s="3"/>
    </row>
    <row r="838">
      <c r="A838" s="4" t="s">
        <v>10350</v>
      </c>
      <c r="B838" s="13" t="s">
        <v>43</v>
      </c>
      <c r="D838" s="3"/>
      <c r="E838" s="3"/>
      <c r="F838" s="3"/>
      <c r="G838" s="3"/>
      <c r="H838" s="3"/>
      <c r="I838" s="3"/>
    </row>
    <row r="839">
      <c r="A839" s="4" t="s">
        <v>10351</v>
      </c>
      <c r="B839" s="13" t="s">
        <v>43</v>
      </c>
      <c r="D839" s="3"/>
      <c r="E839" s="3"/>
      <c r="F839" s="3"/>
      <c r="G839" s="3"/>
      <c r="H839" s="3"/>
      <c r="I839" s="3"/>
    </row>
    <row r="840">
      <c r="A840" s="4" t="s">
        <v>10352</v>
      </c>
      <c r="B840" s="13" t="s">
        <v>43</v>
      </c>
      <c r="D840" s="3"/>
      <c r="E840" s="3"/>
      <c r="F840" s="3"/>
      <c r="G840" s="3"/>
      <c r="H840" s="3"/>
      <c r="I840" s="3"/>
    </row>
    <row r="841">
      <c r="A841" s="4" t="s">
        <v>10353</v>
      </c>
      <c r="B841" s="13" t="s">
        <v>43</v>
      </c>
      <c r="D841" s="3"/>
      <c r="E841" s="3"/>
      <c r="F841" s="3"/>
      <c r="G841" s="3"/>
      <c r="H841" s="3"/>
      <c r="I841" s="3"/>
    </row>
    <row r="842">
      <c r="A842" s="4" t="s">
        <v>10354</v>
      </c>
      <c r="B842" s="13" t="s">
        <v>43</v>
      </c>
      <c r="D842" s="3"/>
      <c r="E842" s="3"/>
      <c r="F842" s="3"/>
      <c r="G842" s="3"/>
      <c r="H842" s="3"/>
      <c r="I842" s="3"/>
    </row>
    <row r="843">
      <c r="A843" s="4" t="s">
        <v>10355</v>
      </c>
      <c r="B843" s="13" t="s">
        <v>43</v>
      </c>
      <c r="D843" s="3"/>
      <c r="E843" s="3"/>
      <c r="F843" s="3"/>
      <c r="G843" s="3"/>
      <c r="H843" s="3"/>
      <c r="I843" s="3"/>
    </row>
    <row r="844">
      <c r="A844" s="4" t="s">
        <v>10356</v>
      </c>
      <c r="B844" s="13" t="s">
        <v>43</v>
      </c>
      <c r="D844" s="3"/>
      <c r="E844" s="3"/>
      <c r="F844" s="3"/>
      <c r="G844" s="3"/>
      <c r="H844" s="3"/>
      <c r="I844" s="3"/>
    </row>
    <row r="845">
      <c r="A845" s="4" t="s">
        <v>10357</v>
      </c>
      <c r="B845" s="13" t="s">
        <v>43</v>
      </c>
      <c r="D845" s="3"/>
      <c r="E845" s="3"/>
      <c r="F845" s="3"/>
      <c r="G845" s="3"/>
      <c r="H845" s="3"/>
      <c r="I845" s="3"/>
    </row>
    <row r="846">
      <c r="A846" s="4" t="s">
        <v>10358</v>
      </c>
      <c r="B846" s="13" t="s">
        <v>43</v>
      </c>
      <c r="D846" s="3"/>
      <c r="E846" s="3"/>
      <c r="F846" s="3"/>
      <c r="G846" s="3"/>
      <c r="H846" s="3"/>
      <c r="I846" s="3"/>
    </row>
    <row r="847">
      <c r="A847" s="4" t="s">
        <v>10359</v>
      </c>
      <c r="B847" s="13" t="s">
        <v>43</v>
      </c>
      <c r="D847" s="3"/>
      <c r="E847" s="3"/>
      <c r="F847" s="3"/>
      <c r="G847" s="3"/>
      <c r="H847" s="3"/>
      <c r="I847" s="3"/>
    </row>
    <row r="848">
      <c r="A848" s="4" t="s">
        <v>10360</v>
      </c>
      <c r="B848" s="13" t="s">
        <v>43</v>
      </c>
      <c r="D848" s="3"/>
      <c r="E848" s="3"/>
      <c r="F848" s="3"/>
      <c r="G848" s="3"/>
      <c r="H848" s="3"/>
      <c r="I848" s="3"/>
    </row>
    <row r="849">
      <c r="A849" s="4" t="s">
        <v>10361</v>
      </c>
      <c r="B849" s="13" t="s">
        <v>43</v>
      </c>
      <c r="D849" s="3"/>
      <c r="E849" s="3"/>
      <c r="F849" s="3"/>
      <c r="G849" s="3"/>
      <c r="H849" s="3"/>
      <c r="I849" s="3"/>
    </row>
    <row r="850">
      <c r="A850" s="4" t="s">
        <v>10362</v>
      </c>
      <c r="B850" s="13" t="s">
        <v>43</v>
      </c>
      <c r="D850" s="3"/>
      <c r="E850" s="3"/>
      <c r="F850" s="3"/>
      <c r="G850" s="3"/>
      <c r="H850" s="3"/>
      <c r="I850" s="3"/>
    </row>
    <row r="851">
      <c r="A851" s="4" t="s">
        <v>10363</v>
      </c>
      <c r="B851" s="13" t="s">
        <v>43</v>
      </c>
      <c r="D851" s="3"/>
      <c r="E851" s="3"/>
      <c r="F851" s="3"/>
      <c r="G851" s="3"/>
      <c r="H851" s="3"/>
      <c r="I851" s="3"/>
    </row>
    <row r="852">
      <c r="A852" s="4" t="s">
        <v>10364</v>
      </c>
      <c r="B852" s="13" t="s">
        <v>43</v>
      </c>
      <c r="D852" s="3"/>
      <c r="E852" s="3"/>
      <c r="F852" s="3"/>
      <c r="G852" s="3"/>
      <c r="H852" s="3"/>
      <c r="I852" s="3"/>
    </row>
    <row r="853">
      <c r="A853" s="4" t="s">
        <v>10365</v>
      </c>
      <c r="B853" s="13" t="s">
        <v>43</v>
      </c>
      <c r="D853" s="3"/>
      <c r="E853" s="3"/>
      <c r="F853" s="3"/>
      <c r="G853" s="3"/>
      <c r="H853" s="3"/>
      <c r="I853" s="3"/>
    </row>
    <row r="854">
      <c r="A854" s="4" t="s">
        <v>10366</v>
      </c>
      <c r="B854" s="13" t="s">
        <v>43</v>
      </c>
      <c r="D854" s="3"/>
      <c r="E854" s="3"/>
      <c r="F854" s="3"/>
      <c r="G854" s="3"/>
      <c r="H854" s="3"/>
      <c r="I854" s="3"/>
    </row>
    <row r="855">
      <c r="A855" s="4" t="s">
        <v>10367</v>
      </c>
      <c r="B855" s="13" t="s">
        <v>43</v>
      </c>
      <c r="D855" s="3"/>
      <c r="E855" s="3"/>
      <c r="F855" s="3"/>
      <c r="G855" s="3"/>
      <c r="H855" s="3"/>
      <c r="I855" s="3"/>
    </row>
    <row r="856">
      <c r="A856" s="4" t="s">
        <v>10368</v>
      </c>
      <c r="B856" s="13" t="s">
        <v>43</v>
      </c>
      <c r="D856" s="3"/>
      <c r="E856" s="3"/>
      <c r="F856" s="3"/>
      <c r="G856" s="3"/>
      <c r="H856" s="3"/>
      <c r="I856" s="3"/>
    </row>
    <row r="857">
      <c r="A857" s="4" t="s">
        <v>10369</v>
      </c>
      <c r="B857" s="13" t="s">
        <v>43</v>
      </c>
      <c r="D857" s="3"/>
      <c r="E857" s="3"/>
      <c r="F857" s="3"/>
      <c r="G857" s="3"/>
      <c r="H857" s="3"/>
      <c r="I857" s="3"/>
    </row>
    <row r="858">
      <c r="A858" s="4" t="s">
        <v>10370</v>
      </c>
      <c r="B858" s="13" t="s">
        <v>43</v>
      </c>
      <c r="D858" s="3"/>
      <c r="E858" s="3"/>
      <c r="F858" s="3"/>
      <c r="G858" s="3"/>
      <c r="H858" s="3"/>
      <c r="I858" s="3"/>
    </row>
    <row r="859">
      <c r="A859" s="4" t="s">
        <v>10371</v>
      </c>
      <c r="B859" s="13" t="s">
        <v>43</v>
      </c>
      <c r="D859" s="3"/>
      <c r="E859" s="3"/>
      <c r="F859" s="3"/>
      <c r="G859" s="3"/>
      <c r="H859" s="3"/>
      <c r="I859" s="3"/>
    </row>
    <row r="860">
      <c r="A860" s="4" t="s">
        <v>10372</v>
      </c>
      <c r="B860" s="13" t="s">
        <v>43</v>
      </c>
      <c r="D860" s="3"/>
      <c r="E860" s="3"/>
      <c r="F860" s="3"/>
      <c r="G860" s="3"/>
      <c r="H860" s="3"/>
      <c r="I860" s="3"/>
    </row>
    <row r="861">
      <c r="A861" s="4" t="s">
        <v>10373</v>
      </c>
      <c r="B861" s="13" t="s">
        <v>43</v>
      </c>
      <c r="D861" s="3"/>
      <c r="E861" s="3"/>
      <c r="F861" s="3"/>
      <c r="G861" s="3"/>
      <c r="H861" s="3"/>
      <c r="I861" s="3"/>
    </row>
    <row r="862">
      <c r="A862" s="4" t="s">
        <v>10374</v>
      </c>
      <c r="B862" s="13" t="s">
        <v>43</v>
      </c>
      <c r="D862" s="3"/>
      <c r="E862" s="3"/>
      <c r="F862" s="3"/>
      <c r="G862" s="3"/>
      <c r="H862" s="3"/>
      <c r="I862" s="3"/>
    </row>
    <row r="863">
      <c r="A863" s="4" t="s">
        <v>10375</v>
      </c>
      <c r="B863" s="13" t="s">
        <v>43</v>
      </c>
      <c r="D863" s="3"/>
      <c r="E863" s="3"/>
      <c r="F863" s="3"/>
      <c r="G863" s="3"/>
      <c r="H863" s="3"/>
      <c r="I863" s="3"/>
    </row>
    <row r="864">
      <c r="A864" s="4" t="s">
        <v>10376</v>
      </c>
      <c r="B864" s="13" t="s">
        <v>43</v>
      </c>
      <c r="D864" s="3"/>
      <c r="E864" s="3"/>
      <c r="F864" s="3"/>
      <c r="G864" s="3"/>
      <c r="H864" s="3"/>
      <c r="I864" s="3"/>
    </row>
    <row r="865">
      <c r="A865" s="4" t="s">
        <v>10377</v>
      </c>
      <c r="B865" s="13" t="s">
        <v>43</v>
      </c>
      <c r="D865" s="3"/>
      <c r="E865" s="3"/>
      <c r="F865" s="3"/>
      <c r="G865" s="3"/>
      <c r="H865" s="3"/>
      <c r="I865" s="3"/>
    </row>
    <row r="866">
      <c r="A866" s="4" t="s">
        <v>10378</v>
      </c>
      <c r="B866" s="13" t="s">
        <v>43</v>
      </c>
      <c r="D866" s="3"/>
      <c r="E866" s="3"/>
      <c r="F866" s="3"/>
      <c r="G866" s="3"/>
      <c r="H866" s="3"/>
      <c r="I866" s="3"/>
    </row>
    <row r="867">
      <c r="A867" s="4" t="s">
        <v>10379</v>
      </c>
      <c r="B867" s="13" t="s">
        <v>43</v>
      </c>
      <c r="D867" s="3"/>
      <c r="E867" s="3"/>
      <c r="F867" s="3"/>
      <c r="G867" s="3"/>
      <c r="H867" s="3"/>
      <c r="I867" s="3"/>
    </row>
    <row r="868">
      <c r="A868" s="4" t="s">
        <v>10380</v>
      </c>
      <c r="B868" s="13" t="s">
        <v>43</v>
      </c>
      <c r="D868" s="3"/>
      <c r="E868" s="3"/>
      <c r="F868" s="3"/>
      <c r="G868" s="3"/>
      <c r="H868" s="3"/>
      <c r="I868" s="3"/>
    </row>
    <row r="869">
      <c r="A869" s="4" t="s">
        <v>10381</v>
      </c>
      <c r="B869" s="13" t="s">
        <v>43</v>
      </c>
      <c r="D869" s="3"/>
      <c r="E869" s="3"/>
      <c r="F869" s="3"/>
      <c r="G869" s="3"/>
      <c r="H869" s="3"/>
      <c r="I869" s="3"/>
    </row>
    <row r="870">
      <c r="A870" s="4" t="s">
        <v>10382</v>
      </c>
      <c r="B870" s="13" t="s">
        <v>43</v>
      </c>
      <c r="D870" s="3"/>
      <c r="E870" s="3"/>
      <c r="F870" s="3"/>
      <c r="G870" s="3"/>
      <c r="H870" s="3"/>
      <c r="I870" s="3"/>
    </row>
    <row r="871">
      <c r="A871" s="4" t="s">
        <v>10383</v>
      </c>
      <c r="B871" s="13" t="s">
        <v>43</v>
      </c>
      <c r="D871" s="3"/>
      <c r="E871" s="3"/>
      <c r="F871" s="3"/>
      <c r="G871" s="3"/>
      <c r="H871" s="3"/>
      <c r="I871" s="3"/>
    </row>
    <row r="872">
      <c r="A872" s="4" t="s">
        <v>10384</v>
      </c>
      <c r="B872" s="13" t="s">
        <v>43</v>
      </c>
      <c r="D872" s="3"/>
      <c r="E872" s="3"/>
      <c r="F872" s="3"/>
      <c r="G872" s="3"/>
      <c r="H872" s="3"/>
      <c r="I872" s="3"/>
    </row>
    <row r="873">
      <c r="A873" s="4" t="s">
        <v>10385</v>
      </c>
      <c r="B873" s="13" t="s">
        <v>43</v>
      </c>
      <c r="D873" s="3"/>
      <c r="E873" s="3"/>
      <c r="F873" s="3"/>
      <c r="G873" s="3"/>
      <c r="H873" s="3"/>
      <c r="I873" s="3"/>
    </row>
    <row r="874">
      <c r="A874" s="4" t="s">
        <v>10386</v>
      </c>
      <c r="B874" s="13" t="s">
        <v>43</v>
      </c>
      <c r="D874" s="3"/>
      <c r="E874" s="3"/>
      <c r="F874" s="3"/>
      <c r="G874" s="3"/>
      <c r="H874" s="3"/>
      <c r="I874" s="3"/>
    </row>
    <row r="875">
      <c r="A875" s="4" t="s">
        <v>10387</v>
      </c>
      <c r="B875" s="13" t="s">
        <v>43</v>
      </c>
      <c r="D875" s="3"/>
      <c r="E875" s="3"/>
      <c r="F875" s="3"/>
      <c r="G875" s="3"/>
      <c r="H875" s="3"/>
      <c r="I875" s="3"/>
    </row>
    <row r="876">
      <c r="A876" s="4" t="s">
        <v>10388</v>
      </c>
      <c r="B876" s="13" t="s">
        <v>43</v>
      </c>
      <c r="D876" s="3"/>
      <c r="E876" s="3"/>
      <c r="F876" s="3"/>
      <c r="G876" s="3"/>
      <c r="H876" s="3"/>
      <c r="I876" s="3"/>
    </row>
    <row r="877">
      <c r="A877" s="4" t="s">
        <v>10389</v>
      </c>
      <c r="B877" s="13" t="s">
        <v>43</v>
      </c>
      <c r="D877" s="3"/>
      <c r="E877" s="3"/>
      <c r="F877" s="3"/>
      <c r="G877" s="3"/>
      <c r="H877" s="3"/>
      <c r="I877" s="3"/>
    </row>
    <row r="878">
      <c r="A878" s="4" t="s">
        <v>10390</v>
      </c>
      <c r="B878" s="13" t="s">
        <v>43</v>
      </c>
      <c r="D878" s="3"/>
      <c r="E878" s="3"/>
      <c r="F878" s="3"/>
      <c r="G878" s="3"/>
      <c r="H878" s="3"/>
      <c r="I878" s="3"/>
    </row>
    <row r="879">
      <c r="A879" s="4" t="s">
        <v>10391</v>
      </c>
      <c r="B879" s="13" t="s">
        <v>43</v>
      </c>
      <c r="D879" s="3"/>
      <c r="E879" s="3"/>
      <c r="F879" s="3"/>
      <c r="G879" s="3"/>
      <c r="H879" s="3"/>
      <c r="I879" s="3"/>
    </row>
    <row r="880">
      <c r="A880" s="4" t="s">
        <v>10392</v>
      </c>
      <c r="B880" s="13" t="s">
        <v>43</v>
      </c>
      <c r="D880" s="3"/>
      <c r="E880" s="3"/>
      <c r="F880" s="3"/>
      <c r="G880" s="3"/>
      <c r="H880" s="3"/>
      <c r="I880" s="3"/>
    </row>
    <row r="881">
      <c r="A881" s="4" t="s">
        <v>10393</v>
      </c>
      <c r="B881" s="13" t="s">
        <v>43</v>
      </c>
      <c r="D881" s="3"/>
      <c r="E881" s="3"/>
      <c r="F881" s="3"/>
      <c r="G881" s="3"/>
      <c r="H881" s="3"/>
      <c r="I881" s="3"/>
    </row>
    <row r="882">
      <c r="A882" s="4" t="s">
        <v>10394</v>
      </c>
      <c r="B882" s="13" t="s">
        <v>43</v>
      </c>
      <c r="D882" s="3"/>
      <c r="E882" s="3"/>
      <c r="F882" s="3"/>
      <c r="G882" s="3"/>
      <c r="H882" s="3"/>
      <c r="I882" s="3"/>
    </row>
    <row r="883">
      <c r="A883" s="4" t="s">
        <v>10395</v>
      </c>
      <c r="B883" s="13" t="s">
        <v>43</v>
      </c>
      <c r="D883" s="3"/>
      <c r="E883" s="3"/>
      <c r="F883" s="3"/>
      <c r="G883" s="3"/>
      <c r="H883" s="3"/>
      <c r="I883" s="3"/>
    </row>
    <row r="884">
      <c r="A884" s="4" t="s">
        <v>10396</v>
      </c>
      <c r="B884" s="13" t="s">
        <v>43</v>
      </c>
      <c r="D884" s="3"/>
      <c r="E884" s="3"/>
      <c r="F884" s="3"/>
      <c r="G884" s="3"/>
      <c r="H884" s="3"/>
      <c r="I884" s="3"/>
    </row>
    <row r="885">
      <c r="A885" s="4" t="s">
        <v>10397</v>
      </c>
      <c r="B885" s="13" t="s">
        <v>43</v>
      </c>
      <c r="D885" s="3"/>
      <c r="E885" s="3"/>
      <c r="F885" s="3"/>
      <c r="G885" s="3"/>
      <c r="H885" s="3"/>
      <c r="I885" s="3"/>
    </row>
    <row r="886">
      <c r="A886" s="4" t="s">
        <v>10398</v>
      </c>
      <c r="B886" s="13" t="s">
        <v>43</v>
      </c>
      <c r="D886" s="3"/>
      <c r="E886" s="3"/>
      <c r="F886" s="3"/>
      <c r="G886" s="3"/>
      <c r="H886" s="3"/>
      <c r="I886" s="3"/>
    </row>
    <row r="887">
      <c r="A887" s="4" t="s">
        <v>10399</v>
      </c>
      <c r="B887" s="13" t="s">
        <v>43</v>
      </c>
      <c r="D887" s="3"/>
      <c r="E887" s="3"/>
      <c r="F887" s="3"/>
      <c r="G887" s="3"/>
      <c r="H887" s="3"/>
      <c r="I887" s="3"/>
    </row>
    <row r="888">
      <c r="A888" s="4" t="s">
        <v>10400</v>
      </c>
      <c r="B888" s="13" t="s">
        <v>43</v>
      </c>
      <c r="D888" s="3"/>
      <c r="E888" s="3"/>
      <c r="F888" s="3"/>
      <c r="G888" s="3"/>
      <c r="H888" s="3"/>
      <c r="I888" s="3"/>
    </row>
    <row r="889">
      <c r="A889" s="4" t="s">
        <v>10401</v>
      </c>
      <c r="B889" s="13" t="s">
        <v>43</v>
      </c>
      <c r="D889" s="3"/>
      <c r="E889" s="3"/>
      <c r="F889" s="3"/>
      <c r="G889" s="3"/>
      <c r="H889" s="3"/>
      <c r="I889" s="3"/>
    </row>
    <row r="890">
      <c r="A890" s="4" t="s">
        <v>10402</v>
      </c>
      <c r="B890" s="13" t="s">
        <v>43</v>
      </c>
      <c r="D890" s="3"/>
      <c r="E890" s="3"/>
      <c r="F890" s="3"/>
      <c r="G890" s="3"/>
      <c r="H890" s="3"/>
      <c r="I890" s="3"/>
    </row>
    <row r="891">
      <c r="A891" s="4" t="s">
        <v>10403</v>
      </c>
      <c r="B891" s="13" t="s">
        <v>43</v>
      </c>
      <c r="D891" s="3"/>
      <c r="E891" s="3"/>
      <c r="F891" s="3"/>
      <c r="G891" s="3"/>
      <c r="H891" s="3"/>
      <c r="I891" s="3"/>
    </row>
    <row r="892">
      <c r="A892" s="4" t="s">
        <v>10404</v>
      </c>
      <c r="B892" s="13" t="s">
        <v>43</v>
      </c>
      <c r="D892" s="3"/>
      <c r="E892" s="3"/>
      <c r="F892" s="3"/>
      <c r="G892" s="3"/>
      <c r="H892" s="3"/>
      <c r="I892" s="3"/>
    </row>
    <row r="893">
      <c r="A893" s="4" t="s">
        <v>10405</v>
      </c>
      <c r="B893" s="13" t="s">
        <v>43</v>
      </c>
      <c r="D893" s="3"/>
      <c r="E893" s="3"/>
      <c r="F893" s="3"/>
      <c r="G893" s="3"/>
      <c r="H893" s="3"/>
      <c r="I893" s="3"/>
    </row>
    <row r="894">
      <c r="A894" s="4" t="s">
        <v>10406</v>
      </c>
      <c r="B894" s="13" t="s">
        <v>43</v>
      </c>
      <c r="D894" s="3"/>
      <c r="E894" s="3"/>
      <c r="F894" s="3"/>
      <c r="G894" s="3"/>
      <c r="H894" s="3"/>
      <c r="I894" s="3"/>
    </row>
    <row r="895">
      <c r="A895" s="4" t="s">
        <v>10407</v>
      </c>
      <c r="B895" s="13" t="s">
        <v>43</v>
      </c>
      <c r="D895" s="3"/>
      <c r="E895" s="3"/>
      <c r="F895" s="3"/>
      <c r="G895" s="3"/>
      <c r="H895" s="3"/>
      <c r="I895" s="3"/>
    </row>
    <row r="896">
      <c r="A896" s="4" t="s">
        <v>10408</v>
      </c>
      <c r="B896" s="13" t="s">
        <v>43</v>
      </c>
      <c r="D896" s="3"/>
      <c r="E896" s="3"/>
      <c r="F896" s="3"/>
      <c r="G896" s="3"/>
      <c r="H896" s="3"/>
      <c r="I896" s="3"/>
    </row>
    <row r="897">
      <c r="A897" s="4" t="s">
        <v>10409</v>
      </c>
      <c r="B897" s="13" t="s">
        <v>43</v>
      </c>
      <c r="D897" s="3"/>
      <c r="E897" s="3"/>
      <c r="F897" s="3"/>
      <c r="G897" s="3"/>
      <c r="H897" s="3"/>
      <c r="I897" s="3"/>
    </row>
    <row r="898">
      <c r="A898" s="4" t="s">
        <v>10410</v>
      </c>
      <c r="B898" s="13" t="s">
        <v>43</v>
      </c>
      <c r="D898" s="3"/>
      <c r="E898" s="3"/>
      <c r="F898" s="3"/>
      <c r="G898" s="3"/>
      <c r="H898" s="3"/>
      <c r="I898" s="3"/>
    </row>
    <row r="899">
      <c r="A899" s="4" t="s">
        <v>10411</v>
      </c>
      <c r="B899" s="13" t="s">
        <v>43</v>
      </c>
      <c r="D899" s="3"/>
      <c r="E899" s="3"/>
      <c r="F899" s="3"/>
      <c r="G899" s="3"/>
      <c r="H899" s="3"/>
      <c r="I899" s="3"/>
    </row>
    <row r="900">
      <c r="A900" s="4" t="s">
        <v>10412</v>
      </c>
      <c r="B900" s="13" t="s">
        <v>43</v>
      </c>
      <c r="D900" s="3"/>
      <c r="E900" s="3"/>
      <c r="F900" s="3"/>
      <c r="G900" s="3"/>
      <c r="H900" s="3"/>
      <c r="I900" s="3"/>
    </row>
    <row r="901">
      <c r="A901" s="4" t="s">
        <v>10413</v>
      </c>
      <c r="B901" s="13" t="s">
        <v>43</v>
      </c>
      <c r="D901" s="3"/>
      <c r="E901" s="3"/>
      <c r="F901" s="3"/>
      <c r="G901" s="3"/>
      <c r="H901" s="3"/>
      <c r="I901" s="3"/>
    </row>
    <row r="902">
      <c r="A902" s="4" t="s">
        <v>10414</v>
      </c>
      <c r="B902" s="13" t="s">
        <v>43</v>
      </c>
      <c r="D902" s="3"/>
      <c r="E902" s="3"/>
      <c r="F902" s="3"/>
      <c r="G902" s="3"/>
      <c r="H902" s="3"/>
      <c r="I902" s="3"/>
    </row>
    <row r="903">
      <c r="A903" s="4" t="s">
        <v>10415</v>
      </c>
      <c r="B903" s="13" t="s">
        <v>43</v>
      </c>
      <c r="D903" s="3"/>
      <c r="E903" s="3"/>
      <c r="F903" s="3"/>
      <c r="G903" s="3"/>
      <c r="H903" s="3"/>
      <c r="I903" s="3"/>
    </row>
    <row r="904">
      <c r="A904" s="4" t="s">
        <v>10416</v>
      </c>
      <c r="B904" s="13" t="s">
        <v>43</v>
      </c>
      <c r="D904" s="3"/>
      <c r="E904" s="3"/>
      <c r="F904" s="3"/>
      <c r="G904" s="3"/>
      <c r="H904" s="3"/>
      <c r="I904" s="3"/>
    </row>
    <row r="905">
      <c r="A905" s="4" t="s">
        <v>10417</v>
      </c>
      <c r="B905" s="13" t="s">
        <v>43</v>
      </c>
      <c r="D905" s="3"/>
      <c r="E905" s="3"/>
      <c r="F905" s="3"/>
      <c r="G905" s="3"/>
      <c r="H905" s="3"/>
      <c r="I905" s="3"/>
    </row>
    <row r="906">
      <c r="A906" s="4" t="s">
        <v>10418</v>
      </c>
      <c r="B906" s="13" t="s">
        <v>43</v>
      </c>
      <c r="D906" s="3"/>
      <c r="E906" s="3"/>
      <c r="F906" s="3"/>
      <c r="G906" s="3"/>
      <c r="H906" s="3"/>
      <c r="I906" s="3"/>
    </row>
    <row r="907">
      <c r="A907" s="4" t="s">
        <v>10419</v>
      </c>
      <c r="B907" s="13" t="s">
        <v>43</v>
      </c>
      <c r="D907" s="3"/>
      <c r="E907" s="3"/>
      <c r="F907" s="3"/>
      <c r="G907" s="3"/>
      <c r="H907" s="3"/>
      <c r="I907" s="3"/>
    </row>
    <row r="908">
      <c r="A908" s="4" t="s">
        <v>10420</v>
      </c>
      <c r="B908" s="13" t="s">
        <v>43</v>
      </c>
      <c r="D908" s="3"/>
      <c r="E908" s="3"/>
      <c r="F908" s="3"/>
      <c r="G908" s="3"/>
      <c r="H908" s="3"/>
      <c r="I908" s="3"/>
    </row>
    <row r="909">
      <c r="A909" s="4" t="s">
        <v>10421</v>
      </c>
      <c r="B909" s="13" t="s">
        <v>43</v>
      </c>
      <c r="D909" s="3"/>
      <c r="E909" s="3"/>
      <c r="F909" s="3"/>
      <c r="G909" s="3"/>
      <c r="H909" s="3"/>
      <c r="I909" s="3"/>
    </row>
    <row r="910">
      <c r="A910" s="4" t="s">
        <v>10422</v>
      </c>
      <c r="B910" s="13" t="s">
        <v>43</v>
      </c>
      <c r="D910" s="3"/>
      <c r="E910" s="3"/>
      <c r="F910" s="3"/>
      <c r="G910" s="3"/>
      <c r="H910" s="3"/>
      <c r="I910" s="3"/>
    </row>
    <row r="911">
      <c r="A911" s="4" t="s">
        <v>10423</v>
      </c>
      <c r="B911" s="13" t="s">
        <v>43</v>
      </c>
      <c r="D911" s="3"/>
      <c r="E911" s="3"/>
      <c r="F911" s="3"/>
      <c r="G911" s="3"/>
      <c r="H911" s="3"/>
      <c r="I911" s="3"/>
    </row>
    <row r="912">
      <c r="A912" s="4" t="s">
        <v>10424</v>
      </c>
      <c r="B912" s="13" t="s">
        <v>43</v>
      </c>
      <c r="D912" s="3"/>
      <c r="E912" s="3"/>
      <c r="F912" s="3"/>
      <c r="G912" s="3"/>
      <c r="H912" s="3"/>
      <c r="I912" s="3"/>
    </row>
    <row r="913">
      <c r="A913" s="4" t="s">
        <v>10425</v>
      </c>
      <c r="B913" s="13" t="s">
        <v>43</v>
      </c>
      <c r="D913" s="3"/>
      <c r="E913" s="3"/>
      <c r="F913" s="3"/>
      <c r="G913" s="3"/>
      <c r="H913" s="3"/>
      <c r="I913" s="3"/>
    </row>
    <row r="914">
      <c r="A914" s="4" t="s">
        <v>10426</v>
      </c>
      <c r="B914" s="13" t="s">
        <v>43</v>
      </c>
      <c r="D914" s="3"/>
      <c r="E914" s="3"/>
      <c r="F914" s="3"/>
      <c r="G914" s="3"/>
      <c r="H914" s="3"/>
      <c r="I914" s="3"/>
    </row>
    <row r="915">
      <c r="A915" s="4" t="s">
        <v>10427</v>
      </c>
      <c r="B915" s="13" t="s">
        <v>43</v>
      </c>
      <c r="D915" s="3"/>
      <c r="E915" s="3"/>
      <c r="F915" s="3"/>
      <c r="G915" s="3"/>
      <c r="H915" s="3"/>
      <c r="I915" s="3"/>
    </row>
    <row r="916">
      <c r="A916" s="4" t="s">
        <v>10428</v>
      </c>
      <c r="B916" s="13" t="s">
        <v>43</v>
      </c>
      <c r="D916" s="3"/>
      <c r="E916" s="3"/>
      <c r="F916" s="3"/>
      <c r="G916" s="3"/>
      <c r="H916" s="3"/>
      <c r="I916" s="3"/>
    </row>
    <row r="917">
      <c r="A917" s="4" t="s">
        <v>10429</v>
      </c>
      <c r="B917" s="13" t="s">
        <v>43</v>
      </c>
      <c r="D917" s="3"/>
      <c r="E917" s="3"/>
      <c r="F917" s="3"/>
      <c r="G917" s="3"/>
      <c r="H917" s="3"/>
      <c r="I917" s="3"/>
    </row>
    <row r="918">
      <c r="A918" s="4" t="s">
        <v>10430</v>
      </c>
      <c r="B918" s="13" t="s">
        <v>43</v>
      </c>
      <c r="D918" s="3"/>
      <c r="E918" s="3"/>
      <c r="F918" s="3"/>
      <c r="G918" s="3"/>
      <c r="H918" s="3"/>
      <c r="I918" s="3"/>
    </row>
    <row r="919">
      <c r="A919" s="4" t="s">
        <v>10431</v>
      </c>
      <c r="B919" s="13" t="s">
        <v>43</v>
      </c>
      <c r="D919" s="3"/>
      <c r="E919" s="3"/>
      <c r="F919" s="3"/>
      <c r="G919" s="3"/>
      <c r="H919" s="3"/>
      <c r="I919" s="3"/>
    </row>
    <row r="920">
      <c r="A920" s="4" t="s">
        <v>10432</v>
      </c>
      <c r="B920" s="13" t="s">
        <v>43</v>
      </c>
      <c r="D920" s="3"/>
      <c r="E920" s="3"/>
      <c r="F920" s="3"/>
      <c r="G920" s="3"/>
      <c r="H920" s="3"/>
      <c r="I920" s="3"/>
    </row>
    <row r="921">
      <c r="A921" s="4" t="s">
        <v>10433</v>
      </c>
      <c r="B921" s="13" t="s">
        <v>43</v>
      </c>
      <c r="D921" s="3"/>
      <c r="E921" s="3"/>
      <c r="F921" s="3"/>
      <c r="G921" s="3"/>
      <c r="H921" s="3"/>
      <c r="I921" s="3"/>
    </row>
    <row r="922">
      <c r="A922" s="4" t="s">
        <v>10434</v>
      </c>
      <c r="B922" s="13" t="s">
        <v>43</v>
      </c>
      <c r="D922" s="3"/>
      <c r="E922" s="3"/>
      <c r="F922" s="3"/>
      <c r="G922" s="3"/>
      <c r="H922" s="3"/>
      <c r="I922" s="3"/>
    </row>
    <row r="923">
      <c r="A923" s="4" t="s">
        <v>10435</v>
      </c>
      <c r="B923" s="13" t="s">
        <v>43</v>
      </c>
      <c r="D923" s="3"/>
      <c r="E923" s="3"/>
      <c r="F923" s="3"/>
      <c r="G923" s="3"/>
      <c r="H923" s="3"/>
      <c r="I923" s="3"/>
    </row>
    <row r="924">
      <c r="A924" s="4" t="s">
        <v>10436</v>
      </c>
      <c r="B924" s="13" t="s">
        <v>43</v>
      </c>
      <c r="D924" s="3"/>
      <c r="E924" s="3"/>
      <c r="F924" s="3"/>
      <c r="G924" s="3"/>
      <c r="H924" s="3"/>
      <c r="I924" s="3"/>
    </row>
    <row r="925">
      <c r="A925" s="4" t="s">
        <v>10437</v>
      </c>
      <c r="B925" s="13" t="s">
        <v>43</v>
      </c>
      <c r="D925" s="3"/>
      <c r="E925" s="3"/>
      <c r="F925" s="3"/>
      <c r="G925" s="3"/>
      <c r="H925" s="3"/>
      <c r="I925" s="3"/>
    </row>
    <row r="926">
      <c r="A926" s="4" t="s">
        <v>10438</v>
      </c>
      <c r="B926" s="13" t="s">
        <v>43</v>
      </c>
      <c r="D926" s="3"/>
      <c r="E926" s="3"/>
      <c r="F926" s="3"/>
      <c r="G926" s="3"/>
      <c r="H926" s="3"/>
      <c r="I926" s="3"/>
    </row>
    <row r="927">
      <c r="A927" s="4" t="s">
        <v>10439</v>
      </c>
      <c r="B927" s="13" t="s">
        <v>43</v>
      </c>
      <c r="D927" s="3"/>
      <c r="E927" s="3"/>
      <c r="F927" s="3"/>
      <c r="G927" s="3"/>
      <c r="H927" s="3"/>
      <c r="I927" s="3"/>
    </row>
    <row r="928">
      <c r="A928" s="4" t="s">
        <v>10440</v>
      </c>
      <c r="B928" s="13" t="s">
        <v>43</v>
      </c>
      <c r="D928" s="3"/>
      <c r="E928" s="3"/>
      <c r="F928" s="3"/>
      <c r="G928" s="3"/>
      <c r="H928" s="3"/>
      <c r="I928" s="3"/>
    </row>
    <row r="929">
      <c r="A929" s="4" t="s">
        <v>10441</v>
      </c>
      <c r="B929" s="13" t="s">
        <v>43</v>
      </c>
      <c r="D929" s="3"/>
      <c r="E929" s="3"/>
      <c r="F929" s="3"/>
      <c r="G929" s="3"/>
      <c r="H929" s="3"/>
      <c r="I929" s="3"/>
    </row>
    <row r="930">
      <c r="A930" s="4" t="s">
        <v>10442</v>
      </c>
      <c r="B930" s="13" t="s">
        <v>43</v>
      </c>
      <c r="D930" s="3"/>
      <c r="E930" s="3"/>
      <c r="F930" s="3"/>
      <c r="G930" s="3"/>
      <c r="H930" s="3"/>
      <c r="I930" s="3"/>
    </row>
    <row r="931">
      <c r="A931" s="4" t="s">
        <v>10443</v>
      </c>
      <c r="B931" s="13" t="s">
        <v>43</v>
      </c>
      <c r="D931" s="3"/>
      <c r="E931" s="3"/>
      <c r="F931" s="3"/>
      <c r="G931" s="3"/>
      <c r="H931" s="3"/>
      <c r="I931" s="3"/>
    </row>
    <row r="932">
      <c r="A932" s="4" t="s">
        <v>10444</v>
      </c>
      <c r="B932" s="13" t="s">
        <v>43</v>
      </c>
      <c r="D932" s="3"/>
      <c r="E932" s="3"/>
      <c r="F932" s="3"/>
      <c r="G932" s="3"/>
      <c r="H932" s="3"/>
      <c r="I932" s="3"/>
    </row>
    <row r="933">
      <c r="A933" s="4" t="s">
        <v>10445</v>
      </c>
      <c r="B933" s="13" t="s">
        <v>43</v>
      </c>
      <c r="D933" s="3"/>
      <c r="E933" s="3"/>
      <c r="F933" s="3"/>
      <c r="G933" s="3"/>
      <c r="H933" s="3"/>
      <c r="I933" s="3"/>
    </row>
    <row r="934">
      <c r="A934" s="4" t="s">
        <v>10446</v>
      </c>
      <c r="B934" s="13" t="s">
        <v>43</v>
      </c>
      <c r="D934" s="3"/>
      <c r="E934" s="3"/>
      <c r="F934" s="3"/>
      <c r="G934" s="3"/>
      <c r="H934" s="3"/>
      <c r="I934" s="3"/>
    </row>
    <row r="935">
      <c r="A935" s="4" t="s">
        <v>10447</v>
      </c>
      <c r="B935" s="13" t="s">
        <v>43</v>
      </c>
      <c r="D935" s="3"/>
      <c r="E935" s="3"/>
      <c r="F935" s="3"/>
      <c r="G935" s="3"/>
      <c r="H935" s="3"/>
      <c r="I935" s="3"/>
    </row>
    <row r="936">
      <c r="A936" s="4" t="s">
        <v>10448</v>
      </c>
      <c r="B936" s="13" t="s">
        <v>43</v>
      </c>
      <c r="D936" s="3"/>
      <c r="E936" s="3"/>
      <c r="F936" s="3"/>
      <c r="G936" s="3"/>
      <c r="H936" s="3"/>
      <c r="I936" s="3"/>
    </row>
    <row r="937">
      <c r="A937" s="4" t="s">
        <v>10449</v>
      </c>
      <c r="B937" s="13" t="s">
        <v>43</v>
      </c>
      <c r="D937" s="3"/>
      <c r="E937" s="3"/>
      <c r="F937" s="3"/>
      <c r="G937" s="3"/>
      <c r="H937" s="3"/>
      <c r="I937" s="3"/>
    </row>
    <row r="938">
      <c r="A938" s="4" t="s">
        <v>10450</v>
      </c>
      <c r="B938" s="13" t="s">
        <v>43</v>
      </c>
      <c r="D938" s="3"/>
      <c r="E938" s="3"/>
      <c r="F938" s="3"/>
      <c r="G938" s="3"/>
      <c r="H938" s="3"/>
      <c r="I938" s="3"/>
    </row>
    <row r="939">
      <c r="A939" s="4" t="s">
        <v>10451</v>
      </c>
      <c r="B939" s="13" t="s">
        <v>43</v>
      </c>
      <c r="D939" s="3"/>
      <c r="E939" s="3"/>
      <c r="F939" s="3"/>
      <c r="G939" s="3"/>
      <c r="H939" s="3"/>
      <c r="I939" s="3"/>
    </row>
    <row r="940">
      <c r="A940" s="4" t="s">
        <v>10452</v>
      </c>
      <c r="B940" s="13" t="s">
        <v>43</v>
      </c>
      <c r="D940" s="3"/>
      <c r="E940" s="3"/>
      <c r="F940" s="3"/>
      <c r="G940" s="3"/>
      <c r="H940" s="3"/>
      <c r="I940" s="3"/>
    </row>
    <row r="941">
      <c r="A941" s="4" t="s">
        <v>10453</v>
      </c>
      <c r="B941" s="13" t="s">
        <v>43</v>
      </c>
      <c r="D941" s="3"/>
      <c r="E941" s="3"/>
      <c r="F941" s="3"/>
      <c r="G941" s="3"/>
      <c r="H941" s="3"/>
      <c r="I941" s="3"/>
    </row>
    <row r="942">
      <c r="A942" s="4" t="s">
        <v>10454</v>
      </c>
      <c r="B942" s="13" t="s">
        <v>43</v>
      </c>
      <c r="D942" s="3"/>
      <c r="E942" s="3"/>
      <c r="F942" s="3"/>
      <c r="G942" s="3"/>
      <c r="H942" s="3"/>
      <c r="I942" s="3"/>
    </row>
    <row r="943">
      <c r="A943" s="4" t="s">
        <v>10455</v>
      </c>
      <c r="B943" s="13" t="s">
        <v>43</v>
      </c>
      <c r="D943" s="3"/>
      <c r="E943" s="3"/>
      <c r="F943" s="3"/>
      <c r="G943" s="3"/>
      <c r="H943" s="3"/>
      <c r="I943" s="3"/>
    </row>
    <row r="944">
      <c r="A944" s="4" t="s">
        <v>10456</v>
      </c>
      <c r="B944" s="13" t="s">
        <v>43</v>
      </c>
      <c r="D944" s="3"/>
      <c r="E944" s="3"/>
      <c r="F944" s="3"/>
      <c r="G944" s="3"/>
      <c r="H944" s="3"/>
      <c r="I944" s="3"/>
    </row>
    <row r="945">
      <c r="A945" s="4" t="s">
        <v>10457</v>
      </c>
      <c r="B945" s="13" t="s">
        <v>43</v>
      </c>
      <c r="D945" s="3"/>
      <c r="E945" s="3"/>
      <c r="F945" s="3"/>
      <c r="G945" s="3"/>
      <c r="H945" s="3"/>
      <c r="I945" s="3"/>
    </row>
    <row r="946">
      <c r="A946" s="4" t="s">
        <v>10458</v>
      </c>
      <c r="B946" s="13" t="s">
        <v>43</v>
      </c>
      <c r="D946" s="3"/>
      <c r="E946" s="3"/>
      <c r="F946" s="3"/>
      <c r="G946" s="3"/>
      <c r="H946" s="3"/>
      <c r="I946" s="3"/>
    </row>
    <row r="947">
      <c r="A947" s="4" t="s">
        <v>10459</v>
      </c>
      <c r="B947" s="13" t="s">
        <v>43</v>
      </c>
      <c r="D947" s="3"/>
      <c r="E947" s="3"/>
      <c r="F947" s="3"/>
      <c r="G947" s="3"/>
      <c r="H947" s="3"/>
      <c r="I947" s="3"/>
    </row>
    <row r="948">
      <c r="A948" s="4" t="s">
        <v>10460</v>
      </c>
      <c r="B948" s="13" t="s">
        <v>43</v>
      </c>
      <c r="D948" s="3"/>
      <c r="E948" s="3"/>
      <c r="F948" s="3"/>
      <c r="G948" s="3"/>
      <c r="H948" s="3"/>
      <c r="I948" s="3"/>
    </row>
    <row r="949">
      <c r="A949" s="4" t="s">
        <v>10461</v>
      </c>
      <c r="B949" s="13" t="s">
        <v>43</v>
      </c>
      <c r="D949" s="3"/>
      <c r="E949" s="3"/>
      <c r="F949" s="3"/>
      <c r="G949" s="3"/>
      <c r="H949" s="3"/>
      <c r="I949" s="3"/>
    </row>
    <row r="950">
      <c r="A950" s="4" t="s">
        <v>10462</v>
      </c>
      <c r="B950" s="13" t="s">
        <v>43</v>
      </c>
      <c r="D950" s="3"/>
      <c r="E950" s="3"/>
      <c r="F950" s="3"/>
      <c r="G950" s="3"/>
      <c r="H950" s="3"/>
      <c r="I950" s="3"/>
    </row>
    <row r="951">
      <c r="A951" s="4" t="s">
        <v>10463</v>
      </c>
      <c r="B951" s="13" t="s">
        <v>43</v>
      </c>
      <c r="D951" s="3"/>
      <c r="E951" s="3"/>
      <c r="F951" s="3"/>
      <c r="G951" s="3"/>
      <c r="H951" s="3"/>
      <c r="I951" s="3"/>
    </row>
    <row r="952">
      <c r="A952" s="4" t="s">
        <v>10464</v>
      </c>
      <c r="B952" s="13" t="s">
        <v>43</v>
      </c>
      <c r="D952" s="3"/>
      <c r="E952" s="3"/>
      <c r="F952" s="3"/>
      <c r="G952" s="3"/>
      <c r="H952" s="3"/>
      <c r="I952" s="3"/>
    </row>
    <row r="953">
      <c r="A953" s="4" t="s">
        <v>10465</v>
      </c>
      <c r="B953" s="13" t="s">
        <v>43</v>
      </c>
      <c r="D953" s="3"/>
      <c r="E953" s="3"/>
      <c r="F953" s="3"/>
      <c r="G953" s="3"/>
      <c r="H953" s="3"/>
      <c r="I953" s="3"/>
    </row>
    <row r="954">
      <c r="A954" s="4" t="s">
        <v>10466</v>
      </c>
      <c r="B954" s="13" t="s">
        <v>43</v>
      </c>
      <c r="D954" s="3"/>
      <c r="E954" s="3"/>
      <c r="F954" s="3"/>
      <c r="G954" s="3"/>
      <c r="H954" s="3"/>
      <c r="I954" s="3"/>
    </row>
    <row r="955">
      <c r="A955" s="4" t="s">
        <v>10467</v>
      </c>
      <c r="B955" s="13" t="s">
        <v>43</v>
      </c>
      <c r="D955" s="3"/>
      <c r="E955" s="3"/>
      <c r="F955" s="3"/>
      <c r="G955" s="3"/>
      <c r="H955" s="3"/>
      <c r="I955" s="3"/>
    </row>
    <row r="956">
      <c r="A956" s="4" t="s">
        <v>10468</v>
      </c>
      <c r="B956" s="13" t="s">
        <v>43</v>
      </c>
      <c r="D956" s="3"/>
      <c r="E956" s="3"/>
      <c r="F956" s="3"/>
      <c r="G956" s="3"/>
      <c r="H956" s="3"/>
      <c r="I956" s="3"/>
    </row>
    <row r="957">
      <c r="A957" s="4" t="s">
        <v>10469</v>
      </c>
      <c r="B957" s="13" t="s">
        <v>43</v>
      </c>
      <c r="D957" s="3"/>
      <c r="E957" s="3"/>
      <c r="F957" s="3"/>
      <c r="G957" s="3"/>
      <c r="H957" s="3"/>
      <c r="I957" s="3"/>
    </row>
    <row r="958">
      <c r="A958" s="4" t="s">
        <v>10470</v>
      </c>
      <c r="B958" s="13" t="s">
        <v>43</v>
      </c>
      <c r="D958" s="3"/>
      <c r="E958" s="3"/>
      <c r="F958" s="3"/>
      <c r="G958" s="3"/>
      <c r="H958" s="3"/>
      <c r="I958" s="3"/>
    </row>
    <row r="959">
      <c r="A959" s="4" t="s">
        <v>10471</v>
      </c>
      <c r="B959" s="13" t="s">
        <v>43</v>
      </c>
      <c r="D959" s="3"/>
      <c r="E959" s="3"/>
      <c r="F959" s="3"/>
      <c r="G959" s="3"/>
      <c r="H959" s="3"/>
      <c r="I959" s="3"/>
    </row>
    <row r="960">
      <c r="A960" s="4" t="s">
        <v>10472</v>
      </c>
      <c r="B960" s="13" t="s">
        <v>43</v>
      </c>
      <c r="D960" s="3"/>
      <c r="E960" s="3"/>
      <c r="F960" s="3"/>
      <c r="G960" s="3"/>
      <c r="H960" s="3"/>
      <c r="I960" s="3"/>
    </row>
    <row r="961">
      <c r="A961" s="4" t="s">
        <v>10473</v>
      </c>
      <c r="B961" s="13" t="s">
        <v>43</v>
      </c>
      <c r="D961" s="3"/>
      <c r="E961" s="3"/>
      <c r="F961" s="3"/>
      <c r="G961" s="3"/>
      <c r="H961" s="3"/>
      <c r="I961" s="3"/>
    </row>
    <row r="962">
      <c r="A962" s="4" t="s">
        <v>10474</v>
      </c>
      <c r="B962" s="13" t="s">
        <v>43</v>
      </c>
      <c r="D962" s="3"/>
      <c r="E962" s="3"/>
      <c r="F962" s="3"/>
      <c r="G962" s="3"/>
      <c r="H962" s="3"/>
      <c r="I962" s="3"/>
    </row>
    <row r="963">
      <c r="A963" s="4" t="s">
        <v>10475</v>
      </c>
      <c r="B963" s="13" t="s">
        <v>43</v>
      </c>
      <c r="D963" s="3"/>
      <c r="E963" s="3"/>
      <c r="F963" s="3"/>
      <c r="G963" s="3"/>
      <c r="H963" s="3"/>
      <c r="I963" s="3"/>
    </row>
    <row r="964">
      <c r="A964" s="4" t="s">
        <v>10476</v>
      </c>
      <c r="B964" s="13" t="s">
        <v>43</v>
      </c>
      <c r="D964" s="3"/>
      <c r="E964" s="3"/>
      <c r="F964" s="3"/>
      <c r="G964" s="3"/>
      <c r="H964" s="3"/>
      <c r="I964" s="3"/>
    </row>
    <row r="965">
      <c r="A965" s="4" t="s">
        <v>10477</v>
      </c>
      <c r="B965" s="13" t="s">
        <v>43</v>
      </c>
      <c r="D965" s="3"/>
      <c r="E965" s="3"/>
      <c r="F965" s="3"/>
      <c r="G965" s="3"/>
      <c r="H965" s="3"/>
      <c r="I965" s="3"/>
    </row>
    <row r="966">
      <c r="A966" s="4" t="s">
        <v>10478</v>
      </c>
      <c r="B966" s="13" t="s">
        <v>43</v>
      </c>
      <c r="D966" s="3"/>
      <c r="E966" s="3"/>
      <c r="F966" s="3"/>
      <c r="G966" s="3"/>
      <c r="H966" s="3"/>
      <c r="I966" s="3"/>
    </row>
    <row r="967">
      <c r="A967" s="4" t="s">
        <v>10479</v>
      </c>
      <c r="B967" s="13" t="s">
        <v>43</v>
      </c>
      <c r="D967" s="3"/>
      <c r="E967" s="3"/>
      <c r="F967" s="3"/>
      <c r="G967" s="3"/>
      <c r="H967" s="3"/>
      <c r="I967" s="3"/>
    </row>
    <row r="968">
      <c r="A968" s="4" t="s">
        <v>10480</v>
      </c>
      <c r="B968" s="13" t="s">
        <v>43</v>
      </c>
      <c r="D968" s="3"/>
      <c r="E968" s="3"/>
      <c r="F968" s="3"/>
      <c r="G968" s="3"/>
      <c r="H968" s="3"/>
      <c r="I968" s="3"/>
    </row>
    <row r="969">
      <c r="A969" s="4" t="s">
        <v>10481</v>
      </c>
      <c r="B969" s="13" t="s">
        <v>43</v>
      </c>
      <c r="D969" s="3"/>
      <c r="E969" s="3"/>
      <c r="F969" s="3"/>
      <c r="G969" s="3"/>
      <c r="H969" s="3"/>
      <c r="I969" s="3"/>
    </row>
    <row r="970">
      <c r="A970" s="4" t="s">
        <v>10482</v>
      </c>
      <c r="B970" s="13" t="s">
        <v>43</v>
      </c>
      <c r="D970" s="3"/>
      <c r="E970" s="3"/>
      <c r="F970" s="3"/>
      <c r="G970" s="3"/>
      <c r="H970" s="3"/>
      <c r="I970" s="3"/>
    </row>
    <row r="971">
      <c r="A971" s="4" t="s">
        <v>10483</v>
      </c>
      <c r="B971" s="13" t="s">
        <v>43</v>
      </c>
      <c r="D971" s="3"/>
      <c r="E971" s="3"/>
      <c r="F971" s="3"/>
      <c r="G971" s="3"/>
      <c r="H971" s="3"/>
      <c r="I971" s="3"/>
    </row>
    <row r="972">
      <c r="A972" s="4" t="s">
        <v>10484</v>
      </c>
      <c r="B972" s="13" t="s">
        <v>43</v>
      </c>
      <c r="D972" s="3"/>
      <c r="E972" s="3"/>
      <c r="F972" s="3"/>
      <c r="G972" s="3"/>
      <c r="H972" s="3"/>
      <c r="I972" s="3"/>
    </row>
    <row r="973">
      <c r="A973" s="4" t="s">
        <v>10485</v>
      </c>
      <c r="B973" s="13" t="s">
        <v>43</v>
      </c>
      <c r="D973" s="3"/>
      <c r="E973" s="3"/>
      <c r="F973" s="3"/>
      <c r="G973" s="3"/>
      <c r="H973" s="3"/>
      <c r="I973" s="3"/>
    </row>
    <row r="974">
      <c r="A974" s="4" t="s">
        <v>10486</v>
      </c>
      <c r="B974" s="13" t="s">
        <v>43</v>
      </c>
      <c r="D974" s="3"/>
      <c r="E974" s="3"/>
      <c r="F974" s="3"/>
      <c r="G974" s="3"/>
      <c r="H974" s="3"/>
      <c r="I974" s="3"/>
    </row>
    <row r="975">
      <c r="A975" s="4" t="s">
        <v>10487</v>
      </c>
      <c r="B975" s="13" t="s">
        <v>43</v>
      </c>
      <c r="D975" s="3"/>
      <c r="E975" s="3"/>
      <c r="F975" s="3"/>
      <c r="G975" s="3"/>
      <c r="H975" s="3"/>
      <c r="I975" s="3"/>
    </row>
    <row r="976">
      <c r="A976" s="4" t="s">
        <v>10488</v>
      </c>
      <c r="B976" s="13" t="s">
        <v>43</v>
      </c>
      <c r="D976" s="3"/>
      <c r="E976" s="3"/>
      <c r="F976" s="3"/>
      <c r="G976" s="3"/>
      <c r="H976" s="3"/>
      <c r="I976" s="3"/>
    </row>
    <row r="977">
      <c r="A977" s="4" t="s">
        <v>10489</v>
      </c>
      <c r="B977" s="13" t="s">
        <v>43</v>
      </c>
      <c r="D977" s="3"/>
      <c r="E977" s="3"/>
      <c r="F977" s="3"/>
      <c r="G977" s="3"/>
      <c r="H977" s="3"/>
      <c r="I977" s="3"/>
    </row>
    <row r="978">
      <c r="A978" s="4" t="s">
        <v>10490</v>
      </c>
      <c r="B978" s="13" t="s">
        <v>43</v>
      </c>
      <c r="D978" s="3"/>
      <c r="E978" s="3"/>
      <c r="F978" s="3"/>
      <c r="G978" s="3"/>
      <c r="H978" s="3"/>
      <c r="I978" s="3"/>
    </row>
    <row r="979">
      <c r="A979" s="4" t="s">
        <v>10491</v>
      </c>
      <c r="B979" s="13" t="s">
        <v>43</v>
      </c>
      <c r="D979" s="3"/>
      <c r="E979" s="3"/>
      <c r="F979" s="3"/>
      <c r="G979" s="3"/>
      <c r="H979" s="3"/>
      <c r="I979" s="3"/>
    </row>
    <row r="980">
      <c r="A980" s="4" t="s">
        <v>10492</v>
      </c>
      <c r="B980" s="13" t="s">
        <v>43</v>
      </c>
      <c r="D980" s="3"/>
      <c r="E980" s="3"/>
      <c r="F980" s="3"/>
      <c r="G980" s="3"/>
      <c r="H980" s="3"/>
      <c r="I980" s="3"/>
    </row>
    <row r="981">
      <c r="A981" s="4" t="s">
        <v>10493</v>
      </c>
      <c r="B981" s="13" t="s">
        <v>43</v>
      </c>
      <c r="D981" s="3"/>
      <c r="E981" s="3"/>
      <c r="F981" s="3"/>
      <c r="G981" s="3"/>
      <c r="H981" s="3"/>
      <c r="I981" s="3"/>
    </row>
    <row r="982">
      <c r="A982" s="4" t="s">
        <v>10494</v>
      </c>
      <c r="B982" s="13" t="s">
        <v>43</v>
      </c>
      <c r="D982" s="3"/>
      <c r="E982" s="3"/>
      <c r="F982" s="3"/>
      <c r="G982" s="3"/>
      <c r="H982" s="3"/>
      <c r="I982" s="3"/>
    </row>
    <row r="983">
      <c r="A983" s="4" t="s">
        <v>10495</v>
      </c>
      <c r="B983" s="13" t="s">
        <v>43</v>
      </c>
      <c r="D983" s="3"/>
      <c r="E983" s="3"/>
      <c r="F983" s="3"/>
      <c r="G983" s="3"/>
      <c r="H983" s="3"/>
      <c r="I983" s="3"/>
    </row>
    <row r="984">
      <c r="A984" s="4" t="s">
        <v>10496</v>
      </c>
      <c r="B984" s="13" t="s">
        <v>43</v>
      </c>
      <c r="D984" s="3"/>
      <c r="E984" s="3"/>
      <c r="F984" s="3"/>
      <c r="G984" s="3"/>
      <c r="H984" s="3"/>
      <c r="I984" s="3"/>
    </row>
    <row r="985">
      <c r="A985" s="4" t="s">
        <v>10497</v>
      </c>
      <c r="B985" s="13" t="s">
        <v>43</v>
      </c>
      <c r="D985" s="3"/>
      <c r="E985" s="3"/>
      <c r="F985" s="3"/>
      <c r="G985" s="3"/>
      <c r="H985" s="3"/>
      <c r="I985" s="3"/>
    </row>
    <row r="986">
      <c r="A986" s="4" t="s">
        <v>10498</v>
      </c>
      <c r="B986" s="13" t="s">
        <v>43</v>
      </c>
      <c r="D986" s="3"/>
      <c r="E986" s="3"/>
      <c r="F986" s="3"/>
      <c r="G986" s="3"/>
      <c r="H986" s="3"/>
      <c r="I986" s="3"/>
    </row>
    <row r="987">
      <c r="A987" s="4" t="s">
        <v>10499</v>
      </c>
      <c r="B987" s="13" t="s">
        <v>43</v>
      </c>
      <c r="D987" s="3"/>
      <c r="E987" s="3"/>
      <c r="F987" s="3"/>
      <c r="G987" s="3"/>
      <c r="H987" s="3"/>
      <c r="I987" s="3"/>
    </row>
    <row r="988">
      <c r="A988" s="4" t="s">
        <v>10500</v>
      </c>
      <c r="B988" s="13" t="s">
        <v>43</v>
      </c>
      <c r="D988" s="3"/>
      <c r="E988" s="3"/>
      <c r="F988" s="3"/>
      <c r="G988" s="3"/>
      <c r="H988" s="3"/>
      <c r="I988" s="3"/>
    </row>
    <row r="989">
      <c r="A989" s="4" t="s">
        <v>10501</v>
      </c>
      <c r="B989" s="13" t="s">
        <v>43</v>
      </c>
      <c r="D989" s="3"/>
      <c r="E989" s="3"/>
      <c r="F989" s="3"/>
      <c r="G989" s="3"/>
      <c r="H989" s="3"/>
      <c r="I989" s="3"/>
    </row>
    <row r="990">
      <c r="A990" s="4" t="s">
        <v>10502</v>
      </c>
      <c r="B990" s="13" t="s">
        <v>43</v>
      </c>
      <c r="D990" s="3"/>
      <c r="E990" s="3"/>
      <c r="F990" s="3"/>
      <c r="G990" s="3"/>
      <c r="H990" s="3"/>
      <c r="I990" s="3"/>
    </row>
    <row r="991">
      <c r="A991" s="4" t="s">
        <v>10503</v>
      </c>
      <c r="B991" s="13" t="s">
        <v>43</v>
      </c>
      <c r="D991" s="3"/>
      <c r="E991" s="3"/>
      <c r="F991" s="3"/>
      <c r="G991" s="3"/>
      <c r="H991" s="3"/>
      <c r="I991" s="3"/>
    </row>
    <row r="992">
      <c r="A992" s="4" t="s">
        <v>10504</v>
      </c>
      <c r="B992" s="13" t="s">
        <v>43</v>
      </c>
      <c r="D992" s="3"/>
      <c r="E992" s="3"/>
      <c r="F992" s="3"/>
      <c r="G992" s="3"/>
      <c r="H992" s="3"/>
      <c r="I992" s="3"/>
    </row>
    <row r="993">
      <c r="A993" s="4" t="s">
        <v>10505</v>
      </c>
      <c r="B993" s="13" t="s">
        <v>43</v>
      </c>
      <c r="D993" s="3"/>
      <c r="E993" s="3"/>
      <c r="F993" s="3"/>
      <c r="G993" s="3"/>
      <c r="H993" s="3"/>
      <c r="I993" s="3"/>
    </row>
    <row r="994">
      <c r="A994" s="4" t="s">
        <v>10506</v>
      </c>
      <c r="B994" s="13" t="s">
        <v>43</v>
      </c>
      <c r="D994" s="3"/>
      <c r="E994" s="3"/>
      <c r="F994" s="3"/>
      <c r="G994" s="3"/>
      <c r="H994" s="3"/>
      <c r="I994" s="3"/>
    </row>
    <row r="995">
      <c r="A995" s="4" t="s">
        <v>10507</v>
      </c>
      <c r="B995" s="13" t="s">
        <v>43</v>
      </c>
      <c r="D995" s="3"/>
      <c r="E995" s="3"/>
      <c r="F995" s="3"/>
      <c r="G995" s="3"/>
      <c r="H995" s="3"/>
      <c r="I995" s="3"/>
    </row>
    <row r="996">
      <c r="A996" s="4" t="s">
        <v>10508</v>
      </c>
      <c r="B996" s="13" t="s">
        <v>43</v>
      </c>
      <c r="D996" s="3"/>
      <c r="E996" s="3"/>
      <c r="F996" s="3"/>
      <c r="G996" s="3"/>
      <c r="H996" s="3"/>
      <c r="I996" s="3"/>
    </row>
    <row r="997">
      <c r="A997" s="4" t="s">
        <v>10509</v>
      </c>
      <c r="B997" s="13" t="s">
        <v>43</v>
      </c>
      <c r="D997" s="3"/>
      <c r="E997" s="3"/>
      <c r="F997" s="3"/>
      <c r="G997" s="3"/>
      <c r="H997" s="3"/>
      <c r="I997" s="3"/>
    </row>
    <row r="998">
      <c r="A998" s="4" t="s">
        <v>10510</v>
      </c>
      <c r="B998" s="13" t="s">
        <v>43</v>
      </c>
      <c r="D998" s="3"/>
      <c r="E998" s="3"/>
      <c r="F998" s="3"/>
      <c r="G998" s="3"/>
      <c r="H998" s="3"/>
      <c r="I998" s="3"/>
    </row>
    <row r="999">
      <c r="A999" s="4" t="s">
        <v>10511</v>
      </c>
      <c r="B999" s="13" t="s">
        <v>43</v>
      </c>
      <c r="D999" s="3"/>
      <c r="E999" s="3"/>
      <c r="F999" s="3"/>
      <c r="G999" s="3"/>
      <c r="H999" s="3"/>
      <c r="I999" s="3"/>
    </row>
    <row r="1000">
      <c r="A1000" s="4" t="s">
        <v>10512</v>
      </c>
      <c r="B1000" s="13" t="s">
        <v>43</v>
      </c>
      <c r="D1000" s="3"/>
      <c r="E1000" s="3"/>
      <c r="F1000" s="3"/>
      <c r="G1000" s="3"/>
      <c r="H1000" s="3"/>
      <c r="I1000" s="3"/>
    </row>
    <row r="1001">
      <c r="A1001" s="4" t="s">
        <v>10513</v>
      </c>
      <c r="B1001" s="13" t="s">
        <v>43</v>
      </c>
      <c r="D1001" s="3"/>
      <c r="E1001" s="3"/>
      <c r="F1001" s="3"/>
      <c r="G1001" s="3"/>
      <c r="H1001" s="3"/>
      <c r="I1001" s="3"/>
    </row>
    <row r="1002">
      <c r="A1002" s="4" t="s">
        <v>10514</v>
      </c>
      <c r="B1002" s="13" t="s">
        <v>43</v>
      </c>
      <c r="D1002" s="3"/>
      <c r="E1002" s="3"/>
      <c r="F1002" s="3"/>
      <c r="G1002" s="3"/>
      <c r="H1002" s="3"/>
      <c r="I1002" s="3"/>
    </row>
    <row r="1003">
      <c r="A1003" s="4" t="s">
        <v>10515</v>
      </c>
      <c r="B1003" s="13" t="s">
        <v>43</v>
      </c>
      <c r="D1003" s="3"/>
      <c r="E1003" s="3"/>
      <c r="F1003" s="3"/>
      <c r="G1003" s="3"/>
      <c r="H1003" s="3"/>
      <c r="I1003" s="3"/>
    </row>
    <row r="1004">
      <c r="A1004" s="4" t="s">
        <v>10516</v>
      </c>
      <c r="B1004" s="13" t="s">
        <v>43</v>
      </c>
      <c r="D1004" s="3"/>
      <c r="E1004" s="3"/>
      <c r="F1004" s="3"/>
      <c r="G1004" s="3"/>
      <c r="H1004" s="3"/>
      <c r="I1004" s="3"/>
    </row>
    <row r="1005">
      <c r="A1005" s="4" t="s">
        <v>10517</v>
      </c>
      <c r="B1005" s="13" t="s">
        <v>43</v>
      </c>
      <c r="D1005" s="3"/>
      <c r="E1005" s="3"/>
      <c r="F1005" s="3"/>
      <c r="G1005" s="3"/>
      <c r="H1005" s="3"/>
      <c r="I1005" s="3"/>
    </row>
    <row r="1006">
      <c r="A1006" s="4" t="s">
        <v>10518</v>
      </c>
      <c r="B1006" s="13" t="s">
        <v>43</v>
      </c>
      <c r="D1006" s="3"/>
      <c r="E1006" s="3"/>
      <c r="F1006" s="3"/>
      <c r="G1006" s="3"/>
      <c r="H1006" s="3"/>
      <c r="I1006" s="3"/>
    </row>
    <row r="1007">
      <c r="A1007" s="4" t="s">
        <v>10519</v>
      </c>
      <c r="B1007" s="13" t="s">
        <v>43</v>
      </c>
      <c r="D1007" s="3"/>
      <c r="E1007" s="3"/>
      <c r="F1007" s="3"/>
      <c r="G1007" s="3"/>
      <c r="H1007" s="3"/>
      <c r="I1007" s="3"/>
    </row>
    <row r="1008">
      <c r="A1008" s="4" t="s">
        <v>10520</v>
      </c>
      <c r="B1008" s="13" t="s">
        <v>43</v>
      </c>
      <c r="D1008" s="3"/>
      <c r="E1008" s="3"/>
      <c r="F1008" s="3"/>
      <c r="G1008" s="3"/>
      <c r="H1008" s="3"/>
      <c r="I1008" s="3"/>
    </row>
    <row r="1009">
      <c r="A1009" s="4" t="s">
        <v>10521</v>
      </c>
      <c r="B1009" s="13" t="s">
        <v>43</v>
      </c>
      <c r="D1009" s="3"/>
      <c r="E1009" s="3"/>
      <c r="F1009" s="3"/>
      <c r="G1009" s="3"/>
      <c r="H1009" s="3"/>
      <c r="I1009" s="3"/>
    </row>
    <row r="1010">
      <c r="A1010" s="4" t="s">
        <v>10522</v>
      </c>
      <c r="B1010" s="13" t="s">
        <v>43</v>
      </c>
      <c r="D1010" s="3"/>
      <c r="E1010" s="3"/>
      <c r="F1010" s="3"/>
      <c r="G1010" s="3"/>
      <c r="H1010" s="3"/>
      <c r="I1010" s="3"/>
    </row>
    <row r="1011">
      <c r="A1011" s="4" t="s">
        <v>10523</v>
      </c>
      <c r="B1011" s="13" t="s">
        <v>43</v>
      </c>
      <c r="D1011" s="3"/>
      <c r="E1011" s="3"/>
      <c r="F1011" s="3"/>
      <c r="G1011" s="3"/>
      <c r="H1011" s="3"/>
      <c r="I1011" s="3"/>
    </row>
    <row r="1012">
      <c r="A1012" s="4" t="s">
        <v>10524</v>
      </c>
      <c r="B1012" s="13" t="s">
        <v>43</v>
      </c>
      <c r="D1012" s="3"/>
      <c r="E1012" s="3"/>
      <c r="F1012" s="3"/>
      <c r="G1012" s="3"/>
      <c r="H1012" s="3"/>
      <c r="I1012" s="3"/>
    </row>
    <row r="1013">
      <c r="A1013" s="4" t="s">
        <v>10525</v>
      </c>
      <c r="B1013" s="13" t="s">
        <v>43</v>
      </c>
      <c r="D1013" s="3"/>
      <c r="E1013" s="3"/>
      <c r="F1013" s="3"/>
      <c r="G1013" s="3"/>
      <c r="H1013" s="3"/>
      <c r="I1013" s="3"/>
    </row>
    <row r="1014">
      <c r="A1014" s="4" t="s">
        <v>10526</v>
      </c>
      <c r="B1014" s="13" t="s">
        <v>43</v>
      </c>
      <c r="D1014" s="3"/>
      <c r="E1014" s="3"/>
      <c r="F1014" s="3"/>
      <c r="G1014" s="3"/>
      <c r="H1014" s="3"/>
      <c r="I1014" s="3"/>
    </row>
    <row r="1015">
      <c r="A1015" s="4" t="s">
        <v>10527</v>
      </c>
      <c r="B1015" s="13" t="s">
        <v>43</v>
      </c>
      <c r="D1015" s="3"/>
      <c r="E1015" s="3"/>
      <c r="F1015" s="3"/>
      <c r="G1015" s="3"/>
      <c r="H1015" s="3"/>
      <c r="I1015" s="3"/>
    </row>
    <row r="1016">
      <c r="A1016" s="4" t="s">
        <v>10528</v>
      </c>
      <c r="B1016" s="13" t="s">
        <v>43</v>
      </c>
      <c r="D1016" s="3"/>
      <c r="E1016" s="3"/>
      <c r="F1016" s="3"/>
      <c r="G1016" s="3"/>
      <c r="H1016" s="3"/>
      <c r="I1016" s="3"/>
    </row>
    <row r="1017">
      <c r="A1017" s="4" t="s">
        <v>10529</v>
      </c>
      <c r="B1017" s="13" t="s">
        <v>43</v>
      </c>
      <c r="D1017" s="3"/>
      <c r="E1017" s="3"/>
      <c r="F1017" s="3"/>
      <c r="G1017" s="3"/>
      <c r="H1017" s="3"/>
      <c r="I1017" s="3"/>
    </row>
    <row r="1018">
      <c r="A1018" s="4" t="s">
        <v>10530</v>
      </c>
      <c r="B1018" s="13" t="s">
        <v>43</v>
      </c>
      <c r="D1018" s="3"/>
      <c r="E1018" s="3"/>
      <c r="F1018" s="3"/>
      <c r="G1018" s="3"/>
      <c r="H1018" s="3"/>
      <c r="I1018" s="3"/>
    </row>
    <row r="1019">
      <c r="A1019" s="4" t="s">
        <v>10531</v>
      </c>
      <c r="B1019" s="13" t="s">
        <v>43</v>
      </c>
      <c r="D1019" s="3"/>
      <c r="E1019" s="3"/>
      <c r="F1019" s="3"/>
      <c r="G1019" s="3"/>
      <c r="H1019" s="3"/>
      <c r="I1019" s="3"/>
    </row>
    <row r="1020">
      <c r="A1020" s="4" t="s">
        <v>10532</v>
      </c>
      <c r="B1020" s="13" t="s">
        <v>43</v>
      </c>
      <c r="D1020" s="3"/>
      <c r="E1020" s="3"/>
      <c r="F1020" s="3"/>
      <c r="G1020" s="3"/>
      <c r="H1020" s="3"/>
      <c r="I1020" s="3"/>
    </row>
    <row r="1021">
      <c r="A1021" s="4" t="s">
        <v>10533</v>
      </c>
      <c r="B1021" s="13" t="s">
        <v>43</v>
      </c>
      <c r="D1021" s="3"/>
      <c r="E1021" s="3"/>
      <c r="F1021" s="3"/>
      <c r="G1021" s="3"/>
      <c r="H1021" s="3"/>
      <c r="I1021" s="3"/>
    </row>
    <row r="1022">
      <c r="A1022" s="4" t="s">
        <v>10534</v>
      </c>
      <c r="B1022" s="13" t="s">
        <v>43</v>
      </c>
      <c r="D1022" s="3"/>
      <c r="E1022" s="3"/>
      <c r="F1022" s="3"/>
      <c r="G1022" s="3"/>
      <c r="H1022" s="3"/>
      <c r="I1022" s="3"/>
    </row>
    <row r="1023">
      <c r="A1023" s="4" t="s">
        <v>10535</v>
      </c>
      <c r="B1023" s="13" t="s">
        <v>43</v>
      </c>
      <c r="D1023" s="3"/>
      <c r="E1023" s="3"/>
      <c r="F1023" s="3"/>
      <c r="G1023" s="3"/>
      <c r="H1023" s="3"/>
      <c r="I1023" s="3"/>
    </row>
    <row r="1024">
      <c r="A1024" s="4" t="s">
        <v>10536</v>
      </c>
      <c r="B1024" s="13" t="s">
        <v>43</v>
      </c>
      <c r="D1024" s="3"/>
      <c r="E1024" s="3"/>
      <c r="F1024" s="3"/>
      <c r="G1024" s="3"/>
      <c r="H1024" s="3"/>
      <c r="I1024" s="3"/>
    </row>
    <row r="1025">
      <c r="A1025" s="4" t="s">
        <v>10537</v>
      </c>
      <c r="B1025" s="13" t="s">
        <v>43</v>
      </c>
      <c r="D1025" s="3"/>
      <c r="E1025" s="3"/>
      <c r="F1025" s="3"/>
      <c r="G1025" s="3"/>
      <c r="H1025" s="3"/>
      <c r="I1025" s="3"/>
    </row>
    <row r="1026">
      <c r="A1026" s="4" t="s">
        <v>10538</v>
      </c>
      <c r="B1026" s="13" t="s">
        <v>43</v>
      </c>
      <c r="D1026" s="3"/>
      <c r="E1026" s="3"/>
      <c r="F1026" s="3"/>
      <c r="G1026" s="3"/>
      <c r="H1026" s="3"/>
      <c r="I1026" s="3"/>
    </row>
    <row r="1027">
      <c r="A1027" s="4" t="s">
        <v>10539</v>
      </c>
      <c r="B1027" s="13" t="s">
        <v>43</v>
      </c>
      <c r="D1027" s="3"/>
      <c r="E1027" s="3"/>
      <c r="F1027" s="3"/>
      <c r="G1027" s="3"/>
      <c r="H1027" s="3"/>
      <c r="I1027" s="3"/>
    </row>
    <row r="1028">
      <c r="A1028" s="4" t="s">
        <v>10540</v>
      </c>
      <c r="B1028" s="13" t="s">
        <v>43</v>
      </c>
      <c r="D1028" s="3"/>
      <c r="E1028" s="3"/>
      <c r="F1028" s="3"/>
      <c r="G1028" s="3"/>
      <c r="H1028" s="3"/>
      <c r="I1028" s="3"/>
    </row>
    <row r="1029">
      <c r="A1029" s="4" t="s">
        <v>10541</v>
      </c>
      <c r="B1029" s="13" t="s">
        <v>43</v>
      </c>
      <c r="D1029" s="3"/>
      <c r="E1029" s="3"/>
      <c r="F1029" s="3"/>
      <c r="G1029" s="3"/>
      <c r="H1029" s="3"/>
      <c r="I1029" s="3"/>
    </row>
    <row r="1030">
      <c r="A1030" s="4" t="s">
        <v>10542</v>
      </c>
      <c r="B1030" s="13" t="s">
        <v>43</v>
      </c>
      <c r="D1030" s="3"/>
      <c r="E1030" s="3"/>
      <c r="F1030" s="3"/>
      <c r="G1030" s="3"/>
      <c r="H1030" s="3"/>
      <c r="I1030" s="3"/>
    </row>
    <row r="1031">
      <c r="A1031" s="4" t="s">
        <v>10543</v>
      </c>
      <c r="B1031" s="13" t="s">
        <v>43</v>
      </c>
      <c r="D1031" s="3"/>
      <c r="E1031" s="3"/>
      <c r="F1031" s="3"/>
      <c r="G1031" s="3"/>
      <c r="H1031" s="3"/>
      <c r="I1031" s="3"/>
    </row>
    <row r="1032">
      <c r="A1032" s="4" t="s">
        <v>10544</v>
      </c>
      <c r="B1032" s="13" t="s">
        <v>43</v>
      </c>
      <c r="D1032" s="3"/>
      <c r="E1032" s="3"/>
      <c r="F1032" s="3"/>
      <c r="G1032" s="3"/>
      <c r="H1032" s="3"/>
      <c r="I1032" s="3"/>
    </row>
    <row r="1033">
      <c r="A1033" s="4" t="s">
        <v>10545</v>
      </c>
      <c r="B1033" s="13" t="s">
        <v>43</v>
      </c>
      <c r="D1033" s="3"/>
      <c r="E1033" s="3"/>
      <c r="F1033" s="3"/>
      <c r="G1033" s="3"/>
      <c r="H1033" s="3"/>
      <c r="I1033" s="3"/>
    </row>
    <row r="1034">
      <c r="A1034" s="4" t="s">
        <v>10546</v>
      </c>
      <c r="B1034" s="13" t="s">
        <v>43</v>
      </c>
      <c r="D1034" s="3"/>
      <c r="E1034" s="3"/>
      <c r="F1034" s="3"/>
      <c r="G1034" s="3"/>
      <c r="H1034" s="3"/>
      <c r="I1034" s="3"/>
    </row>
    <row r="1035">
      <c r="A1035" s="4" t="s">
        <v>10547</v>
      </c>
      <c r="B1035" s="13" t="s">
        <v>43</v>
      </c>
      <c r="D1035" s="3"/>
      <c r="E1035" s="3"/>
      <c r="F1035" s="3"/>
      <c r="G1035" s="3"/>
      <c r="H1035" s="3"/>
      <c r="I1035" s="3"/>
    </row>
    <row r="1036">
      <c r="A1036" s="4" t="s">
        <v>10548</v>
      </c>
      <c r="B1036" s="13" t="s">
        <v>43</v>
      </c>
      <c r="D1036" s="3"/>
      <c r="E1036" s="3"/>
      <c r="F1036" s="3"/>
      <c r="G1036" s="3"/>
      <c r="H1036" s="3"/>
      <c r="I1036" s="3"/>
    </row>
    <row r="1037">
      <c r="A1037" s="4" t="s">
        <v>10549</v>
      </c>
      <c r="B1037" s="13" t="s">
        <v>43</v>
      </c>
      <c r="D1037" s="3"/>
      <c r="E1037" s="3"/>
      <c r="F1037" s="3"/>
      <c r="G1037" s="3"/>
      <c r="H1037" s="3"/>
      <c r="I1037" s="3"/>
    </row>
    <row r="1038">
      <c r="A1038" s="4" t="s">
        <v>10550</v>
      </c>
      <c r="B1038" s="13" t="s">
        <v>43</v>
      </c>
      <c r="D1038" s="3"/>
      <c r="E1038" s="3"/>
      <c r="F1038" s="3"/>
      <c r="G1038" s="3"/>
      <c r="H1038" s="3"/>
      <c r="I1038" s="3"/>
    </row>
    <row r="1039">
      <c r="A1039" s="4" t="s">
        <v>10551</v>
      </c>
      <c r="B1039" s="13" t="s">
        <v>43</v>
      </c>
      <c r="D1039" s="3"/>
      <c r="E1039" s="3"/>
      <c r="F1039" s="3"/>
      <c r="G1039" s="3"/>
      <c r="H1039" s="3"/>
      <c r="I1039" s="3"/>
    </row>
    <row r="1040">
      <c r="A1040" s="4" t="s">
        <v>10552</v>
      </c>
      <c r="B1040" s="13" t="s">
        <v>43</v>
      </c>
      <c r="D1040" s="3"/>
      <c r="E1040" s="3"/>
      <c r="F1040" s="3"/>
      <c r="G1040" s="3"/>
      <c r="H1040" s="3"/>
      <c r="I1040" s="3"/>
    </row>
    <row r="1041">
      <c r="A1041" s="4" t="s">
        <v>10553</v>
      </c>
      <c r="B1041" s="13" t="s">
        <v>43</v>
      </c>
      <c r="D1041" s="3"/>
      <c r="E1041" s="3"/>
      <c r="F1041" s="3"/>
      <c r="G1041" s="3"/>
      <c r="H1041" s="3"/>
      <c r="I1041" s="3"/>
    </row>
    <row r="1042">
      <c r="A1042" s="4" t="s">
        <v>10554</v>
      </c>
      <c r="B1042" s="13" t="s">
        <v>43</v>
      </c>
      <c r="D1042" s="3"/>
      <c r="E1042" s="3"/>
      <c r="F1042" s="3"/>
      <c r="G1042" s="3"/>
      <c r="H1042" s="3"/>
      <c r="I1042" s="3"/>
    </row>
    <row r="1043">
      <c r="A1043" s="4" t="s">
        <v>10555</v>
      </c>
      <c r="B1043" s="13" t="s">
        <v>43</v>
      </c>
      <c r="D1043" s="3"/>
      <c r="E1043" s="3"/>
      <c r="F1043" s="3"/>
      <c r="G1043" s="3"/>
      <c r="H1043" s="3"/>
      <c r="I1043" s="3"/>
    </row>
    <row r="1044">
      <c r="A1044" s="4" t="s">
        <v>10556</v>
      </c>
      <c r="B1044" s="13" t="s">
        <v>43</v>
      </c>
      <c r="D1044" s="3"/>
      <c r="E1044" s="3"/>
      <c r="F1044" s="3"/>
      <c r="G1044" s="3"/>
      <c r="H1044" s="3"/>
      <c r="I1044" s="3"/>
    </row>
    <row r="1045">
      <c r="A1045" s="4" t="s">
        <v>10557</v>
      </c>
      <c r="B1045" s="13" t="s">
        <v>43</v>
      </c>
      <c r="D1045" s="3"/>
      <c r="E1045" s="3"/>
      <c r="F1045" s="3"/>
      <c r="G1045" s="3"/>
      <c r="H1045" s="3"/>
      <c r="I1045" s="3"/>
    </row>
    <row r="1046">
      <c r="A1046" s="4" t="s">
        <v>10558</v>
      </c>
      <c r="B1046" s="13" t="s">
        <v>43</v>
      </c>
      <c r="D1046" s="3"/>
      <c r="E1046" s="3"/>
      <c r="F1046" s="3"/>
      <c r="G1046" s="3"/>
      <c r="H1046" s="3"/>
      <c r="I1046" s="3"/>
    </row>
    <row r="1047">
      <c r="A1047" s="4" t="s">
        <v>10559</v>
      </c>
      <c r="B1047" s="13" t="s">
        <v>43</v>
      </c>
      <c r="D1047" s="3"/>
      <c r="E1047" s="3"/>
      <c r="F1047" s="3"/>
      <c r="G1047" s="3"/>
      <c r="H1047" s="3"/>
      <c r="I1047" s="3"/>
    </row>
    <row r="1048">
      <c r="A1048" s="4" t="s">
        <v>10560</v>
      </c>
      <c r="B1048" s="13" t="s">
        <v>43</v>
      </c>
      <c r="D1048" s="3"/>
      <c r="E1048" s="3"/>
      <c r="F1048" s="3"/>
      <c r="G1048" s="3"/>
      <c r="H1048" s="3"/>
      <c r="I1048" s="3"/>
    </row>
    <row r="1049">
      <c r="A1049" s="4" t="s">
        <v>10561</v>
      </c>
      <c r="B1049" s="13" t="s">
        <v>43</v>
      </c>
      <c r="D1049" s="3"/>
      <c r="E1049" s="3"/>
      <c r="F1049" s="3"/>
      <c r="G1049" s="3"/>
      <c r="H1049" s="3"/>
      <c r="I1049" s="3"/>
    </row>
    <row r="1050">
      <c r="A1050" s="4" t="s">
        <v>10562</v>
      </c>
      <c r="B1050" s="13" t="s">
        <v>43</v>
      </c>
      <c r="D1050" s="3"/>
      <c r="E1050" s="3"/>
      <c r="F1050" s="3"/>
      <c r="G1050" s="3"/>
      <c r="H1050" s="3"/>
      <c r="I1050" s="3"/>
    </row>
    <row r="1051">
      <c r="A1051" s="4" t="s">
        <v>10563</v>
      </c>
      <c r="B1051" s="13" t="s">
        <v>43</v>
      </c>
      <c r="D1051" s="3"/>
      <c r="E1051" s="3"/>
      <c r="F1051" s="3"/>
      <c r="G1051" s="3"/>
      <c r="H1051" s="3"/>
      <c r="I1051" s="3"/>
    </row>
    <row r="1052">
      <c r="A1052" s="4" t="s">
        <v>10564</v>
      </c>
      <c r="B1052" s="13" t="s">
        <v>43</v>
      </c>
      <c r="D1052" s="3"/>
      <c r="E1052" s="3"/>
      <c r="F1052" s="3"/>
      <c r="G1052" s="3"/>
      <c r="H1052" s="3"/>
      <c r="I1052" s="3"/>
    </row>
    <row r="1053">
      <c r="A1053" s="4" t="s">
        <v>10565</v>
      </c>
      <c r="B1053" s="13" t="s">
        <v>43</v>
      </c>
      <c r="D1053" s="3"/>
      <c r="E1053" s="3"/>
      <c r="F1053" s="3"/>
      <c r="G1053" s="3"/>
      <c r="H1053" s="3"/>
      <c r="I1053" s="3"/>
    </row>
    <row r="1054">
      <c r="A1054" s="4" t="s">
        <v>10566</v>
      </c>
      <c r="B1054" s="13" t="s">
        <v>43</v>
      </c>
      <c r="D1054" s="3"/>
      <c r="E1054" s="3"/>
      <c r="F1054" s="3"/>
      <c r="G1054" s="3"/>
      <c r="H1054" s="3"/>
      <c r="I1054" s="3"/>
    </row>
    <row r="1055">
      <c r="A1055" s="4" t="s">
        <v>10567</v>
      </c>
      <c r="B1055" s="13" t="s">
        <v>43</v>
      </c>
      <c r="D1055" s="3"/>
      <c r="E1055" s="3"/>
      <c r="F1055" s="3"/>
      <c r="G1055" s="3"/>
      <c r="H1055" s="3"/>
      <c r="I1055" s="3"/>
    </row>
    <row r="1056">
      <c r="A1056" s="4" t="s">
        <v>10568</v>
      </c>
      <c r="B1056" s="13" t="s">
        <v>43</v>
      </c>
      <c r="D1056" s="3"/>
      <c r="E1056" s="3"/>
      <c r="F1056" s="3"/>
      <c r="G1056" s="3"/>
      <c r="H1056" s="3"/>
      <c r="I1056" s="3"/>
    </row>
    <row r="1057">
      <c r="A1057" s="4" t="s">
        <v>10569</v>
      </c>
      <c r="B1057" s="13" t="s">
        <v>43</v>
      </c>
      <c r="D1057" s="3"/>
      <c r="E1057" s="3"/>
      <c r="F1057" s="3"/>
      <c r="G1057" s="3"/>
      <c r="H1057" s="3"/>
      <c r="I1057" s="3"/>
    </row>
    <row r="1058">
      <c r="A1058" s="4" t="s">
        <v>10570</v>
      </c>
      <c r="B1058" s="13" t="s">
        <v>43</v>
      </c>
      <c r="D1058" s="3"/>
      <c r="E1058" s="3"/>
      <c r="F1058" s="3"/>
      <c r="G1058" s="3"/>
      <c r="H1058" s="3"/>
      <c r="I1058" s="3"/>
    </row>
    <row r="1059">
      <c r="A1059" s="4" t="s">
        <v>10571</v>
      </c>
      <c r="B1059" s="13" t="s">
        <v>43</v>
      </c>
      <c r="D1059" s="3"/>
      <c r="E1059" s="3"/>
      <c r="F1059" s="3"/>
      <c r="G1059" s="3"/>
      <c r="H1059" s="3"/>
      <c r="I1059" s="3"/>
    </row>
    <row r="1060">
      <c r="A1060" s="4" t="s">
        <v>10572</v>
      </c>
      <c r="B1060" s="13" t="s">
        <v>43</v>
      </c>
      <c r="D1060" s="3"/>
      <c r="E1060" s="3"/>
      <c r="F1060" s="3"/>
      <c r="G1060" s="3"/>
      <c r="H1060" s="3"/>
      <c r="I1060" s="3"/>
    </row>
    <row r="1061">
      <c r="A1061" s="4" t="s">
        <v>10573</v>
      </c>
      <c r="B1061" s="13" t="s">
        <v>43</v>
      </c>
      <c r="D1061" s="3"/>
      <c r="E1061" s="3"/>
      <c r="F1061" s="3"/>
      <c r="G1061" s="3"/>
      <c r="H1061" s="3"/>
      <c r="I1061" s="3"/>
    </row>
    <row r="1062">
      <c r="A1062" s="4" t="s">
        <v>10574</v>
      </c>
      <c r="B1062" s="13" t="s">
        <v>43</v>
      </c>
      <c r="D1062" s="3"/>
      <c r="E1062" s="3"/>
      <c r="F1062" s="3"/>
      <c r="G1062" s="3"/>
      <c r="H1062" s="3"/>
      <c r="I1062" s="3"/>
    </row>
    <row r="1063">
      <c r="A1063" s="4" t="s">
        <v>10575</v>
      </c>
      <c r="B1063" s="13" t="s">
        <v>43</v>
      </c>
      <c r="D1063" s="3"/>
      <c r="E1063" s="3"/>
      <c r="F1063" s="3"/>
      <c r="G1063" s="3"/>
      <c r="H1063" s="3"/>
      <c r="I1063" s="3"/>
    </row>
    <row r="1064">
      <c r="A1064" s="4" t="s">
        <v>10576</v>
      </c>
      <c r="B1064" s="13" t="s">
        <v>43</v>
      </c>
      <c r="D1064" s="3"/>
      <c r="E1064" s="3"/>
      <c r="F1064" s="3"/>
      <c r="G1064" s="3"/>
      <c r="H1064" s="3"/>
      <c r="I1064" s="3"/>
    </row>
    <row r="1065">
      <c r="A1065" s="4" t="s">
        <v>10577</v>
      </c>
      <c r="B1065" s="13" t="s">
        <v>43</v>
      </c>
      <c r="D1065" s="3"/>
      <c r="E1065" s="3"/>
      <c r="F1065" s="3"/>
      <c r="G1065" s="3"/>
      <c r="H1065" s="3"/>
      <c r="I1065" s="3"/>
    </row>
    <row r="1066">
      <c r="A1066" s="4" t="s">
        <v>10578</v>
      </c>
      <c r="B1066" s="13" t="s">
        <v>43</v>
      </c>
      <c r="D1066" s="3"/>
      <c r="E1066" s="3"/>
      <c r="F1066" s="3"/>
      <c r="G1066" s="3"/>
      <c r="H1066" s="3"/>
      <c r="I1066" s="3"/>
    </row>
    <row r="1067">
      <c r="A1067" s="4" t="s">
        <v>10579</v>
      </c>
      <c r="B1067" s="13" t="s">
        <v>43</v>
      </c>
      <c r="D1067" s="3"/>
      <c r="E1067" s="3"/>
      <c r="F1067" s="3"/>
      <c r="G1067" s="3"/>
      <c r="H1067" s="3"/>
      <c r="I1067" s="3"/>
    </row>
    <row r="1068">
      <c r="A1068" s="4" t="s">
        <v>10580</v>
      </c>
      <c r="B1068" s="13" t="s">
        <v>43</v>
      </c>
      <c r="D1068" s="3"/>
      <c r="E1068" s="3"/>
      <c r="F1068" s="3"/>
      <c r="G1068" s="3"/>
      <c r="H1068" s="3"/>
      <c r="I1068" s="3"/>
    </row>
    <row r="1069">
      <c r="A1069" s="4" t="s">
        <v>10581</v>
      </c>
      <c r="B1069" s="13" t="s">
        <v>43</v>
      </c>
      <c r="D1069" s="3"/>
      <c r="E1069" s="3"/>
      <c r="F1069" s="3"/>
      <c r="G1069" s="3"/>
      <c r="H1069" s="3"/>
      <c r="I1069" s="3"/>
    </row>
    <row r="1070">
      <c r="A1070" s="4" t="s">
        <v>10582</v>
      </c>
      <c r="B1070" s="13" t="s">
        <v>43</v>
      </c>
      <c r="D1070" s="3"/>
      <c r="E1070" s="3"/>
      <c r="F1070" s="3"/>
      <c r="G1070" s="3"/>
      <c r="H1070" s="3"/>
      <c r="I1070" s="3"/>
    </row>
    <row r="1071">
      <c r="A1071" s="4" t="s">
        <v>10583</v>
      </c>
      <c r="B1071" s="13" t="s">
        <v>43</v>
      </c>
      <c r="D1071" s="3"/>
      <c r="E1071" s="3"/>
      <c r="F1071" s="3"/>
      <c r="G1071" s="3"/>
      <c r="H1071" s="3"/>
      <c r="I1071" s="3"/>
    </row>
    <row r="1072">
      <c r="A1072" s="4" t="s">
        <v>10584</v>
      </c>
      <c r="B1072" s="13" t="s">
        <v>43</v>
      </c>
      <c r="D1072" s="3"/>
      <c r="E1072" s="3"/>
      <c r="F1072" s="3"/>
      <c r="G1072" s="3"/>
      <c r="H1072" s="3"/>
      <c r="I1072" s="3"/>
    </row>
    <row r="1073">
      <c r="A1073" s="4" t="s">
        <v>10585</v>
      </c>
      <c r="B1073" s="13" t="s">
        <v>43</v>
      </c>
      <c r="D1073" s="3"/>
      <c r="E1073" s="3"/>
      <c r="F1073" s="3"/>
      <c r="G1073" s="3"/>
      <c r="H1073" s="3"/>
      <c r="I1073" s="3"/>
    </row>
    <row r="1074">
      <c r="A1074" s="4" t="s">
        <v>10586</v>
      </c>
      <c r="B1074" s="13" t="s">
        <v>43</v>
      </c>
      <c r="D1074" s="3"/>
      <c r="E1074" s="3"/>
      <c r="F1074" s="3"/>
      <c r="G1074" s="3"/>
      <c r="H1074" s="3"/>
      <c r="I1074" s="3"/>
    </row>
    <row r="1075">
      <c r="A1075" s="4" t="s">
        <v>10587</v>
      </c>
      <c r="B1075" s="13" t="s">
        <v>43</v>
      </c>
      <c r="D1075" s="3"/>
      <c r="E1075" s="3"/>
      <c r="F1075" s="3"/>
      <c r="G1075" s="3"/>
      <c r="H1075" s="3"/>
      <c r="I1075" s="3"/>
    </row>
    <row r="1076">
      <c r="A1076" s="4" t="s">
        <v>10588</v>
      </c>
      <c r="B1076" s="13" t="s">
        <v>43</v>
      </c>
      <c r="D1076" s="3"/>
      <c r="E1076" s="3"/>
      <c r="F1076" s="3"/>
      <c r="G1076" s="3"/>
      <c r="H1076" s="3"/>
      <c r="I1076" s="3"/>
    </row>
    <row r="1077">
      <c r="A1077" s="4" t="s">
        <v>10589</v>
      </c>
      <c r="B1077" s="13" t="s">
        <v>43</v>
      </c>
      <c r="D1077" s="3"/>
      <c r="E1077" s="3"/>
      <c r="F1077" s="3"/>
      <c r="G1077" s="3"/>
      <c r="H1077" s="3"/>
      <c r="I1077" s="3"/>
    </row>
    <row r="1078">
      <c r="A1078" s="4" t="s">
        <v>10590</v>
      </c>
      <c r="B1078" s="13" t="s">
        <v>43</v>
      </c>
      <c r="D1078" s="3"/>
      <c r="E1078" s="3"/>
      <c r="F1078" s="3"/>
      <c r="G1078" s="3"/>
      <c r="H1078" s="3"/>
      <c r="I1078" s="3"/>
    </row>
    <row r="1079">
      <c r="A1079" s="4" t="s">
        <v>10591</v>
      </c>
      <c r="B1079" s="13" t="s">
        <v>43</v>
      </c>
      <c r="D1079" s="3"/>
      <c r="E1079" s="3"/>
      <c r="F1079" s="3"/>
      <c r="G1079" s="3"/>
      <c r="H1079" s="3"/>
      <c r="I1079" s="3"/>
    </row>
    <row r="1080">
      <c r="A1080" s="4" t="s">
        <v>10592</v>
      </c>
      <c r="B1080" s="13" t="s">
        <v>43</v>
      </c>
      <c r="D1080" s="3"/>
      <c r="E1080" s="3"/>
      <c r="F1080" s="3"/>
      <c r="G1080" s="3"/>
      <c r="H1080" s="3"/>
      <c r="I1080" s="3"/>
    </row>
    <row r="1081">
      <c r="A1081" s="4" t="s">
        <v>10593</v>
      </c>
      <c r="B1081" s="13" t="s">
        <v>43</v>
      </c>
      <c r="D1081" s="3"/>
      <c r="E1081" s="3"/>
      <c r="F1081" s="3"/>
      <c r="G1081" s="3"/>
      <c r="H1081" s="3"/>
      <c r="I1081" s="3"/>
    </row>
    <row r="1082">
      <c r="A1082" s="4" t="s">
        <v>10594</v>
      </c>
      <c r="B1082" s="13" t="s">
        <v>43</v>
      </c>
      <c r="D1082" s="3"/>
      <c r="E1082" s="3"/>
      <c r="F1082" s="3"/>
      <c r="G1082" s="3"/>
      <c r="H1082" s="3"/>
      <c r="I1082" s="3"/>
    </row>
    <row r="1083">
      <c r="A1083" s="4" t="s">
        <v>10595</v>
      </c>
      <c r="B1083" s="13" t="s">
        <v>43</v>
      </c>
      <c r="D1083" s="3"/>
      <c r="E1083" s="3"/>
      <c r="F1083" s="3"/>
      <c r="G1083" s="3"/>
      <c r="H1083" s="3"/>
      <c r="I1083" s="3"/>
    </row>
    <row r="1084">
      <c r="A1084" s="4" t="s">
        <v>10596</v>
      </c>
      <c r="B1084" s="13" t="s">
        <v>43</v>
      </c>
      <c r="D1084" s="3"/>
      <c r="E1084" s="3"/>
      <c r="F1084" s="3"/>
      <c r="G1084" s="3"/>
      <c r="H1084" s="3"/>
      <c r="I1084" s="3"/>
    </row>
    <row r="1085">
      <c r="A1085" s="4" t="s">
        <v>10597</v>
      </c>
      <c r="B1085" s="13" t="s">
        <v>43</v>
      </c>
      <c r="D1085" s="3"/>
      <c r="E1085" s="3"/>
      <c r="F1085" s="3"/>
      <c r="G1085" s="3"/>
      <c r="H1085" s="3"/>
      <c r="I1085" s="3"/>
    </row>
    <row r="1086">
      <c r="A1086" s="4" t="s">
        <v>10598</v>
      </c>
      <c r="B1086" s="13" t="s">
        <v>43</v>
      </c>
      <c r="D1086" s="3"/>
      <c r="E1086" s="3"/>
      <c r="F1086" s="3"/>
      <c r="G1086" s="3"/>
      <c r="H1086" s="3"/>
      <c r="I1086" s="3"/>
    </row>
    <row r="1087">
      <c r="A1087" s="4" t="s">
        <v>10599</v>
      </c>
      <c r="B1087" s="13" t="s">
        <v>43</v>
      </c>
      <c r="D1087" s="3"/>
      <c r="E1087" s="3"/>
      <c r="F1087" s="3"/>
      <c r="G1087" s="3"/>
      <c r="H1087" s="3"/>
      <c r="I1087" s="3"/>
    </row>
    <row r="1088">
      <c r="A1088" s="4" t="s">
        <v>10600</v>
      </c>
      <c r="B1088" s="13" t="s">
        <v>43</v>
      </c>
      <c r="D1088" s="3"/>
      <c r="E1088" s="3"/>
      <c r="F1088" s="3"/>
      <c r="G1088" s="3"/>
      <c r="H1088" s="3"/>
      <c r="I1088" s="3"/>
    </row>
    <row r="1089">
      <c r="A1089" s="4" t="s">
        <v>10601</v>
      </c>
      <c r="B1089" s="13" t="s">
        <v>43</v>
      </c>
      <c r="D1089" s="3"/>
      <c r="E1089" s="3"/>
      <c r="F1089" s="3"/>
      <c r="G1089" s="3"/>
      <c r="H1089" s="3"/>
      <c r="I1089" s="3"/>
    </row>
    <row r="1090">
      <c r="A1090" s="4" t="s">
        <v>10602</v>
      </c>
      <c r="B1090" s="13" t="s">
        <v>43</v>
      </c>
      <c r="D1090" s="3"/>
      <c r="E1090" s="3"/>
      <c r="F1090" s="3"/>
      <c r="G1090" s="3"/>
      <c r="H1090" s="3"/>
      <c r="I1090" s="3"/>
    </row>
    <row r="1091">
      <c r="A1091" s="4" t="s">
        <v>10603</v>
      </c>
      <c r="B1091" s="13" t="s">
        <v>43</v>
      </c>
      <c r="D1091" s="3"/>
      <c r="E1091" s="3"/>
      <c r="F1091" s="3"/>
      <c r="G1091" s="3"/>
      <c r="H1091" s="3"/>
      <c r="I1091" s="3"/>
    </row>
    <row r="1092">
      <c r="A1092" s="4" t="s">
        <v>10604</v>
      </c>
      <c r="B1092" s="13" t="s">
        <v>43</v>
      </c>
      <c r="D1092" s="3"/>
      <c r="E1092" s="3"/>
      <c r="F1092" s="3"/>
      <c r="G1092" s="3"/>
      <c r="H1092" s="3"/>
      <c r="I1092" s="3"/>
    </row>
    <row r="1093">
      <c r="A1093" s="4" t="s">
        <v>10605</v>
      </c>
      <c r="B1093" s="13" t="s">
        <v>43</v>
      </c>
      <c r="D1093" s="3"/>
      <c r="E1093" s="3"/>
      <c r="F1093" s="3"/>
      <c r="G1093" s="3"/>
      <c r="H1093" s="3"/>
      <c r="I1093" s="3"/>
    </row>
    <row r="1094">
      <c r="A1094" s="4" t="s">
        <v>10606</v>
      </c>
      <c r="B1094" s="13" t="s">
        <v>43</v>
      </c>
      <c r="D1094" s="3"/>
      <c r="E1094" s="3"/>
      <c r="F1094" s="3"/>
      <c r="G1094" s="3"/>
      <c r="H1094" s="3"/>
      <c r="I1094" s="3"/>
    </row>
    <row r="1095">
      <c r="A1095" s="4" t="s">
        <v>10607</v>
      </c>
      <c r="B1095" s="13" t="s">
        <v>43</v>
      </c>
      <c r="D1095" s="3"/>
      <c r="E1095" s="3"/>
      <c r="F1095" s="3"/>
      <c r="G1095" s="3"/>
      <c r="H1095" s="3"/>
      <c r="I1095" s="3"/>
    </row>
    <row r="1096">
      <c r="A1096" s="4" t="s">
        <v>10608</v>
      </c>
      <c r="B1096" s="13" t="s">
        <v>43</v>
      </c>
      <c r="D1096" s="3"/>
      <c r="E1096" s="3"/>
      <c r="F1096" s="3"/>
      <c r="G1096" s="3"/>
      <c r="H1096" s="3"/>
      <c r="I1096" s="3"/>
    </row>
    <row r="1097">
      <c r="A1097" s="4" t="s">
        <v>10609</v>
      </c>
      <c r="B1097" s="13" t="s">
        <v>43</v>
      </c>
      <c r="D1097" s="3"/>
      <c r="E1097" s="3"/>
      <c r="F1097" s="3"/>
      <c r="G1097" s="3"/>
      <c r="H1097" s="3"/>
      <c r="I1097" s="3"/>
    </row>
    <row r="1098">
      <c r="A1098" s="4" t="s">
        <v>10610</v>
      </c>
      <c r="B1098" s="13" t="s">
        <v>43</v>
      </c>
      <c r="D1098" s="3"/>
      <c r="E1098" s="3"/>
      <c r="F1098" s="3"/>
      <c r="G1098" s="3"/>
      <c r="H1098" s="3"/>
      <c r="I1098" s="3"/>
    </row>
    <row r="1099">
      <c r="A1099" s="4" t="s">
        <v>10611</v>
      </c>
      <c r="B1099" s="13" t="s">
        <v>43</v>
      </c>
      <c r="D1099" s="3"/>
      <c r="E1099" s="3"/>
      <c r="F1099" s="3"/>
      <c r="G1099" s="3"/>
      <c r="H1099" s="3"/>
      <c r="I1099" s="3"/>
    </row>
    <row r="1100">
      <c r="A1100" s="4" t="s">
        <v>10612</v>
      </c>
      <c r="B1100" s="13" t="s">
        <v>43</v>
      </c>
      <c r="D1100" s="3"/>
      <c r="E1100" s="3"/>
      <c r="F1100" s="3"/>
      <c r="G1100" s="3"/>
      <c r="H1100" s="3"/>
      <c r="I1100" s="3"/>
    </row>
    <row r="1101">
      <c r="A1101" s="4" t="s">
        <v>10613</v>
      </c>
      <c r="B1101" s="13" t="s">
        <v>43</v>
      </c>
      <c r="D1101" s="3"/>
      <c r="E1101" s="3"/>
      <c r="F1101" s="3"/>
      <c r="G1101" s="3"/>
      <c r="H1101" s="3"/>
      <c r="I1101" s="3"/>
    </row>
    <row r="1102">
      <c r="A1102" s="4" t="s">
        <v>10614</v>
      </c>
      <c r="B1102" s="13" t="s">
        <v>43</v>
      </c>
      <c r="D1102" s="3"/>
      <c r="E1102" s="3"/>
      <c r="F1102" s="3"/>
      <c r="G1102" s="3"/>
      <c r="H1102" s="3"/>
      <c r="I1102" s="3"/>
    </row>
    <row r="1103">
      <c r="A1103" s="4" t="s">
        <v>10615</v>
      </c>
      <c r="B1103" s="13" t="s">
        <v>43</v>
      </c>
      <c r="D1103" s="3"/>
      <c r="E1103" s="3"/>
      <c r="F1103" s="3"/>
      <c r="G1103" s="3"/>
      <c r="H1103" s="3"/>
      <c r="I1103" s="3"/>
    </row>
    <row r="1104">
      <c r="A1104" s="4" t="s">
        <v>10616</v>
      </c>
      <c r="B1104" s="13" t="s">
        <v>43</v>
      </c>
      <c r="D1104" s="3"/>
      <c r="E1104" s="3"/>
      <c r="F1104" s="3"/>
      <c r="G1104" s="3"/>
      <c r="H1104" s="3"/>
      <c r="I1104" s="3"/>
    </row>
    <row r="1105">
      <c r="A1105" s="4" t="s">
        <v>10617</v>
      </c>
      <c r="B1105" s="13" t="s">
        <v>43</v>
      </c>
      <c r="D1105" s="3"/>
      <c r="E1105" s="3"/>
      <c r="F1105" s="3"/>
      <c r="G1105" s="3"/>
      <c r="H1105" s="3"/>
      <c r="I1105" s="3"/>
    </row>
    <row r="1106">
      <c r="A1106" s="4" t="s">
        <v>10618</v>
      </c>
      <c r="B1106" s="13" t="s">
        <v>43</v>
      </c>
      <c r="D1106" s="3"/>
      <c r="E1106" s="3"/>
      <c r="F1106" s="3"/>
      <c r="G1106" s="3"/>
      <c r="H1106" s="3"/>
      <c r="I1106" s="3"/>
    </row>
    <row r="1107">
      <c r="A1107" s="4" t="s">
        <v>10619</v>
      </c>
      <c r="B1107" s="13" t="s">
        <v>43</v>
      </c>
      <c r="D1107" s="3"/>
      <c r="E1107" s="3"/>
      <c r="F1107" s="3"/>
      <c r="G1107" s="3"/>
      <c r="H1107" s="3"/>
      <c r="I1107" s="3"/>
    </row>
    <row r="1108">
      <c r="A1108" s="4" t="s">
        <v>10620</v>
      </c>
      <c r="B1108" s="13" t="s">
        <v>43</v>
      </c>
      <c r="D1108" s="3"/>
      <c r="E1108" s="3"/>
      <c r="F1108" s="3"/>
      <c r="G1108" s="3"/>
      <c r="H1108" s="3"/>
      <c r="I1108" s="3"/>
    </row>
    <row r="1109">
      <c r="A1109" s="4" t="s">
        <v>10621</v>
      </c>
      <c r="B1109" s="13" t="s">
        <v>43</v>
      </c>
      <c r="D1109" s="3"/>
      <c r="E1109" s="3"/>
      <c r="F1109" s="3"/>
      <c r="G1109" s="3"/>
      <c r="H1109" s="3"/>
      <c r="I1109" s="3"/>
    </row>
    <row r="1110">
      <c r="A1110" s="4" t="s">
        <v>10622</v>
      </c>
      <c r="B1110" s="13" t="s">
        <v>43</v>
      </c>
      <c r="D1110" s="3"/>
      <c r="E1110" s="3"/>
      <c r="F1110" s="3"/>
      <c r="G1110" s="3"/>
      <c r="H1110" s="3"/>
      <c r="I1110" s="3"/>
    </row>
    <row r="1111">
      <c r="A1111" s="4" t="s">
        <v>10623</v>
      </c>
      <c r="B1111" s="13" t="s">
        <v>43</v>
      </c>
      <c r="D1111" s="3"/>
      <c r="E1111" s="3"/>
      <c r="F1111" s="3"/>
      <c r="G1111" s="3"/>
      <c r="H1111" s="3"/>
      <c r="I1111" s="3"/>
    </row>
    <row r="1112">
      <c r="A1112" s="4" t="s">
        <v>10624</v>
      </c>
      <c r="B1112" s="13" t="s">
        <v>43</v>
      </c>
      <c r="D1112" s="3"/>
      <c r="E1112" s="3"/>
      <c r="F1112" s="3"/>
      <c r="G1112" s="3"/>
      <c r="H1112" s="3"/>
      <c r="I1112" s="3"/>
    </row>
    <row r="1113">
      <c r="A1113" s="4" t="s">
        <v>10625</v>
      </c>
      <c r="B1113" s="13" t="s">
        <v>43</v>
      </c>
      <c r="D1113" s="3"/>
      <c r="E1113" s="3"/>
      <c r="F1113" s="3"/>
      <c r="G1113" s="3"/>
      <c r="H1113" s="3"/>
      <c r="I1113" s="3"/>
    </row>
    <row r="1114">
      <c r="A1114" s="4" t="s">
        <v>10626</v>
      </c>
      <c r="B1114" s="13" t="s">
        <v>43</v>
      </c>
      <c r="D1114" s="3"/>
      <c r="E1114" s="3"/>
      <c r="F1114" s="3"/>
      <c r="G1114" s="3"/>
      <c r="H1114" s="3"/>
      <c r="I1114" s="3"/>
    </row>
    <row r="1115">
      <c r="A1115" s="4" t="s">
        <v>10627</v>
      </c>
      <c r="B1115" s="13" t="s">
        <v>43</v>
      </c>
      <c r="D1115" s="3"/>
      <c r="E1115" s="3"/>
      <c r="F1115" s="3"/>
      <c r="G1115" s="3"/>
      <c r="H1115" s="3"/>
      <c r="I1115" s="3"/>
    </row>
    <row r="1116">
      <c r="A1116" s="4" t="s">
        <v>10628</v>
      </c>
      <c r="B1116" s="13" t="s">
        <v>43</v>
      </c>
      <c r="D1116" s="3"/>
      <c r="E1116" s="3"/>
      <c r="F1116" s="3"/>
      <c r="G1116" s="3"/>
      <c r="H1116" s="3"/>
      <c r="I1116" s="3"/>
    </row>
    <row r="1117">
      <c r="A1117" s="4" t="s">
        <v>10629</v>
      </c>
      <c r="B1117" s="13" t="s">
        <v>43</v>
      </c>
      <c r="D1117" s="3"/>
      <c r="E1117" s="3"/>
      <c r="F1117" s="3"/>
      <c r="G1117" s="3"/>
      <c r="H1117" s="3"/>
      <c r="I1117" s="3"/>
    </row>
    <row r="1118">
      <c r="A1118" s="4" t="s">
        <v>10630</v>
      </c>
      <c r="B1118" s="13" t="s">
        <v>43</v>
      </c>
      <c r="D1118" s="3"/>
      <c r="E1118" s="3"/>
      <c r="F1118" s="3"/>
      <c r="G1118" s="3"/>
      <c r="H1118" s="3"/>
      <c r="I1118" s="3"/>
    </row>
    <row r="1119">
      <c r="A1119" s="4" t="s">
        <v>10631</v>
      </c>
      <c r="B1119" s="13" t="s">
        <v>43</v>
      </c>
      <c r="D1119" s="3"/>
      <c r="E1119" s="3"/>
      <c r="F1119" s="3"/>
      <c r="G1119" s="3"/>
      <c r="H1119" s="3"/>
      <c r="I1119" s="3"/>
    </row>
    <row r="1120">
      <c r="A1120" s="4" t="s">
        <v>10632</v>
      </c>
      <c r="B1120" s="13" t="s">
        <v>43</v>
      </c>
      <c r="D1120" s="3"/>
      <c r="E1120" s="3"/>
      <c r="F1120" s="3"/>
      <c r="G1120" s="3"/>
      <c r="H1120" s="3"/>
      <c r="I1120" s="3"/>
    </row>
    <row r="1121">
      <c r="A1121" s="4" t="s">
        <v>10633</v>
      </c>
      <c r="B1121" s="13" t="s">
        <v>43</v>
      </c>
      <c r="D1121" s="3"/>
      <c r="E1121" s="3"/>
      <c r="F1121" s="3"/>
      <c r="G1121" s="3"/>
      <c r="H1121" s="3"/>
      <c r="I1121" s="3"/>
    </row>
    <row r="1122">
      <c r="A1122" s="4" t="s">
        <v>10634</v>
      </c>
      <c r="B1122" s="13" t="s">
        <v>43</v>
      </c>
      <c r="D1122" s="3"/>
      <c r="E1122" s="3"/>
      <c r="F1122" s="3"/>
      <c r="G1122" s="3"/>
      <c r="H1122" s="3"/>
      <c r="I1122" s="3"/>
    </row>
    <row r="1123">
      <c r="A1123" s="4" t="s">
        <v>10635</v>
      </c>
      <c r="B1123" s="13" t="s">
        <v>43</v>
      </c>
      <c r="D1123" s="3"/>
      <c r="E1123" s="3"/>
      <c r="F1123" s="3"/>
      <c r="G1123" s="3"/>
      <c r="H1123" s="3"/>
      <c r="I1123" s="3"/>
    </row>
    <row r="1124">
      <c r="A1124" s="4" t="s">
        <v>10636</v>
      </c>
      <c r="B1124" s="13" t="s">
        <v>43</v>
      </c>
      <c r="D1124" s="3"/>
      <c r="E1124" s="3"/>
      <c r="F1124" s="3"/>
      <c r="G1124" s="3"/>
      <c r="H1124" s="3"/>
      <c r="I1124" s="3"/>
    </row>
    <row r="1125">
      <c r="A1125" s="4" t="s">
        <v>10637</v>
      </c>
      <c r="B1125" s="13" t="s">
        <v>43</v>
      </c>
      <c r="D1125" s="3"/>
      <c r="E1125" s="3"/>
      <c r="F1125" s="3"/>
      <c r="G1125" s="3"/>
      <c r="H1125" s="3"/>
      <c r="I1125" s="3"/>
    </row>
    <row r="1126">
      <c r="A1126" s="4" t="s">
        <v>10638</v>
      </c>
      <c r="B1126" s="13" t="s">
        <v>43</v>
      </c>
      <c r="D1126" s="3"/>
      <c r="E1126" s="3"/>
      <c r="F1126" s="3"/>
      <c r="G1126" s="3"/>
      <c r="H1126" s="3"/>
      <c r="I1126" s="3"/>
    </row>
    <row r="1127">
      <c r="A1127" s="4" t="s">
        <v>10639</v>
      </c>
      <c r="B1127" s="13" t="s">
        <v>43</v>
      </c>
      <c r="D1127" s="3"/>
      <c r="E1127" s="3"/>
      <c r="F1127" s="3"/>
      <c r="G1127" s="3"/>
      <c r="H1127" s="3"/>
      <c r="I1127" s="3"/>
    </row>
    <row r="1128">
      <c r="A1128" s="4" t="s">
        <v>10640</v>
      </c>
      <c r="B1128" s="13" t="s">
        <v>43</v>
      </c>
      <c r="D1128" s="3"/>
      <c r="E1128" s="3"/>
      <c r="F1128" s="3"/>
      <c r="G1128" s="3"/>
      <c r="H1128" s="3"/>
      <c r="I1128" s="3"/>
    </row>
    <row r="1129">
      <c r="A1129" s="4" t="s">
        <v>10641</v>
      </c>
      <c r="B1129" s="13" t="s">
        <v>43</v>
      </c>
      <c r="D1129" s="3"/>
      <c r="E1129" s="3"/>
      <c r="F1129" s="3"/>
      <c r="G1129" s="3"/>
      <c r="H1129" s="3"/>
      <c r="I1129" s="3"/>
    </row>
    <row r="1130">
      <c r="A1130" s="4" t="s">
        <v>10642</v>
      </c>
      <c r="B1130" s="13" t="s">
        <v>43</v>
      </c>
      <c r="D1130" s="3"/>
      <c r="E1130" s="3"/>
      <c r="F1130" s="3"/>
      <c r="G1130" s="3"/>
      <c r="H1130" s="3"/>
      <c r="I1130" s="3"/>
    </row>
    <row r="1131">
      <c r="A1131" s="4" t="s">
        <v>10643</v>
      </c>
      <c r="B1131" s="13" t="s">
        <v>43</v>
      </c>
      <c r="D1131" s="3"/>
      <c r="E1131" s="3"/>
      <c r="F1131" s="3"/>
      <c r="G1131" s="3"/>
      <c r="H1131" s="3"/>
      <c r="I1131" s="3"/>
    </row>
    <row r="1132">
      <c r="A1132" s="4" t="s">
        <v>10644</v>
      </c>
      <c r="B1132" s="13" t="s">
        <v>43</v>
      </c>
      <c r="D1132" s="3"/>
      <c r="E1132" s="3"/>
      <c r="F1132" s="3"/>
      <c r="G1132" s="3"/>
      <c r="H1132" s="3"/>
      <c r="I1132" s="3"/>
    </row>
    <row r="1133">
      <c r="A1133" s="4" t="s">
        <v>10645</v>
      </c>
      <c r="B1133" s="13" t="s">
        <v>43</v>
      </c>
      <c r="D1133" s="3"/>
      <c r="E1133" s="3"/>
      <c r="F1133" s="3"/>
      <c r="G1133" s="3"/>
      <c r="H1133" s="3"/>
      <c r="I1133" s="3"/>
    </row>
    <row r="1134">
      <c r="A1134" s="4" t="s">
        <v>10646</v>
      </c>
      <c r="B1134" s="13" t="s">
        <v>43</v>
      </c>
      <c r="D1134" s="3"/>
      <c r="E1134" s="3"/>
      <c r="F1134" s="3"/>
      <c r="G1134" s="3"/>
      <c r="H1134" s="3"/>
      <c r="I1134" s="3"/>
    </row>
    <row r="1135">
      <c r="A1135" s="4" t="s">
        <v>10647</v>
      </c>
      <c r="B1135" s="13" t="s">
        <v>43</v>
      </c>
      <c r="D1135" s="3"/>
      <c r="E1135" s="3"/>
      <c r="F1135" s="3"/>
      <c r="G1135" s="3"/>
      <c r="H1135" s="3"/>
      <c r="I1135" s="3"/>
    </row>
    <row r="1136">
      <c r="A1136" s="4" t="s">
        <v>10648</v>
      </c>
      <c r="B1136" s="13" t="s">
        <v>43</v>
      </c>
      <c r="D1136" s="3"/>
      <c r="E1136" s="3"/>
      <c r="F1136" s="3"/>
      <c r="G1136" s="3"/>
      <c r="H1136" s="3"/>
      <c r="I1136" s="3"/>
    </row>
    <row r="1137">
      <c r="A1137" s="4" t="s">
        <v>10649</v>
      </c>
      <c r="B1137" s="13" t="s">
        <v>43</v>
      </c>
      <c r="D1137" s="3"/>
      <c r="E1137" s="3"/>
      <c r="F1137" s="3"/>
      <c r="G1137" s="3"/>
      <c r="H1137" s="3"/>
      <c r="I1137" s="3"/>
    </row>
    <row r="1138">
      <c r="A1138" s="4" t="s">
        <v>10650</v>
      </c>
      <c r="B1138" s="13" t="s">
        <v>43</v>
      </c>
      <c r="D1138" s="3"/>
      <c r="E1138" s="3"/>
      <c r="F1138" s="3"/>
      <c r="G1138" s="3"/>
      <c r="H1138" s="3"/>
      <c r="I1138" s="3"/>
    </row>
    <row r="1139">
      <c r="A1139" s="4" t="s">
        <v>10651</v>
      </c>
      <c r="B1139" s="13" t="s">
        <v>43</v>
      </c>
      <c r="D1139" s="3"/>
      <c r="E1139" s="3"/>
      <c r="F1139" s="3"/>
      <c r="G1139" s="3"/>
      <c r="H1139" s="3"/>
      <c r="I1139" s="3"/>
    </row>
    <row r="1140">
      <c r="A1140" s="4" t="s">
        <v>10652</v>
      </c>
      <c r="B1140" s="13" t="s">
        <v>43</v>
      </c>
      <c r="D1140" s="3"/>
      <c r="E1140" s="3"/>
      <c r="F1140" s="3"/>
      <c r="G1140" s="3"/>
      <c r="H1140" s="3"/>
      <c r="I1140" s="3"/>
    </row>
    <row r="1141">
      <c r="A1141" s="4" t="s">
        <v>10653</v>
      </c>
      <c r="B1141" s="13" t="s">
        <v>43</v>
      </c>
      <c r="D1141" s="3"/>
      <c r="E1141" s="3"/>
      <c r="F1141" s="3"/>
      <c r="G1141" s="3"/>
      <c r="H1141" s="3"/>
      <c r="I1141" s="3"/>
    </row>
    <row r="1142">
      <c r="A1142" s="4" t="s">
        <v>10654</v>
      </c>
      <c r="B1142" s="13" t="s">
        <v>43</v>
      </c>
      <c r="D1142" s="3"/>
      <c r="E1142" s="3"/>
      <c r="F1142" s="3"/>
      <c r="G1142" s="3"/>
      <c r="H1142" s="3"/>
      <c r="I1142" s="3"/>
    </row>
    <row r="1143">
      <c r="A1143" s="4" t="s">
        <v>10655</v>
      </c>
      <c r="B1143" s="13" t="s">
        <v>43</v>
      </c>
      <c r="D1143" s="3"/>
      <c r="E1143" s="3"/>
      <c r="F1143" s="3"/>
      <c r="G1143" s="3"/>
      <c r="H1143" s="3"/>
      <c r="I1143" s="3"/>
    </row>
    <row r="1144">
      <c r="A1144" s="4" t="s">
        <v>10656</v>
      </c>
      <c r="B1144" s="13" t="s">
        <v>43</v>
      </c>
      <c r="D1144" s="3"/>
      <c r="E1144" s="3"/>
      <c r="F1144" s="3"/>
      <c r="G1144" s="3"/>
      <c r="H1144" s="3"/>
      <c r="I1144" s="3"/>
    </row>
    <row r="1145">
      <c r="A1145" s="4" t="s">
        <v>10657</v>
      </c>
      <c r="B1145" s="13" t="s">
        <v>43</v>
      </c>
      <c r="D1145" s="3"/>
      <c r="E1145" s="3"/>
      <c r="F1145" s="3"/>
      <c r="G1145" s="3"/>
      <c r="H1145" s="3"/>
      <c r="I1145" s="3"/>
    </row>
    <row r="1146">
      <c r="A1146" s="4" t="s">
        <v>10658</v>
      </c>
      <c r="B1146" s="13" t="s">
        <v>43</v>
      </c>
      <c r="D1146" s="3"/>
      <c r="E1146" s="3"/>
      <c r="F1146" s="3"/>
      <c r="G1146" s="3"/>
      <c r="H1146" s="3"/>
      <c r="I1146" s="3"/>
    </row>
    <row r="1147">
      <c r="A1147" s="4" t="s">
        <v>10659</v>
      </c>
      <c r="B1147" s="13" t="s">
        <v>43</v>
      </c>
      <c r="D1147" s="3"/>
      <c r="E1147" s="3"/>
      <c r="F1147" s="3"/>
      <c r="G1147" s="3"/>
      <c r="H1147" s="3"/>
      <c r="I1147" s="3"/>
    </row>
    <row r="1148">
      <c r="A1148" s="4" t="s">
        <v>10660</v>
      </c>
      <c r="B1148" s="13" t="s">
        <v>43</v>
      </c>
      <c r="D1148" s="3"/>
      <c r="E1148" s="3"/>
      <c r="F1148" s="3"/>
      <c r="G1148" s="3"/>
      <c r="H1148" s="3"/>
      <c r="I1148" s="3"/>
    </row>
    <row r="1149">
      <c r="A1149" s="4" t="s">
        <v>10661</v>
      </c>
      <c r="B1149" s="13" t="s">
        <v>43</v>
      </c>
      <c r="D1149" s="3"/>
      <c r="E1149" s="3"/>
      <c r="F1149" s="3"/>
      <c r="G1149" s="3"/>
      <c r="H1149" s="3"/>
      <c r="I1149" s="3"/>
    </row>
    <row r="1150">
      <c r="A1150" s="4" t="s">
        <v>10662</v>
      </c>
      <c r="B1150" s="13" t="s">
        <v>43</v>
      </c>
      <c r="D1150" s="3"/>
      <c r="E1150" s="3"/>
      <c r="F1150" s="3"/>
      <c r="G1150" s="3"/>
      <c r="H1150" s="3"/>
      <c r="I1150" s="3"/>
    </row>
    <row r="1151">
      <c r="A1151" s="4" t="s">
        <v>10663</v>
      </c>
      <c r="B1151" s="13" t="s">
        <v>43</v>
      </c>
      <c r="D1151" s="3"/>
      <c r="E1151" s="3"/>
      <c r="F1151" s="3"/>
      <c r="G1151" s="3"/>
      <c r="H1151" s="3"/>
      <c r="I1151" s="3"/>
    </row>
    <row r="1152">
      <c r="A1152" s="4" t="s">
        <v>10664</v>
      </c>
      <c r="B1152" s="13" t="s">
        <v>43</v>
      </c>
      <c r="D1152" s="3"/>
      <c r="E1152" s="3"/>
      <c r="F1152" s="3"/>
      <c r="G1152" s="3"/>
      <c r="H1152" s="3"/>
      <c r="I1152" s="3"/>
    </row>
    <row r="1153">
      <c r="A1153" s="4" t="s">
        <v>10665</v>
      </c>
      <c r="B1153" s="13" t="s">
        <v>43</v>
      </c>
      <c r="D1153" s="3"/>
      <c r="E1153" s="3"/>
      <c r="F1153" s="3"/>
      <c r="G1153" s="3"/>
      <c r="H1153" s="3"/>
      <c r="I1153" s="3"/>
    </row>
    <row r="1154">
      <c r="A1154" s="4" t="s">
        <v>10666</v>
      </c>
      <c r="B1154" s="13" t="s">
        <v>43</v>
      </c>
      <c r="D1154" s="3"/>
      <c r="E1154" s="3"/>
      <c r="F1154" s="3"/>
      <c r="G1154" s="3"/>
      <c r="H1154" s="3"/>
      <c r="I1154" s="3"/>
    </row>
    <row r="1155">
      <c r="A1155" s="4" t="s">
        <v>10667</v>
      </c>
      <c r="B1155" s="13" t="s">
        <v>43</v>
      </c>
      <c r="D1155" s="3"/>
      <c r="E1155" s="3"/>
      <c r="F1155" s="3"/>
      <c r="G1155" s="3"/>
      <c r="H1155" s="3"/>
      <c r="I1155" s="3"/>
    </row>
    <row r="1156">
      <c r="A1156" s="4" t="s">
        <v>10668</v>
      </c>
      <c r="B1156" s="13" t="s">
        <v>43</v>
      </c>
      <c r="D1156" s="3"/>
      <c r="E1156" s="3"/>
      <c r="F1156" s="3"/>
      <c r="G1156" s="3"/>
      <c r="H1156" s="3"/>
      <c r="I1156" s="3"/>
    </row>
    <row r="1157">
      <c r="A1157" s="4" t="s">
        <v>10669</v>
      </c>
      <c r="B1157" s="13" t="s">
        <v>43</v>
      </c>
      <c r="D1157" s="3"/>
      <c r="E1157" s="3"/>
      <c r="F1157" s="3"/>
      <c r="G1157" s="3"/>
      <c r="H1157" s="3"/>
      <c r="I1157" s="3"/>
    </row>
    <row r="1158">
      <c r="A1158" s="4" t="s">
        <v>10670</v>
      </c>
      <c r="B1158" s="13" t="s">
        <v>43</v>
      </c>
      <c r="D1158" s="3"/>
      <c r="E1158" s="3"/>
      <c r="F1158" s="3"/>
      <c r="G1158" s="3"/>
      <c r="H1158" s="3"/>
      <c r="I1158" s="3"/>
    </row>
    <row r="1159">
      <c r="A1159" s="4" t="s">
        <v>10671</v>
      </c>
      <c r="B1159" s="13" t="s">
        <v>43</v>
      </c>
      <c r="D1159" s="3"/>
      <c r="E1159" s="3"/>
      <c r="F1159" s="3"/>
      <c r="G1159" s="3"/>
      <c r="H1159" s="3"/>
      <c r="I1159" s="3"/>
    </row>
    <row r="1160">
      <c r="A1160" s="4" t="s">
        <v>10672</v>
      </c>
      <c r="B1160" s="13" t="s">
        <v>43</v>
      </c>
      <c r="D1160" s="3"/>
      <c r="E1160" s="3"/>
      <c r="F1160" s="3"/>
      <c r="G1160" s="3"/>
      <c r="H1160" s="3"/>
      <c r="I1160" s="3"/>
    </row>
    <row r="1161">
      <c r="A1161" s="4" t="s">
        <v>10673</v>
      </c>
      <c r="B1161" s="13" t="s">
        <v>43</v>
      </c>
      <c r="D1161" s="3"/>
      <c r="E1161" s="3"/>
      <c r="F1161" s="3"/>
      <c r="G1161" s="3"/>
      <c r="H1161" s="3"/>
      <c r="I1161" s="3"/>
    </row>
    <row r="1162">
      <c r="A1162" s="4" t="s">
        <v>10674</v>
      </c>
      <c r="B1162" s="13" t="s">
        <v>43</v>
      </c>
      <c r="D1162" s="3"/>
      <c r="E1162" s="3"/>
      <c r="F1162" s="3"/>
      <c r="G1162" s="3"/>
      <c r="H1162" s="3"/>
      <c r="I1162" s="3"/>
    </row>
    <row r="1163">
      <c r="A1163" s="4" t="s">
        <v>10675</v>
      </c>
      <c r="B1163" s="13" t="s">
        <v>43</v>
      </c>
      <c r="D1163" s="3"/>
      <c r="E1163" s="3"/>
      <c r="F1163" s="3"/>
      <c r="G1163" s="3"/>
      <c r="H1163" s="3"/>
      <c r="I1163" s="3"/>
    </row>
    <row r="1164">
      <c r="A1164" s="4" t="s">
        <v>10676</v>
      </c>
      <c r="B1164" s="13" t="s">
        <v>43</v>
      </c>
      <c r="D1164" s="3"/>
      <c r="E1164" s="3"/>
      <c r="F1164" s="3"/>
      <c r="G1164" s="3"/>
      <c r="H1164" s="3"/>
      <c r="I1164" s="3"/>
    </row>
    <row r="1165">
      <c r="A1165" s="4" t="s">
        <v>10677</v>
      </c>
      <c r="B1165" s="13" t="s">
        <v>43</v>
      </c>
      <c r="D1165" s="3"/>
      <c r="E1165" s="3"/>
      <c r="F1165" s="3"/>
      <c r="G1165" s="3"/>
      <c r="H1165" s="3"/>
      <c r="I1165" s="3"/>
    </row>
    <row r="1166">
      <c r="A1166" s="4" t="s">
        <v>10678</v>
      </c>
      <c r="B1166" s="13" t="s">
        <v>43</v>
      </c>
      <c r="D1166" s="3"/>
      <c r="E1166" s="3"/>
      <c r="F1166" s="3"/>
      <c r="G1166" s="3"/>
      <c r="H1166" s="3"/>
      <c r="I1166" s="3"/>
    </row>
    <row r="1167">
      <c r="A1167" s="4" t="s">
        <v>10679</v>
      </c>
      <c r="B1167" s="13" t="s">
        <v>43</v>
      </c>
      <c r="D1167" s="3"/>
      <c r="E1167" s="3"/>
      <c r="F1167" s="3"/>
      <c r="G1167" s="3"/>
      <c r="H1167" s="3"/>
      <c r="I1167" s="3"/>
    </row>
    <row r="1168">
      <c r="A1168" s="4" t="s">
        <v>10680</v>
      </c>
      <c r="B1168" s="13" t="s">
        <v>43</v>
      </c>
      <c r="D1168" s="3"/>
      <c r="E1168" s="3"/>
      <c r="F1168" s="3"/>
      <c r="G1168" s="3"/>
      <c r="H1168" s="3"/>
      <c r="I1168" s="3"/>
    </row>
    <row r="1169">
      <c r="A1169" s="4" t="s">
        <v>10681</v>
      </c>
      <c r="B1169" s="13" t="s">
        <v>43</v>
      </c>
      <c r="D1169" s="3"/>
      <c r="E1169" s="3"/>
      <c r="F1169" s="3"/>
      <c r="G1169" s="3"/>
      <c r="H1169" s="3"/>
      <c r="I1169" s="3"/>
    </row>
    <row r="1170">
      <c r="A1170" s="4" t="s">
        <v>10682</v>
      </c>
      <c r="B1170" s="13" t="s">
        <v>43</v>
      </c>
      <c r="D1170" s="3"/>
      <c r="E1170" s="3"/>
      <c r="F1170" s="3"/>
      <c r="G1170" s="3"/>
      <c r="H1170" s="3"/>
      <c r="I1170" s="3"/>
    </row>
    <row r="1171">
      <c r="A1171" s="4" t="s">
        <v>10683</v>
      </c>
      <c r="B1171" s="13" t="s">
        <v>43</v>
      </c>
      <c r="D1171" s="3"/>
      <c r="E1171" s="3"/>
      <c r="F1171" s="3"/>
      <c r="G1171" s="3"/>
      <c r="H1171" s="3"/>
      <c r="I1171" s="3"/>
    </row>
    <row r="1172">
      <c r="A1172" s="4" t="s">
        <v>10684</v>
      </c>
      <c r="B1172" s="13" t="s">
        <v>43</v>
      </c>
      <c r="D1172" s="3"/>
      <c r="E1172" s="3"/>
      <c r="F1172" s="3"/>
      <c r="G1172" s="3"/>
      <c r="H1172" s="3"/>
      <c r="I1172" s="3"/>
    </row>
    <row r="1173">
      <c r="A1173" s="4" t="s">
        <v>10685</v>
      </c>
      <c r="B1173" s="13" t="s">
        <v>43</v>
      </c>
      <c r="D1173" s="3"/>
      <c r="E1173" s="3"/>
      <c r="F1173" s="3"/>
      <c r="G1173" s="3"/>
      <c r="H1173" s="3"/>
      <c r="I1173" s="3"/>
    </row>
    <row r="1174">
      <c r="A1174" s="4" t="s">
        <v>10686</v>
      </c>
      <c r="B1174" s="13" t="s">
        <v>43</v>
      </c>
      <c r="D1174" s="3"/>
      <c r="E1174" s="3"/>
      <c r="F1174" s="3"/>
      <c r="G1174" s="3"/>
      <c r="H1174" s="3"/>
      <c r="I1174" s="3"/>
    </row>
    <row r="1175">
      <c r="A1175" s="4" t="s">
        <v>10687</v>
      </c>
      <c r="B1175" s="13" t="s">
        <v>43</v>
      </c>
      <c r="D1175" s="3"/>
      <c r="E1175" s="3"/>
      <c r="F1175" s="3"/>
      <c r="G1175" s="3"/>
      <c r="H1175" s="3"/>
      <c r="I1175" s="3"/>
    </row>
    <row r="1176">
      <c r="A1176" s="4" t="s">
        <v>10688</v>
      </c>
      <c r="B1176" s="13" t="s">
        <v>43</v>
      </c>
      <c r="D1176" s="3"/>
      <c r="E1176" s="3"/>
      <c r="F1176" s="3"/>
      <c r="G1176" s="3"/>
      <c r="H1176" s="3"/>
      <c r="I1176" s="3"/>
    </row>
    <row r="1177">
      <c r="A1177" s="4" t="s">
        <v>10689</v>
      </c>
      <c r="B1177" s="13" t="s">
        <v>43</v>
      </c>
      <c r="D1177" s="3"/>
      <c r="E1177" s="3"/>
      <c r="F1177" s="3"/>
      <c r="G1177" s="3"/>
      <c r="H1177" s="3"/>
      <c r="I1177" s="3"/>
    </row>
    <row r="1178">
      <c r="A1178" s="4" t="s">
        <v>10690</v>
      </c>
      <c r="B1178" s="13" t="s">
        <v>43</v>
      </c>
      <c r="D1178" s="3"/>
      <c r="E1178" s="3"/>
      <c r="F1178" s="3"/>
      <c r="G1178" s="3"/>
      <c r="H1178" s="3"/>
      <c r="I1178" s="3"/>
    </row>
    <row r="1179">
      <c r="A1179" s="4" t="s">
        <v>10691</v>
      </c>
      <c r="B1179" s="13" t="s">
        <v>43</v>
      </c>
      <c r="D1179" s="3"/>
      <c r="E1179" s="3"/>
      <c r="F1179" s="3"/>
      <c r="G1179" s="3"/>
      <c r="H1179" s="3"/>
      <c r="I1179" s="3"/>
    </row>
    <row r="1180">
      <c r="A1180" s="4" t="s">
        <v>10692</v>
      </c>
      <c r="B1180" s="13" t="s">
        <v>43</v>
      </c>
      <c r="D1180" s="3"/>
      <c r="E1180" s="3"/>
      <c r="F1180" s="3"/>
      <c r="G1180" s="3"/>
      <c r="H1180" s="3"/>
      <c r="I1180" s="3"/>
    </row>
    <row r="1181">
      <c r="A1181" s="4" t="s">
        <v>10693</v>
      </c>
      <c r="B1181" s="13" t="s">
        <v>43</v>
      </c>
      <c r="D1181" s="3"/>
      <c r="E1181" s="3"/>
      <c r="F1181" s="3"/>
      <c r="G1181" s="3"/>
      <c r="H1181" s="3"/>
      <c r="I1181" s="3"/>
    </row>
    <row r="1182">
      <c r="A1182" s="4" t="s">
        <v>10694</v>
      </c>
      <c r="B1182" s="13" t="s">
        <v>43</v>
      </c>
      <c r="D1182" s="3"/>
      <c r="E1182" s="3"/>
      <c r="F1182" s="3"/>
      <c r="G1182" s="3"/>
      <c r="H1182" s="3"/>
      <c r="I1182" s="3"/>
    </row>
    <row r="1183">
      <c r="A1183" s="4" t="s">
        <v>10695</v>
      </c>
      <c r="B1183" s="13" t="s">
        <v>43</v>
      </c>
      <c r="D1183" s="3"/>
      <c r="E1183" s="3"/>
      <c r="F1183" s="3"/>
      <c r="G1183" s="3"/>
      <c r="H1183" s="3"/>
      <c r="I1183" s="3"/>
    </row>
    <row r="1184">
      <c r="A1184" s="4" t="s">
        <v>10696</v>
      </c>
      <c r="B1184" s="13" t="s">
        <v>43</v>
      </c>
      <c r="D1184" s="3"/>
      <c r="E1184" s="3"/>
      <c r="F1184" s="3"/>
      <c r="G1184" s="3"/>
      <c r="H1184" s="3"/>
      <c r="I1184" s="3"/>
    </row>
    <row r="1185">
      <c r="A1185" s="4" t="s">
        <v>10697</v>
      </c>
      <c r="B1185" s="13" t="s">
        <v>43</v>
      </c>
      <c r="D1185" s="3"/>
      <c r="E1185" s="3"/>
      <c r="F1185" s="3"/>
      <c r="G1185" s="3"/>
      <c r="H1185" s="3"/>
      <c r="I1185" s="3"/>
    </row>
    <row r="1186">
      <c r="A1186" s="4" t="s">
        <v>10698</v>
      </c>
      <c r="B1186" s="13" t="s">
        <v>43</v>
      </c>
      <c r="D1186" s="3"/>
      <c r="E1186" s="3"/>
      <c r="F1186" s="3"/>
      <c r="G1186" s="3"/>
      <c r="H1186" s="3"/>
      <c r="I1186" s="3"/>
    </row>
    <row r="1187">
      <c r="A1187" s="4" t="s">
        <v>10699</v>
      </c>
      <c r="B1187" s="13" t="s">
        <v>43</v>
      </c>
      <c r="D1187" s="3"/>
      <c r="E1187" s="3"/>
      <c r="F1187" s="3"/>
      <c r="G1187" s="3"/>
      <c r="H1187" s="3"/>
      <c r="I1187" s="3"/>
    </row>
    <row r="1188">
      <c r="A1188" s="4" t="s">
        <v>10700</v>
      </c>
      <c r="B1188" s="13" t="s">
        <v>43</v>
      </c>
      <c r="D1188" s="3"/>
      <c r="E1188" s="3"/>
      <c r="F1188" s="3"/>
      <c r="G1188" s="3"/>
      <c r="H1188" s="3"/>
      <c r="I1188" s="3"/>
    </row>
    <row r="1189">
      <c r="A1189" s="4" t="s">
        <v>10701</v>
      </c>
      <c r="B1189" s="13" t="s">
        <v>43</v>
      </c>
      <c r="D1189" s="3"/>
      <c r="E1189" s="3"/>
      <c r="F1189" s="3"/>
      <c r="G1189" s="3"/>
      <c r="H1189" s="3"/>
      <c r="I1189" s="3"/>
    </row>
    <row r="1190">
      <c r="A1190" s="4" t="s">
        <v>10702</v>
      </c>
      <c r="B1190" s="13" t="s">
        <v>43</v>
      </c>
      <c r="D1190" s="3"/>
      <c r="E1190" s="3"/>
      <c r="F1190" s="3"/>
      <c r="G1190" s="3"/>
      <c r="H1190" s="3"/>
      <c r="I1190" s="3"/>
    </row>
    <row r="1191">
      <c r="A1191" s="4" t="s">
        <v>10703</v>
      </c>
      <c r="B1191" s="13" t="s">
        <v>43</v>
      </c>
      <c r="D1191" s="3"/>
      <c r="E1191" s="3"/>
      <c r="F1191" s="3"/>
      <c r="G1191" s="3"/>
      <c r="H1191" s="3"/>
      <c r="I1191" s="3"/>
    </row>
    <row r="1192">
      <c r="A1192" s="4" t="s">
        <v>10704</v>
      </c>
      <c r="B1192" s="13" t="s">
        <v>43</v>
      </c>
      <c r="D1192" s="3"/>
      <c r="E1192" s="3"/>
      <c r="F1192" s="3"/>
      <c r="G1192" s="3"/>
      <c r="H1192" s="3"/>
      <c r="I1192" s="3"/>
    </row>
    <row r="1193">
      <c r="A1193" s="4" t="s">
        <v>10705</v>
      </c>
      <c r="B1193" s="13" t="s">
        <v>43</v>
      </c>
      <c r="D1193" s="3"/>
      <c r="E1193" s="3"/>
      <c r="F1193" s="3"/>
      <c r="G1193" s="3"/>
      <c r="H1193" s="3"/>
      <c r="I1193" s="3"/>
    </row>
    <row r="1194">
      <c r="A1194" s="4" t="s">
        <v>10706</v>
      </c>
      <c r="B1194" s="13" t="s">
        <v>43</v>
      </c>
      <c r="D1194" s="3"/>
      <c r="E1194" s="3"/>
      <c r="F1194" s="3"/>
      <c r="G1194" s="3"/>
      <c r="H1194" s="3"/>
      <c r="I1194" s="3"/>
    </row>
    <row r="1195">
      <c r="A1195" s="4" t="s">
        <v>10707</v>
      </c>
      <c r="B1195" s="13" t="s">
        <v>43</v>
      </c>
      <c r="D1195" s="3"/>
      <c r="E1195" s="3"/>
      <c r="F1195" s="3"/>
      <c r="G1195" s="3"/>
      <c r="H1195" s="3"/>
      <c r="I1195" s="3"/>
    </row>
    <row r="1196">
      <c r="A1196" s="4" t="s">
        <v>10708</v>
      </c>
      <c r="B1196" s="13" t="s">
        <v>43</v>
      </c>
      <c r="D1196" s="3"/>
      <c r="E1196" s="3"/>
      <c r="F1196" s="3"/>
      <c r="G1196" s="3"/>
      <c r="H1196" s="3"/>
      <c r="I1196" s="3"/>
    </row>
    <row r="1197">
      <c r="A1197" s="4" t="s">
        <v>10709</v>
      </c>
      <c r="B1197" s="13" t="s">
        <v>43</v>
      </c>
      <c r="D1197" s="3"/>
      <c r="E1197" s="3"/>
      <c r="F1197" s="3"/>
      <c r="G1197" s="3"/>
      <c r="H1197" s="3"/>
      <c r="I1197" s="3"/>
    </row>
    <row r="1198">
      <c r="A1198" s="4" t="s">
        <v>10710</v>
      </c>
      <c r="B1198" s="13" t="s">
        <v>43</v>
      </c>
      <c r="D1198" s="3"/>
      <c r="E1198" s="3"/>
      <c r="F1198" s="3"/>
      <c r="G1198" s="3"/>
      <c r="H1198" s="3"/>
      <c r="I1198" s="3"/>
    </row>
    <row r="1199">
      <c r="A1199" s="4" t="s">
        <v>10711</v>
      </c>
      <c r="B1199" s="13" t="s">
        <v>43</v>
      </c>
      <c r="D1199" s="3"/>
      <c r="E1199" s="3"/>
      <c r="F1199" s="3"/>
      <c r="G1199" s="3"/>
      <c r="H1199" s="3"/>
      <c r="I1199" s="3"/>
    </row>
    <row r="1200">
      <c r="A1200" s="4" t="s">
        <v>10712</v>
      </c>
      <c r="B1200" s="13" t="s">
        <v>43</v>
      </c>
      <c r="D1200" s="3"/>
      <c r="E1200" s="3"/>
      <c r="F1200" s="3"/>
      <c r="G1200" s="3"/>
      <c r="H1200" s="3"/>
      <c r="I1200" s="3"/>
    </row>
    <row r="1201">
      <c r="A1201" s="4" t="s">
        <v>10713</v>
      </c>
      <c r="B1201" s="13" t="s">
        <v>43</v>
      </c>
      <c r="D1201" s="3"/>
      <c r="E1201" s="3"/>
      <c r="F1201" s="3"/>
      <c r="G1201" s="3"/>
      <c r="H1201" s="3"/>
      <c r="I1201" s="3"/>
    </row>
    <row r="1202">
      <c r="A1202" s="4" t="s">
        <v>10714</v>
      </c>
      <c r="B1202" s="13" t="s">
        <v>43</v>
      </c>
      <c r="D1202" s="3"/>
      <c r="E1202" s="3"/>
      <c r="F1202" s="3"/>
      <c r="G1202" s="3"/>
      <c r="H1202" s="3"/>
      <c r="I1202" s="3"/>
    </row>
    <row r="1203">
      <c r="A1203" s="4" t="s">
        <v>10715</v>
      </c>
      <c r="B1203" s="13" t="s">
        <v>43</v>
      </c>
      <c r="D1203" s="3"/>
      <c r="E1203" s="3"/>
      <c r="F1203" s="3"/>
      <c r="G1203" s="3"/>
      <c r="H1203" s="3"/>
      <c r="I1203" s="3"/>
    </row>
    <row r="1204">
      <c r="A1204" s="4" t="s">
        <v>10716</v>
      </c>
      <c r="B1204" s="13" t="s">
        <v>43</v>
      </c>
      <c r="D1204" s="3"/>
      <c r="E1204" s="3"/>
      <c r="F1204" s="3"/>
      <c r="G1204" s="3"/>
      <c r="H1204" s="3"/>
      <c r="I1204" s="3"/>
    </row>
    <row r="1205">
      <c r="A1205" s="4" t="s">
        <v>10717</v>
      </c>
      <c r="B1205" s="13" t="s">
        <v>43</v>
      </c>
      <c r="D1205" s="3"/>
      <c r="E1205" s="3"/>
      <c r="F1205" s="3"/>
      <c r="G1205" s="3"/>
      <c r="H1205" s="3"/>
      <c r="I1205" s="3"/>
    </row>
    <row r="1206">
      <c r="A1206" s="4" t="s">
        <v>10718</v>
      </c>
      <c r="B1206" s="13" t="s">
        <v>43</v>
      </c>
      <c r="D1206" s="3"/>
      <c r="E1206" s="3"/>
      <c r="F1206" s="3"/>
      <c r="G1206" s="3"/>
      <c r="H1206" s="3"/>
      <c r="I1206" s="3"/>
    </row>
    <row r="1207">
      <c r="A1207" s="4" t="s">
        <v>10719</v>
      </c>
      <c r="B1207" s="13" t="s">
        <v>43</v>
      </c>
      <c r="D1207" s="3"/>
      <c r="E1207" s="3"/>
      <c r="F1207" s="3"/>
      <c r="G1207" s="3"/>
      <c r="H1207" s="3"/>
      <c r="I1207" s="3"/>
    </row>
    <row r="1208">
      <c r="A1208" s="4" t="s">
        <v>10720</v>
      </c>
      <c r="B1208" s="13" t="s">
        <v>43</v>
      </c>
      <c r="D1208" s="3"/>
      <c r="E1208" s="3"/>
      <c r="F1208" s="3"/>
      <c r="G1208" s="3"/>
      <c r="H1208" s="3"/>
      <c r="I1208" s="3"/>
    </row>
    <row r="1209">
      <c r="A1209" s="4" t="s">
        <v>10721</v>
      </c>
      <c r="B1209" s="13" t="s">
        <v>43</v>
      </c>
      <c r="D1209" s="3"/>
      <c r="E1209" s="3"/>
      <c r="F1209" s="3"/>
      <c r="G1209" s="3"/>
      <c r="H1209" s="3"/>
      <c r="I1209" s="3"/>
    </row>
    <row r="1210">
      <c r="A1210" s="4" t="s">
        <v>10722</v>
      </c>
      <c r="B1210" s="13" t="s">
        <v>43</v>
      </c>
      <c r="D1210" s="3"/>
      <c r="E1210" s="3"/>
      <c r="F1210" s="3"/>
      <c r="G1210" s="3"/>
      <c r="H1210" s="3"/>
      <c r="I1210" s="3"/>
    </row>
    <row r="1211">
      <c r="A1211" s="4" t="s">
        <v>10723</v>
      </c>
      <c r="B1211" s="13" t="s">
        <v>43</v>
      </c>
      <c r="D1211" s="3"/>
      <c r="E1211" s="3"/>
      <c r="F1211" s="3"/>
      <c r="G1211" s="3"/>
      <c r="H1211" s="3"/>
      <c r="I1211" s="3"/>
    </row>
    <row r="1212">
      <c r="A1212" s="4" t="s">
        <v>10724</v>
      </c>
      <c r="B1212" s="13" t="s">
        <v>43</v>
      </c>
      <c r="D1212" s="3"/>
      <c r="E1212" s="3"/>
      <c r="F1212" s="3"/>
      <c r="G1212" s="3"/>
      <c r="H1212" s="3"/>
      <c r="I1212" s="3"/>
    </row>
    <row r="1213">
      <c r="A1213" s="4" t="s">
        <v>10725</v>
      </c>
      <c r="B1213" s="13" t="s">
        <v>43</v>
      </c>
      <c r="D1213" s="3"/>
      <c r="E1213" s="3"/>
      <c r="F1213" s="3"/>
      <c r="G1213" s="3"/>
      <c r="H1213" s="3"/>
      <c r="I1213" s="3"/>
    </row>
    <row r="1214">
      <c r="A1214" s="4" t="s">
        <v>10726</v>
      </c>
      <c r="B1214" s="13" t="s">
        <v>43</v>
      </c>
      <c r="D1214" s="3"/>
      <c r="E1214" s="3"/>
      <c r="F1214" s="3"/>
      <c r="G1214" s="3"/>
      <c r="H1214" s="3"/>
      <c r="I1214" s="3"/>
    </row>
    <row r="1215">
      <c r="A1215" s="4" t="s">
        <v>10727</v>
      </c>
      <c r="B1215" s="13" t="s">
        <v>43</v>
      </c>
      <c r="D1215" s="3"/>
      <c r="E1215" s="3"/>
      <c r="F1215" s="3"/>
      <c r="G1215" s="3"/>
      <c r="H1215" s="3"/>
      <c r="I1215" s="3"/>
    </row>
    <row r="1216">
      <c r="A1216" s="4" t="s">
        <v>10728</v>
      </c>
      <c r="B1216" s="13" t="s">
        <v>43</v>
      </c>
      <c r="D1216" s="3"/>
      <c r="E1216" s="3"/>
      <c r="F1216" s="3"/>
      <c r="G1216" s="3"/>
      <c r="H1216" s="3"/>
      <c r="I1216" s="3"/>
    </row>
    <row r="1217">
      <c r="A1217" s="4" t="s">
        <v>10729</v>
      </c>
      <c r="B1217" s="13" t="s">
        <v>43</v>
      </c>
      <c r="D1217" s="3"/>
      <c r="E1217" s="3"/>
      <c r="F1217" s="3"/>
      <c r="G1217" s="3"/>
      <c r="H1217" s="3"/>
      <c r="I1217" s="3"/>
    </row>
    <row r="1218">
      <c r="A1218" s="4" t="s">
        <v>10730</v>
      </c>
      <c r="B1218" s="13" t="s">
        <v>43</v>
      </c>
      <c r="D1218" s="3"/>
      <c r="E1218" s="3"/>
      <c r="F1218" s="3"/>
      <c r="G1218" s="3"/>
      <c r="H1218" s="3"/>
      <c r="I1218" s="3"/>
    </row>
    <row r="1219">
      <c r="A1219" s="4" t="s">
        <v>10731</v>
      </c>
      <c r="B1219" s="13" t="s">
        <v>43</v>
      </c>
      <c r="D1219" s="3"/>
      <c r="E1219" s="3"/>
      <c r="F1219" s="3"/>
      <c r="G1219" s="3"/>
      <c r="H1219" s="3"/>
      <c r="I1219" s="3"/>
    </row>
    <row r="1220">
      <c r="A1220" s="4" t="s">
        <v>10732</v>
      </c>
      <c r="B1220" s="13" t="s">
        <v>43</v>
      </c>
      <c r="D1220" s="3"/>
      <c r="E1220" s="3"/>
      <c r="F1220" s="3"/>
      <c r="G1220" s="3"/>
      <c r="H1220" s="3"/>
      <c r="I1220" s="3"/>
    </row>
    <row r="1221">
      <c r="A1221" s="4" t="s">
        <v>10733</v>
      </c>
      <c r="B1221" s="13" t="s">
        <v>43</v>
      </c>
      <c r="D1221" s="3"/>
      <c r="E1221" s="3"/>
      <c r="F1221" s="3"/>
      <c r="G1221" s="3"/>
      <c r="H1221" s="3"/>
      <c r="I1221" s="3"/>
    </row>
    <row r="1222">
      <c r="A1222" s="4" t="s">
        <v>10734</v>
      </c>
      <c r="B1222" s="13" t="s">
        <v>43</v>
      </c>
      <c r="D1222" s="3"/>
      <c r="E1222" s="3"/>
      <c r="F1222" s="3"/>
      <c r="G1222" s="3"/>
      <c r="H1222" s="3"/>
      <c r="I1222" s="3"/>
    </row>
    <row r="1223">
      <c r="A1223" s="4" t="s">
        <v>10735</v>
      </c>
      <c r="B1223" s="13" t="s">
        <v>43</v>
      </c>
      <c r="D1223" s="3"/>
      <c r="E1223" s="3"/>
      <c r="F1223" s="3"/>
      <c r="G1223" s="3"/>
      <c r="H1223" s="3"/>
      <c r="I1223" s="3"/>
    </row>
    <row r="1224">
      <c r="A1224" s="4" t="s">
        <v>10736</v>
      </c>
      <c r="B1224" s="13" t="s">
        <v>43</v>
      </c>
      <c r="D1224" s="3"/>
      <c r="E1224" s="3"/>
      <c r="F1224" s="3"/>
      <c r="G1224" s="3"/>
      <c r="H1224" s="3"/>
      <c r="I1224" s="3"/>
    </row>
    <row r="1225">
      <c r="A1225" s="4" t="s">
        <v>10737</v>
      </c>
      <c r="B1225" s="13" t="s">
        <v>43</v>
      </c>
      <c r="D1225" s="3"/>
      <c r="E1225" s="3"/>
      <c r="F1225" s="3"/>
      <c r="G1225" s="3"/>
      <c r="H1225" s="3"/>
      <c r="I1225" s="3"/>
    </row>
    <row r="1226">
      <c r="A1226" s="4" t="s">
        <v>10738</v>
      </c>
      <c r="B1226" s="13" t="s">
        <v>43</v>
      </c>
      <c r="D1226" s="3"/>
      <c r="E1226" s="3"/>
      <c r="F1226" s="3"/>
      <c r="G1226" s="3"/>
      <c r="H1226" s="3"/>
      <c r="I1226" s="3"/>
    </row>
    <row r="1227">
      <c r="A1227" s="4" t="s">
        <v>10739</v>
      </c>
      <c r="B1227" s="13" t="s">
        <v>43</v>
      </c>
      <c r="D1227" s="3"/>
      <c r="E1227" s="3"/>
      <c r="F1227" s="3"/>
      <c r="G1227" s="3"/>
      <c r="H1227" s="3"/>
      <c r="I1227" s="3"/>
    </row>
    <row r="1228">
      <c r="A1228" s="4" t="s">
        <v>10740</v>
      </c>
      <c r="B1228" s="13" t="s">
        <v>43</v>
      </c>
      <c r="D1228" s="3"/>
      <c r="E1228" s="3"/>
      <c r="F1228" s="3"/>
      <c r="G1228" s="3"/>
      <c r="H1228" s="3"/>
      <c r="I1228" s="3"/>
    </row>
    <row r="1229">
      <c r="A1229" s="4" t="s">
        <v>10741</v>
      </c>
      <c r="B1229" s="13" t="s">
        <v>43</v>
      </c>
      <c r="D1229" s="3"/>
      <c r="E1229" s="3"/>
      <c r="F1229" s="3"/>
      <c r="G1229" s="3"/>
      <c r="H1229" s="3"/>
      <c r="I1229" s="3"/>
    </row>
    <row r="1230">
      <c r="A1230" s="4" t="s">
        <v>10742</v>
      </c>
      <c r="B1230" s="13" t="s">
        <v>43</v>
      </c>
      <c r="D1230" s="3"/>
      <c r="E1230" s="3"/>
      <c r="F1230" s="3"/>
      <c r="G1230" s="3"/>
      <c r="H1230" s="3"/>
      <c r="I1230" s="3"/>
    </row>
    <row r="1231">
      <c r="A1231" s="4" t="s">
        <v>10743</v>
      </c>
      <c r="B1231" s="13" t="s">
        <v>43</v>
      </c>
      <c r="D1231" s="3"/>
      <c r="E1231" s="3"/>
      <c r="F1231" s="3"/>
      <c r="G1231" s="3"/>
      <c r="H1231" s="3"/>
      <c r="I1231" s="3"/>
    </row>
    <row r="1232">
      <c r="A1232" s="4" t="s">
        <v>10744</v>
      </c>
      <c r="B1232" s="13" t="s">
        <v>43</v>
      </c>
      <c r="D1232" s="3"/>
      <c r="E1232" s="3"/>
      <c r="F1232" s="3"/>
      <c r="G1232" s="3"/>
      <c r="H1232" s="3"/>
      <c r="I1232" s="3"/>
    </row>
    <row r="1233">
      <c r="A1233" s="4" t="s">
        <v>10745</v>
      </c>
      <c r="B1233" s="13" t="s">
        <v>43</v>
      </c>
      <c r="D1233" s="3"/>
      <c r="E1233" s="3"/>
      <c r="F1233" s="3"/>
      <c r="G1233" s="3"/>
      <c r="H1233" s="3"/>
      <c r="I1233" s="3"/>
      <c r="J1233" s="4" t="s">
        <v>1757</v>
      </c>
    </row>
    <row r="1234">
      <c r="A1234" s="4" t="s">
        <v>10746</v>
      </c>
      <c r="B1234" s="13" t="s">
        <v>43</v>
      </c>
      <c r="D1234" s="3"/>
      <c r="E1234" s="3"/>
      <c r="F1234" s="3"/>
      <c r="G1234" s="3"/>
      <c r="H1234" s="3"/>
      <c r="I1234" s="3"/>
      <c r="J1234" s="4" t="s">
        <v>1757</v>
      </c>
    </row>
    <row r="1235">
      <c r="A1235" s="4" t="s">
        <v>10747</v>
      </c>
      <c r="B1235" s="13" t="s">
        <v>43</v>
      </c>
      <c r="D1235" s="3"/>
      <c r="E1235" s="3"/>
      <c r="F1235" s="3"/>
      <c r="G1235" s="3"/>
      <c r="H1235" s="3"/>
      <c r="I1235" s="3"/>
    </row>
    <row r="1236">
      <c r="A1236" s="4" t="s">
        <v>10748</v>
      </c>
      <c r="B1236" s="13" t="s">
        <v>43</v>
      </c>
      <c r="D1236" s="3"/>
      <c r="E1236" s="3"/>
      <c r="F1236" s="3"/>
      <c r="G1236" s="3"/>
      <c r="H1236" s="3"/>
      <c r="I1236" s="3"/>
    </row>
    <row r="1237">
      <c r="A1237" s="4" t="s">
        <v>10749</v>
      </c>
      <c r="B1237" s="13" t="s">
        <v>43</v>
      </c>
      <c r="D1237" s="3"/>
      <c r="E1237" s="3"/>
      <c r="F1237" s="3"/>
      <c r="G1237" s="3"/>
      <c r="H1237" s="3"/>
      <c r="I1237" s="3"/>
    </row>
    <row r="1238">
      <c r="A1238" s="4" t="s">
        <v>10750</v>
      </c>
      <c r="B1238" s="13" t="s">
        <v>43</v>
      </c>
      <c r="D1238" s="3"/>
      <c r="E1238" s="3"/>
      <c r="F1238" s="3"/>
      <c r="G1238" s="3"/>
      <c r="H1238" s="3"/>
      <c r="I1238" s="3"/>
    </row>
    <row r="1239">
      <c r="A1239" s="4" t="s">
        <v>10751</v>
      </c>
      <c r="B1239" s="13" t="s">
        <v>43</v>
      </c>
      <c r="D1239" s="3"/>
      <c r="E1239" s="3"/>
      <c r="F1239" s="3"/>
      <c r="G1239" s="3"/>
      <c r="H1239" s="3"/>
      <c r="I1239" s="3"/>
    </row>
    <row r="1240">
      <c r="A1240" s="4" t="s">
        <v>10752</v>
      </c>
      <c r="B1240" s="13" t="s">
        <v>43</v>
      </c>
      <c r="D1240" s="3"/>
      <c r="E1240" s="3"/>
      <c r="F1240" s="3"/>
      <c r="G1240" s="3"/>
      <c r="H1240" s="3"/>
      <c r="I1240" s="3"/>
    </row>
    <row r="1241">
      <c r="A1241" s="4" t="s">
        <v>10753</v>
      </c>
      <c r="B1241" s="13" t="s">
        <v>43</v>
      </c>
      <c r="D1241" s="3"/>
      <c r="E1241" s="3"/>
      <c r="F1241" s="3"/>
      <c r="G1241" s="3"/>
      <c r="H1241" s="3"/>
      <c r="I1241" s="3"/>
    </row>
    <row r="1242">
      <c r="A1242" s="4" t="s">
        <v>10754</v>
      </c>
      <c r="B1242" s="13" t="s">
        <v>43</v>
      </c>
      <c r="D1242" s="3"/>
      <c r="E1242" s="3"/>
      <c r="F1242" s="3"/>
      <c r="G1242" s="3"/>
      <c r="H1242" s="3"/>
      <c r="I1242" s="3"/>
    </row>
    <row r="1243">
      <c r="A1243" s="4" t="s">
        <v>10755</v>
      </c>
      <c r="B1243" s="13" t="s">
        <v>43</v>
      </c>
      <c r="D1243" s="3"/>
      <c r="E1243" s="3"/>
      <c r="F1243" s="3"/>
      <c r="G1243" s="3"/>
      <c r="H1243" s="3"/>
      <c r="I1243" s="3"/>
    </row>
    <row r="1244">
      <c r="A1244" s="4" t="s">
        <v>10756</v>
      </c>
      <c r="B1244" s="13" t="s">
        <v>43</v>
      </c>
      <c r="D1244" s="3"/>
      <c r="E1244" s="3"/>
      <c r="F1244" s="3"/>
      <c r="G1244" s="3"/>
      <c r="H1244" s="3"/>
      <c r="I1244" s="3"/>
    </row>
    <row r="1245">
      <c r="A1245" s="4" t="s">
        <v>10757</v>
      </c>
      <c r="B1245" s="13" t="s">
        <v>43</v>
      </c>
      <c r="D1245" s="3"/>
      <c r="E1245" s="3"/>
      <c r="F1245" s="3"/>
      <c r="G1245" s="3"/>
      <c r="H1245" s="3"/>
      <c r="I1245" s="3"/>
    </row>
    <row r="1246">
      <c r="A1246" s="4" t="s">
        <v>10758</v>
      </c>
      <c r="B1246" s="13" t="s">
        <v>43</v>
      </c>
      <c r="D1246" s="3"/>
      <c r="E1246" s="3"/>
      <c r="F1246" s="3"/>
      <c r="G1246" s="3"/>
      <c r="H1246" s="3"/>
      <c r="I1246" s="3"/>
    </row>
    <row r="1247">
      <c r="A1247" s="4" t="s">
        <v>10759</v>
      </c>
      <c r="B1247" s="13" t="s">
        <v>43</v>
      </c>
      <c r="D1247" s="3"/>
      <c r="E1247" s="3"/>
      <c r="F1247" s="3"/>
      <c r="G1247" s="3"/>
      <c r="H1247" s="3"/>
      <c r="I1247" s="3"/>
    </row>
    <row r="1248">
      <c r="A1248" s="4" t="s">
        <v>10760</v>
      </c>
      <c r="B1248" s="13" t="s">
        <v>43</v>
      </c>
      <c r="D1248" s="3"/>
      <c r="E1248" s="3"/>
      <c r="F1248" s="3"/>
      <c r="G1248" s="3"/>
      <c r="H1248" s="3"/>
      <c r="I1248" s="3"/>
    </row>
    <row r="1249">
      <c r="A1249" s="4" t="s">
        <v>10761</v>
      </c>
      <c r="B1249" s="13" t="s">
        <v>43</v>
      </c>
      <c r="D1249" s="3"/>
      <c r="E1249" s="3"/>
      <c r="F1249" s="3"/>
      <c r="G1249" s="3"/>
      <c r="H1249" s="3"/>
      <c r="I1249" s="3"/>
    </row>
    <row r="1250">
      <c r="A1250" s="4" t="s">
        <v>10762</v>
      </c>
      <c r="B1250" s="13" t="s">
        <v>43</v>
      </c>
      <c r="D1250" s="3"/>
      <c r="E1250" s="3"/>
      <c r="F1250" s="3"/>
      <c r="G1250" s="3"/>
      <c r="H1250" s="3"/>
      <c r="I1250" s="3"/>
    </row>
    <row r="1251">
      <c r="A1251" s="4" t="s">
        <v>10763</v>
      </c>
      <c r="B1251" s="13" t="s">
        <v>43</v>
      </c>
      <c r="D1251" s="3"/>
      <c r="E1251" s="3"/>
      <c r="F1251" s="3"/>
      <c r="G1251" s="3"/>
      <c r="H1251" s="3"/>
      <c r="I1251" s="3"/>
    </row>
    <row r="1252">
      <c r="A1252" s="4" t="s">
        <v>10764</v>
      </c>
      <c r="B1252" s="13" t="s">
        <v>43</v>
      </c>
      <c r="D1252" s="3"/>
      <c r="E1252" s="3"/>
      <c r="F1252" s="3"/>
      <c r="G1252" s="3"/>
      <c r="H1252" s="3"/>
      <c r="I1252" s="3"/>
    </row>
    <row r="1253">
      <c r="A1253" s="4" t="s">
        <v>10765</v>
      </c>
      <c r="B1253" s="13" t="s">
        <v>43</v>
      </c>
      <c r="D1253" s="3"/>
      <c r="E1253" s="3"/>
      <c r="F1253" s="3"/>
      <c r="G1253" s="3"/>
      <c r="H1253" s="3"/>
      <c r="I1253" s="3"/>
    </row>
    <row r="1254">
      <c r="A1254" s="4" t="s">
        <v>10766</v>
      </c>
      <c r="B1254" s="13" t="s">
        <v>43</v>
      </c>
      <c r="D1254" s="3"/>
      <c r="E1254" s="3"/>
      <c r="F1254" s="3"/>
      <c r="G1254" s="3"/>
      <c r="H1254" s="3"/>
      <c r="I1254" s="3"/>
    </row>
    <row r="1255">
      <c r="A1255" s="4" t="s">
        <v>10767</v>
      </c>
      <c r="B1255" s="13" t="s">
        <v>43</v>
      </c>
      <c r="D1255" s="3"/>
      <c r="E1255" s="3"/>
      <c r="F1255" s="3"/>
      <c r="G1255" s="3"/>
      <c r="H1255" s="3"/>
      <c r="I1255" s="3"/>
    </row>
    <row r="1256">
      <c r="A1256" s="4" t="s">
        <v>10768</v>
      </c>
      <c r="B1256" s="13" t="s">
        <v>48</v>
      </c>
      <c r="C1256" s="4">
        <v>1.0</v>
      </c>
      <c r="D1256" s="3"/>
      <c r="E1256" s="4">
        <v>2.0</v>
      </c>
      <c r="F1256" s="3"/>
      <c r="G1256" s="3"/>
      <c r="H1256" s="3"/>
      <c r="I1256" s="3"/>
    </row>
    <row r="1257">
      <c r="A1257" s="4" t="s">
        <v>10769</v>
      </c>
      <c r="B1257" s="13" t="s">
        <v>48</v>
      </c>
      <c r="C1257" s="4">
        <v>1.0</v>
      </c>
      <c r="D1257" s="3"/>
      <c r="E1257" s="4">
        <v>2.0</v>
      </c>
      <c r="F1257" s="3"/>
      <c r="G1257" s="3"/>
      <c r="H1257" s="3"/>
      <c r="I1257" s="3"/>
    </row>
    <row r="1258">
      <c r="A1258" s="4" t="s">
        <v>10770</v>
      </c>
      <c r="B1258" s="13" t="s">
        <v>48</v>
      </c>
      <c r="C1258" s="4">
        <v>1.0</v>
      </c>
      <c r="D1258" s="3"/>
      <c r="E1258" s="4">
        <v>2.0</v>
      </c>
      <c r="F1258" s="3"/>
      <c r="G1258" s="3"/>
      <c r="H1258" s="3"/>
      <c r="I1258" s="3"/>
    </row>
    <row r="1259">
      <c r="A1259" s="4" t="s">
        <v>10771</v>
      </c>
      <c r="B1259" s="13" t="s">
        <v>48</v>
      </c>
      <c r="C1259" s="4">
        <v>1.0</v>
      </c>
      <c r="D1259" s="3"/>
      <c r="E1259" s="4">
        <v>2.0</v>
      </c>
      <c r="F1259" s="3"/>
      <c r="G1259" s="3"/>
      <c r="H1259" s="3"/>
      <c r="I1259" s="3"/>
    </row>
    <row r="1260">
      <c r="A1260" s="4" t="s">
        <v>10772</v>
      </c>
      <c r="B1260" s="13" t="s">
        <v>48</v>
      </c>
      <c r="C1260" s="4">
        <v>1.0</v>
      </c>
      <c r="D1260" s="3"/>
      <c r="E1260" s="4">
        <v>2.0</v>
      </c>
      <c r="F1260" s="3"/>
      <c r="G1260" s="3"/>
      <c r="H1260" s="3"/>
      <c r="I1260" s="3"/>
    </row>
    <row r="1261">
      <c r="A1261" s="4" t="s">
        <v>10773</v>
      </c>
      <c r="B1261" s="13" t="s">
        <v>48</v>
      </c>
      <c r="C1261" s="4">
        <v>1.0</v>
      </c>
      <c r="D1261" s="3"/>
      <c r="E1261" s="4">
        <v>2.0</v>
      </c>
      <c r="F1261" s="3"/>
      <c r="G1261" s="3"/>
      <c r="H1261" s="3"/>
      <c r="I1261" s="3"/>
    </row>
    <row r="1262">
      <c r="A1262" s="4" t="s">
        <v>10774</v>
      </c>
      <c r="B1262" s="13" t="s">
        <v>48</v>
      </c>
      <c r="C1262" s="4">
        <v>1.0</v>
      </c>
      <c r="D1262" s="3"/>
      <c r="E1262" s="4">
        <v>2.0</v>
      </c>
      <c r="F1262" s="3"/>
      <c r="G1262" s="3"/>
      <c r="H1262" s="3"/>
      <c r="I1262" s="3"/>
    </row>
    <row r="1263">
      <c r="A1263" s="4" t="s">
        <v>10775</v>
      </c>
      <c r="B1263" s="13" t="s">
        <v>43</v>
      </c>
      <c r="D1263" s="3"/>
      <c r="E1263" s="3"/>
      <c r="F1263" s="3"/>
      <c r="G1263" s="3"/>
      <c r="H1263" s="3"/>
      <c r="I1263" s="3"/>
    </row>
    <row r="1264">
      <c r="A1264" s="4" t="s">
        <v>10776</v>
      </c>
      <c r="B1264" s="13" t="s">
        <v>43</v>
      </c>
      <c r="D1264" s="3"/>
      <c r="E1264" s="3"/>
      <c r="F1264" s="3"/>
      <c r="G1264" s="3"/>
      <c r="H1264" s="3"/>
      <c r="I1264" s="3"/>
    </row>
    <row r="1265">
      <c r="A1265" s="4" t="s">
        <v>10777</v>
      </c>
      <c r="B1265" s="13" t="s">
        <v>43</v>
      </c>
      <c r="D1265" s="3"/>
      <c r="E1265" s="3"/>
      <c r="F1265" s="3"/>
      <c r="G1265" s="3"/>
      <c r="H1265" s="3"/>
      <c r="I1265" s="3"/>
    </row>
    <row r="1266">
      <c r="A1266" s="4" t="s">
        <v>10778</v>
      </c>
      <c r="B1266" s="27" t="s">
        <v>4536</v>
      </c>
    </row>
    <row r="1267">
      <c r="A1267" s="4" t="s">
        <v>10779</v>
      </c>
      <c r="B1267" s="27" t="s">
        <v>4536</v>
      </c>
    </row>
    <row r="1268">
      <c r="A1268" s="4" t="s">
        <v>10780</v>
      </c>
      <c r="B1268" s="27" t="s">
        <v>4536</v>
      </c>
    </row>
    <row r="1269">
      <c r="A1269" s="4" t="s">
        <v>10781</v>
      </c>
      <c r="B1269" s="27" t="s">
        <v>4536</v>
      </c>
    </row>
    <row r="1270">
      <c r="A1270" s="4" t="s">
        <v>10782</v>
      </c>
      <c r="B1270" s="27" t="s">
        <v>4536</v>
      </c>
    </row>
    <row r="1271">
      <c r="A1271" s="4" t="s">
        <v>10783</v>
      </c>
      <c r="B1271" s="27" t="s">
        <v>4536</v>
      </c>
    </row>
    <row r="1272">
      <c r="A1272" s="4" t="s">
        <v>10784</v>
      </c>
      <c r="B1272" s="27" t="s">
        <v>4536</v>
      </c>
    </row>
    <row r="1273">
      <c r="A1273" s="4" t="s">
        <v>10785</v>
      </c>
      <c r="B1273" s="27" t="s">
        <v>4536</v>
      </c>
    </row>
    <row r="1274">
      <c r="A1274" s="4"/>
      <c r="B1274" s="25"/>
    </row>
    <row r="1275">
      <c r="A1275" s="4"/>
      <c r="B1275" s="25"/>
    </row>
    <row r="1276">
      <c r="A1276" s="4"/>
      <c r="B1276" s="25"/>
    </row>
    <row r="1277">
      <c r="A1277" s="4"/>
      <c r="B1277" s="25"/>
    </row>
    <row r="1278">
      <c r="A1278" s="4"/>
      <c r="B1278" s="25"/>
    </row>
    <row r="1279">
      <c r="A1279" s="4"/>
      <c r="B1279" s="25"/>
    </row>
    <row r="1280">
      <c r="A1280" s="4"/>
      <c r="B1280" s="25"/>
    </row>
    <row r="1281">
      <c r="A1281" s="4"/>
      <c r="B1281" s="25"/>
    </row>
    <row r="1282">
      <c r="A1282" s="4"/>
      <c r="B1282" s="25"/>
    </row>
    <row r="1283">
      <c r="A1283" s="4"/>
      <c r="B1283" s="25"/>
    </row>
  </sheetData>
  <mergeCells count="9">
    <mergeCell ref="B1273:I1273"/>
    <mergeCell ref="B1274:I1274"/>
    <mergeCell ref="B1266:I1266"/>
    <mergeCell ref="B1267:I1267"/>
    <mergeCell ref="B1268:I1268"/>
    <mergeCell ref="B1269:I1269"/>
    <mergeCell ref="B1270:I1270"/>
    <mergeCell ref="B1271:I1271"/>
    <mergeCell ref="B1272:I1272"/>
  </mergeCells>
  <conditionalFormatting sqref="I4:I1265">
    <cfRule type="cellIs" dxfId="2" priority="1" operator="equal">
      <formula>15</formula>
    </cfRule>
  </conditionalFormatting>
  <conditionalFormatting sqref="E4:I1265">
    <cfRule type="containsBlanks" dxfId="6" priority="2">
      <formula>LEN(TRIM(E4))=0</formula>
    </cfRule>
  </conditionalFormatting>
  <conditionalFormatting sqref="I4:I1265">
    <cfRule type="cellIs" dxfId="1" priority="3" operator="notEqual">
      <formula>15</formula>
    </cfRule>
  </conditionalFormatting>
  <conditionalFormatting sqref="H4:H1265">
    <cfRule type="cellIs" dxfId="2" priority="4" operator="equal">
      <formula>13</formula>
    </cfRule>
  </conditionalFormatting>
  <conditionalFormatting sqref="H4:H1265">
    <cfRule type="cellIs" dxfId="1" priority="5" operator="notEqual">
      <formula>13</formula>
    </cfRule>
  </conditionalFormatting>
  <conditionalFormatting sqref="G4:G1265">
    <cfRule type="cellIs" dxfId="2" priority="6" operator="equal">
      <formula>10</formula>
    </cfRule>
  </conditionalFormatting>
  <conditionalFormatting sqref="G4:G1265">
    <cfRule type="cellIs" dxfId="1" priority="7" operator="notEqual">
      <formula>10</formula>
    </cfRule>
  </conditionalFormatting>
  <conditionalFormatting sqref="F4:F1265">
    <cfRule type="cellIs" dxfId="2" priority="8" operator="equal">
      <formula>9</formula>
    </cfRule>
  </conditionalFormatting>
  <conditionalFormatting sqref="F4:F1265">
    <cfRule type="cellIs" dxfId="1" priority="9" operator="notEqual">
      <formula>9</formula>
    </cfRule>
  </conditionalFormatting>
  <conditionalFormatting sqref="E4:E1265">
    <cfRule type="cellIs" dxfId="2" priority="10" operator="equal">
      <formula>2</formula>
    </cfRule>
  </conditionalFormatting>
  <conditionalFormatting sqref="E4:E1265">
    <cfRule type="cellIs" dxfId="7" priority="11" operator="notEqual">
      <formula>2</formula>
    </cfRule>
  </conditionalFormatting>
  <conditionalFormatting sqref="D4:D1265">
    <cfRule type="cellIs" dxfId="2" priority="12" operator="equal">
      <formula>1</formula>
    </cfRule>
  </conditionalFormatting>
  <conditionalFormatting sqref="D4:D1265">
    <cfRule type="containsBlanks" dxfId="3" priority="13">
      <formula>LEN(TRIM(D4))=0</formula>
    </cfRule>
  </conditionalFormatting>
  <conditionalFormatting sqref="D4:D1265">
    <cfRule type="cellIs" dxfId="1" priority="14" operator="notEqual">
      <formula>1</formula>
    </cfRule>
  </conditionalFormatting>
  <conditionalFormatting sqref="B4:B1265 B1274:B1283">
    <cfRule type="cellIs" dxfId="0" priority="15" operator="equal">
      <formula>"YES"</formula>
    </cfRule>
  </conditionalFormatting>
  <conditionalFormatting sqref="B4:B1265 B1274:B1283">
    <cfRule type="cellIs" dxfId="1" priority="16" operator="equal">
      <formula>"NO"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2.75"/>
    <col customWidth="1" min="12" max="12" width="13.38"/>
    <col customWidth="1" min="13" max="13" width="12.38"/>
    <col customWidth="1" min="14" max="14" width="7.88"/>
    <col customWidth="1" min="15" max="15" width="3.75"/>
    <col customWidth="1" min="16" max="16" width="8.13"/>
    <col customWidth="1" min="17" max="17" width="3.75"/>
    <col customWidth="1" min="18" max="18" width="8.13"/>
    <col customWidth="1" min="19" max="19" width="3.75"/>
    <col customWidth="1" min="20" max="20" width="8.13"/>
    <col customWidth="1" min="21" max="21" width="4.25"/>
    <col customWidth="1" min="22" max="24" width="3.38"/>
    <col customWidth="1" min="25" max="29" width="4.25"/>
  </cols>
  <sheetData>
    <row r="1">
      <c r="A1" s="5" t="s">
        <v>1289</v>
      </c>
      <c r="B1" s="26" t="s">
        <v>9</v>
      </c>
      <c r="C1" s="23" t="s">
        <v>1290</v>
      </c>
      <c r="D1" s="6" t="s">
        <v>11</v>
      </c>
      <c r="E1" s="23" t="s">
        <v>1291</v>
      </c>
      <c r="F1" s="6" t="s">
        <v>13</v>
      </c>
      <c r="G1" s="23" t="s">
        <v>1292</v>
      </c>
      <c r="H1" s="6" t="s">
        <v>15</v>
      </c>
      <c r="I1" s="8">
        <v>45560.0</v>
      </c>
      <c r="J1" s="6" t="s">
        <v>16</v>
      </c>
      <c r="K1" s="9" t="s">
        <v>10786</v>
      </c>
      <c r="L1" s="6" t="s">
        <v>18</v>
      </c>
      <c r="M1" s="9" t="s">
        <v>10787</v>
      </c>
      <c r="N1" s="6" t="s">
        <v>20</v>
      </c>
      <c r="O1" s="9">
        <f>COUNTA(A4:A5262)-COUNTIF(B:B,"TRAVEL BACK")-COUNTIF(B:B,"COLOR SAMPLE")-COUNTIF(B:B,"TRASH")</f>
        <v>631</v>
      </c>
    </row>
    <row r="2">
      <c r="A2" s="10" t="s">
        <v>21</v>
      </c>
      <c r="B2" s="10" t="s">
        <v>22</v>
      </c>
      <c r="C2" s="10">
        <f>COUNTIF(B4:B7757,"YES")</f>
        <v>307</v>
      </c>
      <c r="D2" s="10" t="s">
        <v>23</v>
      </c>
      <c r="E2" s="10">
        <f>COUNTIF(C4:C7757,"1")</f>
        <v>97</v>
      </c>
      <c r="F2" s="10" t="s">
        <v>24</v>
      </c>
      <c r="G2" s="10">
        <f>COUNTIF(C4:C7757,"2")</f>
        <v>89</v>
      </c>
      <c r="H2" s="10" t="s">
        <v>25</v>
      </c>
      <c r="I2" s="11">
        <f>COUNTIF(C4:C7757,"3")</f>
        <v>65</v>
      </c>
      <c r="J2" s="10" t="s">
        <v>26</v>
      </c>
      <c r="K2" s="12">
        <f>COUNTIF(C4:C7757,"4")</f>
        <v>26</v>
      </c>
      <c r="L2" s="10" t="s">
        <v>27</v>
      </c>
      <c r="M2" s="12">
        <f>COUNTIF(C4:C7757,"5")</f>
        <v>30</v>
      </c>
      <c r="N2" s="11" t="s">
        <v>1294</v>
      </c>
      <c r="O2" s="12">
        <f>COUNTIF(C4:C7757,"6")</f>
        <v>0</v>
      </c>
      <c r="P2" s="10" t="s">
        <v>28</v>
      </c>
      <c r="Q2" s="12">
        <f>G2+I2+K2+M2+O2</f>
        <v>210</v>
      </c>
    </row>
    <row r="3">
      <c r="A3" s="1" t="s">
        <v>29</v>
      </c>
      <c r="B3" s="1" t="s">
        <v>30</v>
      </c>
      <c r="C3" s="1" t="s">
        <v>31</v>
      </c>
      <c r="D3" s="1" t="s">
        <v>1295</v>
      </c>
      <c r="E3" s="1" t="s">
        <v>1296</v>
      </c>
      <c r="F3" s="1" t="s">
        <v>1297</v>
      </c>
      <c r="G3" s="1" t="s">
        <v>1298</v>
      </c>
      <c r="H3" s="1" t="s">
        <v>1299</v>
      </c>
      <c r="I3" s="1" t="s">
        <v>1300</v>
      </c>
      <c r="J3" s="11" t="s">
        <v>1301</v>
      </c>
      <c r="K3" s="12">
        <f>COUNTIF(D4:J7757,"1")</f>
        <v>84</v>
      </c>
      <c r="L3" s="11" t="s">
        <v>1302</v>
      </c>
      <c r="M3" s="12">
        <f>COUNTIF(D4:J7757,"2")</f>
        <v>135</v>
      </c>
      <c r="N3" s="11" t="s">
        <v>1303</v>
      </c>
      <c r="O3" s="12">
        <f>COUNTIF(D4:J7757,"9")</f>
        <v>146</v>
      </c>
      <c r="P3" s="11" t="s">
        <v>1304</v>
      </c>
      <c r="Q3" s="12">
        <f>COUNTIF(D4:J7757,"10")</f>
        <v>89</v>
      </c>
      <c r="R3" s="11" t="s">
        <v>1305</v>
      </c>
      <c r="S3" s="12">
        <f>COUNTIF(D4:J7757,"13")</f>
        <v>169</v>
      </c>
      <c r="T3" s="11" t="s">
        <v>1306</v>
      </c>
      <c r="U3" s="12">
        <f>COUNTIF(D4:J7757,"15")</f>
        <v>100</v>
      </c>
    </row>
    <row r="4">
      <c r="A4" s="4" t="s">
        <v>10788</v>
      </c>
      <c r="B4" s="27" t="s">
        <v>4536</v>
      </c>
      <c r="L4" s="4" t="s">
        <v>44</v>
      </c>
    </row>
    <row r="5">
      <c r="A5" s="4" t="s">
        <v>10789</v>
      </c>
      <c r="B5" s="27" t="s">
        <v>4536</v>
      </c>
      <c r="L5" s="14" t="str">
        <f t="array" ref="L5:Q35">UNIQUE(D4:I4979)</f>
        <v/>
      </c>
      <c r="M5" s="3"/>
      <c r="N5" s="3"/>
      <c r="O5" s="3"/>
      <c r="P5" s="3"/>
      <c r="Q5" s="3"/>
    </row>
    <row r="6">
      <c r="A6" s="4" t="s">
        <v>10790</v>
      </c>
      <c r="B6" s="27" t="s">
        <v>4536</v>
      </c>
      <c r="L6" s="3"/>
      <c r="M6" s="3"/>
      <c r="N6" s="3"/>
      <c r="O6" s="3">
        <v>10.0</v>
      </c>
      <c r="P6" s="3"/>
      <c r="Q6" s="3"/>
      <c r="R6" s="16">
        <f t="array" ref="R6">COUNTIF($D$4:$D$3228&amp;"|"&amp;$E$4:$E$3228&amp;"|"&amp;$F$4:$F$3228&amp;"|"&amp;$G$4:$G$3228&amp;"|"&amp;$H$4:$H$3228&amp;"|"&amp;$I$4:$I$3228,$L6&amp;"|"&amp;$M6&amp;"|"&amp;$N6&amp;"|"&amp;$O6&amp;"|"&amp;$P6&amp;"|"&amp;$Q6)</f>
        <v>51</v>
      </c>
      <c r="V6" s="4" t="s">
        <v>1295</v>
      </c>
      <c r="W6" s="4" t="s">
        <v>1296</v>
      </c>
      <c r="X6" s="4" t="s">
        <v>1297</v>
      </c>
      <c r="Y6" s="4" t="s">
        <v>1298</v>
      </c>
      <c r="Z6" s="4" t="s">
        <v>1299</v>
      </c>
      <c r="AA6" s="4" t="s">
        <v>1300</v>
      </c>
      <c r="AB6" s="4"/>
      <c r="AC6" s="4"/>
    </row>
    <row r="7">
      <c r="A7" s="4" t="s">
        <v>10791</v>
      </c>
      <c r="B7" s="27" t="s">
        <v>4536</v>
      </c>
      <c r="L7" s="3"/>
      <c r="M7" s="3"/>
      <c r="N7" s="3">
        <v>9.0</v>
      </c>
      <c r="O7" s="3">
        <v>10.0</v>
      </c>
      <c r="P7" s="3"/>
      <c r="Q7" s="3"/>
      <c r="R7" s="16">
        <f t="array" ref="R7">COUNTIF($D$4:$D$3228&amp;"|"&amp;$E$4:$E$3228&amp;"|"&amp;$F$4:$F$3228&amp;"|"&amp;$G$4:$G$3228&amp;"|"&amp;$H$4:$H$3228&amp;"|"&amp;$I$4:$I$3228,$L7&amp;"|"&amp;$M7&amp;"|"&amp;$N7&amp;"|"&amp;$O7&amp;"|"&amp;$P7&amp;"|"&amp;$Q7)</f>
        <v>13</v>
      </c>
      <c r="U7" s="4" t="s">
        <v>1295</v>
      </c>
      <c r="V7" s="17"/>
      <c r="W7" s="3">
        <f t="array" ref="W7">SUM((MMULT(--(L6:Q26=1),TRANSPOSE(COLUMN(L6:Q6)^0))&gt;0)*(MMULT(--(L6:Q26=2),TRANSPOSE(COLUMN(L6:Q6)^0))&gt;0)*R6:R26)</f>
        <v>31</v>
      </c>
      <c r="X7" s="3">
        <f t="array" ref="X7">SUM((MMULT(--(L6:Q26=1),TRANSPOSE(COLUMN(L6:Q6)^0))&gt;0)*(MMULT(--(L6:Q26=9),TRANSPOSE(COLUMN(L6:Q6)^0))&gt;0)*R6:R26)</f>
        <v>49</v>
      </c>
      <c r="Y7" s="3">
        <f t="array" ref="Y7">SUM((MMULT(--(L6:Q26=1),TRANSPOSE(COLUMN(L6:Q6)^0))&gt;0)*(MMULT(--(L6:Q26=10),TRANSPOSE(COLUMN(L6:Q6)^0))&gt;0)*R6:R26)</f>
        <v>0</v>
      </c>
      <c r="Z7" s="3">
        <f t="array" ref="Z7">SUM((MMULT(--(L6:Q26=1),TRANSPOSE(COLUMN(L6:Q6)^0))&gt;0)*(MMULT(--(L6:Q26=13),TRANSPOSE(COLUMN(L6:Q6)^0))&gt;0)*R6:R26)</f>
        <v>46</v>
      </c>
      <c r="AA7" s="3">
        <f t="array" ref="AA7">SUM((MMULT(--(L6:Q26=1),TRANSPOSE(COLUMN(L6:Q6)^0))&gt;0)*(MMULT(--(L6:Q26=15),TRANSPOSE(COLUMN(L6:Q6)^0))&gt;0)*R6:R26)</f>
        <v>53</v>
      </c>
    </row>
    <row r="8">
      <c r="A8" s="4" t="s">
        <v>10792</v>
      </c>
      <c r="B8" s="27" t="s">
        <v>4536</v>
      </c>
      <c r="L8" s="3"/>
      <c r="M8" s="3"/>
      <c r="N8" s="3">
        <v>9.0</v>
      </c>
      <c r="O8" s="3">
        <v>10.0</v>
      </c>
      <c r="P8" s="3"/>
      <c r="Q8" s="3">
        <v>15.0</v>
      </c>
      <c r="R8" s="16">
        <f t="array" ref="R8">COUNTIF($D$4:$D$3228&amp;"|"&amp;$E$4:$E$3228&amp;"|"&amp;$F$4:$F$3228&amp;"|"&amp;$G$4:$G$3228&amp;"|"&amp;$H$4:$H$3228&amp;"|"&amp;$I$4:$I$3228,$L8&amp;"|"&amp;$M8&amp;"|"&amp;$N8&amp;"|"&amp;$O8&amp;"|"&amp;$P8&amp;"|"&amp;$Q8)</f>
        <v>12</v>
      </c>
      <c r="U8" s="4" t="s">
        <v>1296</v>
      </c>
      <c r="V8" s="17"/>
      <c r="W8" s="17"/>
      <c r="X8" s="3">
        <f t="array" ref="X8">SUM((MMULT(--(L6:Q26=2),TRANSPOSE(COLUMN(L6:Q6)^0))&gt;0)*(MMULT(--(L6:Q26=9),TRANSPOSE(COLUMN(L6:Q6)^0))&gt;0)*R6:R26)</f>
        <v>72</v>
      </c>
      <c r="Y8" s="3">
        <f t="array" ref="Y8">SUM((MMULT(--(L6:Q26=2),TRANSPOSE(COLUMN(L6:Q6)^0))&gt;0)*(MMULT(--(L6:Q26=10),TRANSPOSE(COLUMN(L6:Q6)^0))&gt;0)*R6:R26)</f>
        <v>0</v>
      </c>
      <c r="Z8" s="3">
        <f t="array" ref="Z8">SUM((MMULT(--(L6:Q26=2),TRANSPOSE(COLUMN(L6:Q6)^0))&gt;0)*(MMULT(--(L6:Q26=13),TRANSPOSE(COLUMN(L6:Q6)^0))&gt;0)*R6:R26)</f>
        <v>113</v>
      </c>
      <c r="AA8" s="3">
        <f t="array" ref="AA8">SUM((MMULT(--(L6:Q26=2),TRANSPOSE(COLUMN(L6:Q6)^0))&gt;0)*(MMULT(--(L6:Q26=15),TRANSPOSE(COLUMN(L6:Q6)^0))&gt;0)*R6:R26)</f>
        <v>42</v>
      </c>
    </row>
    <row r="9">
      <c r="A9" s="4" t="s">
        <v>10793</v>
      </c>
      <c r="B9" s="27" t="s">
        <v>4536</v>
      </c>
      <c r="L9" s="3"/>
      <c r="M9" s="3"/>
      <c r="N9" s="3">
        <v>9.0</v>
      </c>
      <c r="O9" s="3"/>
      <c r="P9" s="3"/>
      <c r="Q9" s="3">
        <v>15.0</v>
      </c>
      <c r="R9" s="16">
        <f t="array" ref="R9">COUNTIF($D$4:$D$3228&amp;"|"&amp;$E$4:$E$3228&amp;"|"&amp;$F$4:$F$3228&amp;"|"&amp;$G$4:$G$3228&amp;"|"&amp;$H$4:$H$3228&amp;"|"&amp;$I$4:$I$3228,$L9&amp;"|"&amp;$M9&amp;"|"&amp;$N9&amp;"|"&amp;$O9&amp;"|"&amp;$P9&amp;"|"&amp;$Q9)</f>
        <v>2</v>
      </c>
      <c r="U9" s="4" t="s">
        <v>1297</v>
      </c>
      <c r="V9" s="17"/>
      <c r="W9" s="17"/>
      <c r="X9" s="17"/>
      <c r="Y9" s="3">
        <f t="array" ref="Y9">SUM((MMULT(--(L6:Q26=9),TRANSPOSE(COLUMN(L6:Q6)^0))&gt;0)*(MMULT(--(L6:Q26=10),TRANSPOSE(COLUMN(L6:Q6)^0))&gt;0)*R6:R26)</f>
        <v>32</v>
      </c>
      <c r="Z9" s="3">
        <f t="array" ref="Z9">SUM((MMULT(--(L6:Q26=9),TRANSPOSE(COLUMN(L6:Q6)^0))&gt;0)*(MMULT(--(L6:Q26=13),TRANSPOSE(COLUMN(L6:Q6)^0))&gt;0)*R6:R26)</f>
        <v>106</v>
      </c>
      <c r="AA9" s="3">
        <f t="array" ref="AA9">SUM((MMULT(--(L6:Q26=9),TRANSPOSE(COLUMN(L6:Q6)^0))&gt;0)*(MMULT(--(L6:Q26=15),TRANSPOSE(COLUMN(L6:Q6)^0))&gt;0)*R6:R26)</f>
        <v>77</v>
      </c>
    </row>
    <row r="10">
      <c r="A10" s="4" t="s">
        <v>10794</v>
      </c>
      <c r="B10" s="27" t="s">
        <v>4536</v>
      </c>
      <c r="L10" s="3"/>
      <c r="M10" s="3"/>
      <c r="N10" s="3">
        <v>9.0</v>
      </c>
      <c r="O10" s="3">
        <v>10.0</v>
      </c>
      <c r="P10" s="3">
        <v>13.0</v>
      </c>
      <c r="Q10" s="3">
        <v>15.0</v>
      </c>
      <c r="R10" s="16">
        <f t="array" ref="R10">COUNTIF($D$4:$D$3228&amp;"|"&amp;$E$4:$E$3228&amp;"|"&amp;$F$4:$F$3228&amp;"|"&amp;$G$4:$G$3228&amp;"|"&amp;$H$4:$H$3228&amp;"|"&amp;$I$4:$I$3228,$L10&amp;"|"&amp;$M10&amp;"|"&amp;$N10&amp;"|"&amp;$O10&amp;"|"&amp;$P10&amp;"|"&amp;$Q10)</f>
        <v>4</v>
      </c>
      <c r="U10" s="4" t="s">
        <v>1298</v>
      </c>
      <c r="V10" s="17"/>
      <c r="W10" s="17"/>
      <c r="X10" s="17"/>
      <c r="Y10" s="17"/>
      <c r="Z10" s="3">
        <f t="array" ref="Z10">SUM((MMULT(--(L6:Q26=10),TRANSPOSE(COLUMN(L6:Q6)^0))&gt;0)*(MMULT(--(L6:Q26=13),TRANSPOSE(COLUMN(L6:Q6)^0))&gt;0)*R6:R26)</f>
        <v>7</v>
      </c>
      <c r="AA10" s="3">
        <f t="array" ref="AA10">SUM((MMULT(--(L6:Q26=10),TRANSPOSE(COLUMN(L6:Q6)^0))&gt;0)*(MMULT(--(L6:Q26=15),TRANSPOSE(COLUMN(L6:Q6)^0))&gt;0)*R6:R26)</f>
        <v>16</v>
      </c>
    </row>
    <row r="11">
      <c r="A11" s="4" t="s">
        <v>10795</v>
      </c>
      <c r="B11" s="27" t="s">
        <v>4536</v>
      </c>
      <c r="L11" s="3"/>
      <c r="M11" s="3"/>
      <c r="N11" s="3">
        <v>9.0</v>
      </c>
      <c r="O11" s="3">
        <v>10.0</v>
      </c>
      <c r="P11" s="3">
        <v>13.0</v>
      </c>
      <c r="Q11" s="3"/>
      <c r="R11" s="16">
        <f t="array" ref="R11">COUNTIF($D$4:$D$3228&amp;"|"&amp;$E$4:$E$3228&amp;"|"&amp;$F$4:$F$3228&amp;"|"&amp;$G$4:$G$3228&amp;"|"&amp;$H$4:$H$3228&amp;"|"&amp;$I$4:$I$3228,$L11&amp;"|"&amp;$M11&amp;"|"&amp;$N11&amp;"|"&amp;$O11&amp;"|"&amp;$P11&amp;"|"&amp;$Q11)</f>
        <v>3</v>
      </c>
      <c r="U11" s="4" t="s">
        <v>1299</v>
      </c>
      <c r="V11" s="17"/>
      <c r="W11" s="17"/>
      <c r="X11" s="17"/>
      <c r="Y11" s="17"/>
      <c r="Z11" s="17"/>
      <c r="AA11" s="3">
        <f t="array" ref="AA11">SUM((MMULT(--(L6:Q26=13),TRANSPOSE(COLUMN(L6:Q6)^0))&gt;0)*(MMULT(--(L6:Q26=15),TRANSPOSE(COLUMN(L6:Q6)^0))&gt;0)*R6:R26)</f>
        <v>61</v>
      </c>
    </row>
    <row r="12">
      <c r="A12" s="4" t="s">
        <v>10796</v>
      </c>
      <c r="B12" s="27" t="s">
        <v>4536</v>
      </c>
      <c r="L12" s="3"/>
      <c r="M12" s="3"/>
      <c r="N12" s="3">
        <v>9.0</v>
      </c>
      <c r="O12" s="3"/>
      <c r="P12" s="3">
        <v>13.0</v>
      </c>
      <c r="Q12" s="3">
        <v>15.0</v>
      </c>
      <c r="R12" s="16">
        <f t="array" ref="R12">COUNTIF($D$4:$D$3228&amp;"|"&amp;$E$4:$E$3228&amp;"|"&amp;$F$4:$F$3228&amp;"|"&amp;$G$4:$G$3228&amp;"|"&amp;$H$4:$H$3228&amp;"|"&amp;$I$4:$I$3228,$L12&amp;"|"&amp;$M12&amp;"|"&amp;$N12&amp;"|"&amp;$O12&amp;"|"&amp;$P12&amp;"|"&amp;$Q12)</f>
        <v>6</v>
      </c>
      <c r="U12" s="4" t="s">
        <v>1300</v>
      </c>
      <c r="V12" s="17"/>
      <c r="W12" s="17"/>
      <c r="X12" s="17"/>
      <c r="Y12" s="17"/>
      <c r="Z12" s="17"/>
      <c r="AA12" s="17"/>
    </row>
    <row r="13">
      <c r="A13" s="4" t="s">
        <v>10797</v>
      </c>
      <c r="B13" s="27" t="s">
        <v>4536</v>
      </c>
      <c r="L13" s="3">
        <v>1.0</v>
      </c>
      <c r="M13" s="3"/>
      <c r="N13" s="3">
        <v>9.0</v>
      </c>
      <c r="O13" s="3"/>
      <c r="P13" s="3">
        <v>13.0</v>
      </c>
      <c r="Q13" s="3">
        <v>15.0</v>
      </c>
      <c r="R13" s="16">
        <f t="array" ref="R13">COUNTIF($D$4:$D$3228&amp;"|"&amp;$E$4:$E$3228&amp;"|"&amp;$F$4:$F$3228&amp;"|"&amp;$G$4:$G$3228&amp;"|"&amp;$H$4:$H$3228&amp;"|"&amp;$I$4:$I$3228,$L13&amp;"|"&amp;$M13&amp;"|"&amp;$N13&amp;"|"&amp;$O13&amp;"|"&amp;$P13&amp;"|"&amp;$Q13)</f>
        <v>9</v>
      </c>
    </row>
    <row r="14">
      <c r="A14" s="4" t="s">
        <v>10798</v>
      </c>
      <c r="B14" s="27" t="s">
        <v>4536</v>
      </c>
      <c r="L14" s="3">
        <v>1.0</v>
      </c>
      <c r="M14" s="3">
        <v>2.0</v>
      </c>
      <c r="N14" s="3">
        <v>9.0</v>
      </c>
      <c r="O14" s="3"/>
      <c r="P14" s="3">
        <v>13.0</v>
      </c>
      <c r="Q14" s="3">
        <v>15.0</v>
      </c>
      <c r="R14" s="16">
        <f t="array" ref="R14">COUNTIF($D$4:$D$3228&amp;"|"&amp;$E$4:$E$3228&amp;"|"&amp;$F$4:$F$3228&amp;"|"&amp;$G$4:$G$3228&amp;"|"&amp;$H$4:$H$3228&amp;"|"&amp;$I$4:$I$3228,$L14&amp;"|"&amp;$M14&amp;"|"&amp;$N14&amp;"|"&amp;$O14&amp;"|"&amp;$P14&amp;"|"&amp;$Q14)</f>
        <v>30</v>
      </c>
    </row>
    <row r="15">
      <c r="A15" s="4" t="s">
        <v>10799</v>
      </c>
      <c r="B15" s="13" t="s">
        <v>43</v>
      </c>
      <c r="D15" s="3"/>
      <c r="E15" s="3"/>
      <c r="F15" s="3"/>
      <c r="G15" s="3"/>
      <c r="H15" s="3"/>
      <c r="I15" s="3"/>
      <c r="L15" s="3"/>
      <c r="M15" s="3">
        <v>2.0</v>
      </c>
      <c r="N15" s="3">
        <v>9.0</v>
      </c>
      <c r="O15" s="3"/>
      <c r="P15" s="3">
        <v>13.0</v>
      </c>
      <c r="Q15" s="3">
        <v>15.0</v>
      </c>
      <c r="R15" s="16">
        <f t="array" ref="R15">COUNTIF($D$4:$D$3228&amp;"|"&amp;$E$4:$E$3228&amp;"|"&amp;$F$4:$F$3228&amp;"|"&amp;$G$4:$G$3228&amp;"|"&amp;$H$4:$H$3228&amp;"|"&amp;$I$4:$I$3228,$L15&amp;"|"&amp;$M15&amp;"|"&amp;$N15&amp;"|"&amp;$O15&amp;"|"&amp;$P15&amp;"|"&amp;$Q15)</f>
        <v>12</v>
      </c>
    </row>
    <row r="16">
      <c r="A16" s="4" t="s">
        <v>10800</v>
      </c>
      <c r="B16" s="13" t="s">
        <v>48</v>
      </c>
      <c r="C16" s="4">
        <v>1.0</v>
      </c>
      <c r="D16" s="3"/>
      <c r="E16" s="3"/>
      <c r="F16" s="3"/>
      <c r="G16" s="4">
        <v>10.0</v>
      </c>
      <c r="H16" s="3"/>
      <c r="I16" s="3"/>
      <c r="L16" s="3"/>
      <c r="M16" s="3">
        <v>2.0</v>
      </c>
      <c r="N16" s="3">
        <v>9.0</v>
      </c>
      <c r="O16" s="3"/>
      <c r="P16" s="3">
        <v>13.0</v>
      </c>
      <c r="Q16" s="3"/>
      <c r="R16" s="16">
        <f t="array" ref="R16">COUNTIF($D$4:$D$3228&amp;"|"&amp;$E$4:$E$3228&amp;"|"&amp;$F$4:$F$3228&amp;"|"&amp;$G$4:$G$3228&amp;"|"&amp;$H$4:$H$3228&amp;"|"&amp;$I$4:$I$3228,$L16&amp;"|"&amp;$M16&amp;"|"&amp;$N16&amp;"|"&amp;$O16&amp;"|"&amp;$P16&amp;"|"&amp;$Q16)</f>
        <v>29</v>
      </c>
    </row>
    <row r="17">
      <c r="A17" s="4" t="s">
        <v>10801</v>
      </c>
      <c r="B17" s="13" t="s">
        <v>48</v>
      </c>
      <c r="C17" s="4">
        <v>1.0</v>
      </c>
      <c r="D17" s="3"/>
      <c r="E17" s="3"/>
      <c r="F17" s="3"/>
      <c r="G17" s="4">
        <v>10.0</v>
      </c>
      <c r="H17" s="3"/>
      <c r="I17" s="3"/>
      <c r="L17" s="3"/>
      <c r="M17" s="3">
        <v>2.0</v>
      </c>
      <c r="N17" s="3"/>
      <c r="O17" s="3"/>
      <c r="P17" s="3">
        <v>13.0</v>
      </c>
      <c r="Q17" s="3"/>
      <c r="R17" s="16">
        <f t="array" ref="R17">COUNTIF($D$4:$D$3228&amp;"|"&amp;$E$4:$E$3228&amp;"|"&amp;$F$4:$F$3228&amp;"|"&amp;$G$4:$G$3228&amp;"|"&amp;$H$4:$H$3228&amp;"|"&amp;$I$4:$I$3228,$L17&amp;"|"&amp;$M17&amp;"|"&amp;$N17&amp;"|"&amp;$O17&amp;"|"&amp;$P17&amp;"|"&amp;$Q17)</f>
        <v>41</v>
      </c>
    </row>
    <row r="18">
      <c r="A18" s="4" t="s">
        <v>10802</v>
      </c>
      <c r="B18" s="13" t="s">
        <v>48</v>
      </c>
      <c r="C18" s="4">
        <v>1.0</v>
      </c>
      <c r="D18" s="3"/>
      <c r="E18" s="3"/>
      <c r="F18" s="3"/>
      <c r="G18" s="4">
        <v>10.0</v>
      </c>
      <c r="H18" s="3"/>
      <c r="I18" s="3"/>
      <c r="L18" s="3"/>
      <c r="M18" s="3"/>
      <c r="N18" s="3"/>
      <c r="O18" s="3"/>
      <c r="P18" s="3">
        <v>13.0</v>
      </c>
      <c r="Q18" s="3"/>
      <c r="R18" s="16">
        <f t="array" ref="R18">COUNTIF($D$4:$D$3228&amp;"|"&amp;$E$4:$E$3228&amp;"|"&amp;$F$4:$F$3228&amp;"|"&amp;$G$4:$G$3228&amp;"|"&amp;$H$4:$H$3228&amp;"|"&amp;$I$4:$I$3228,$L18&amp;"|"&amp;$M18&amp;"|"&amp;$N18&amp;"|"&amp;$O18&amp;"|"&amp;$P18&amp;"|"&amp;$Q18)</f>
        <v>15</v>
      </c>
    </row>
    <row r="19">
      <c r="A19" s="4" t="s">
        <v>10803</v>
      </c>
      <c r="B19" s="13" t="s">
        <v>48</v>
      </c>
      <c r="C19" s="4">
        <v>1.0</v>
      </c>
      <c r="D19" s="3"/>
      <c r="E19" s="3"/>
      <c r="F19" s="3"/>
      <c r="G19" s="4">
        <v>10.0</v>
      </c>
      <c r="H19" s="3"/>
      <c r="I19" s="3"/>
      <c r="L19" s="3">
        <v>1.0</v>
      </c>
      <c r="M19" s="3">
        <v>2.0</v>
      </c>
      <c r="N19" s="3">
        <v>9.0</v>
      </c>
      <c r="O19" s="3"/>
      <c r="P19" s="3">
        <v>13.0</v>
      </c>
      <c r="Q19" s="3"/>
      <c r="R19" s="16">
        <f t="array" ref="R19">COUNTIF($D$4:$D$3228&amp;"|"&amp;$E$4:$E$3228&amp;"|"&amp;$F$4:$F$3228&amp;"|"&amp;$G$4:$G$3228&amp;"|"&amp;$H$4:$H$3228&amp;"|"&amp;$I$4:$I$3228,$L19&amp;"|"&amp;$M19&amp;"|"&amp;$N19&amp;"|"&amp;$O19&amp;"|"&amp;$P19&amp;"|"&amp;$Q19)</f>
        <v>1</v>
      </c>
    </row>
    <row r="20">
      <c r="A20" s="4" t="s">
        <v>10804</v>
      </c>
      <c r="B20" s="13" t="s">
        <v>48</v>
      </c>
      <c r="C20" s="4">
        <v>1.0</v>
      </c>
      <c r="D20" s="3"/>
      <c r="E20" s="3"/>
      <c r="F20" s="3"/>
      <c r="G20" s="4">
        <v>10.0</v>
      </c>
      <c r="H20" s="3"/>
      <c r="I20" s="3"/>
      <c r="L20" s="3">
        <v>1.0</v>
      </c>
      <c r="M20" s="3"/>
      <c r="N20" s="3"/>
      <c r="O20" s="3"/>
      <c r="P20" s="3"/>
      <c r="Q20" s="3">
        <v>15.0</v>
      </c>
      <c r="R20" s="16">
        <f t="array" ref="R20">COUNTIF($D$4:$D$3228&amp;"|"&amp;$E$4:$E$3228&amp;"|"&amp;$F$4:$F$3228&amp;"|"&amp;$G$4:$G$3228&amp;"|"&amp;$H$4:$H$3228&amp;"|"&amp;$I$4:$I$3228,$L20&amp;"|"&amp;$M20&amp;"|"&amp;$N20&amp;"|"&amp;$O20&amp;"|"&amp;$P20&amp;"|"&amp;$Q20)</f>
        <v>12</v>
      </c>
    </row>
    <row r="21">
      <c r="A21" s="4" t="s">
        <v>10805</v>
      </c>
      <c r="B21" s="13" t="s">
        <v>48</v>
      </c>
      <c r="C21" s="4">
        <v>1.0</v>
      </c>
      <c r="D21" s="3"/>
      <c r="E21" s="3"/>
      <c r="F21" s="3"/>
      <c r="G21" s="4">
        <v>10.0</v>
      </c>
      <c r="H21" s="3"/>
      <c r="I21" s="3"/>
      <c r="L21" s="3"/>
      <c r="M21" s="3"/>
      <c r="N21" s="3">
        <v>9.0</v>
      </c>
      <c r="O21" s="3"/>
      <c r="P21" s="3">
        <v>13.0</v>
      </c>
      <c r="Q21" s="3"/>
      <c r="R21" s="16">
        <f t="array" ref="R21">COUNTIF($D$4:$D$3228&amp;"|"&amp;$E$4:$E$3228&amp;"|"&amp;$F$4:$F$3228&amp;"|"&amp;$G$4:$G$3228&amp;"|"&amp;$H$4:$H$3228&amp;"|"&amp;$I$4:$I$3228,$L21&amp;"|"&amp;$M21&amp;"|"&amp;$N21&amp;"|"&amp;$O21&amp;"|"&amp;$P21&amp;"|"&amp;$Q21)</f>
        <v>6</v>
      </c>
    </row>
    <row r="22">
      <c r="A22" s="4" t="s">
        <v>10806</v>
      </c>
      <c r="B22" s="13" t="s">
        <v>48</v>
      </c>
      <c r="C22" s="4">
        <v>1.0</v>
      </c>
      <c r="D22" s="3"/>
      <c r="E22" s="3"/>
      <c r="F22" s="3"/>
      <c r="G22" s="4">
        <v>10.0</v>
      </c>
      <c r="H22" s="3"/>
      <c r="I22" s="3"/>
      <c r="L22" s="3"/>
      <c r="M22" s="3"/>
      <c r="N22" s="3">
        <v>9.0</v>
      </c>
      <c r="O22" s="3"/>
      <c r="P22" s="3"/>
      <c r="Q22" s="3"/>
      <c r="R22" s="16">
        <f t="array" ref="R22">COUNTIF($D$4:$D$3228&amp;"|"&amp;$E$4:$E$3228&amp;"|"&amp;$F$4:$F$3228&amp;"|"&amp;$G$4:$G$3228&amp;"|"&amp;$H$4:$H$3228&amp;"|"&amp;$I$4:$I$3228,$L22&amp;"|"&amp;$M22&amp;"|"&amp;$N22&amp;"|"&amp;$O22&amp;"|"&amp;$P22&amp;"|"&amp;$Q22)</f>
        <v>1</v>
      </c>
    </row>
    <row r="23">
      <c r="A23" s="4" t="s">
        <v>10807</v>
      </c>
      <c r="B23" s="13" t="s">
        <v>48</v>
      </c>
      <c r="C23" s="4">
        <v>1.0</v>
      </c>
      <c r="D23" s="3"/>
      <c r="E23" s="3"/>
      <c r="F23" s="3"/>
      <c r="G23" s="4">
        <v>10.0</v>
      </c>
      <c r="H23" s="3"/>
      <c r="I23" s="3"/>
      <c r="L23" s="3">
        <v>1.0</v>
      </c>
      <c r="M23" s="3"/>
      <c r="N23" s="3">
        <v>9.0</v>
      </c>
      <c r="O23" s="3"/>
      <c r="P23" s="3">
        <v>13.0</v>
      </c>
      <c r="Q23" s="3"/>
      <c r="R23" s="16">
        <f t="array" ref="R23">COUNTIF($D$4:$D$3228&amp;"|"&amp;$E$4:$E$3228&amp;"|"&amp;$F$4:$F$3228&amp;"|"&amp;$G$4:$G$3228&amp;"|"&amp;$H$4:$H$3228&amp;"|"&amp;$I$4:$I$3228,$L23&amp;"|"&amp;$M23&amp;"|"&amp;$N23&amp;"|"&amp;$O23&amp;"|"&amp;$P23&amp;"|"&amp;$Q23)</f>
        <v>6</v>
      </c>
    </row>
    <row r="24">
      <c r="A24" s="4" t="s">
        <v>10808</v>
      </c>
      <c r="B24" s="13" t="s">
        <v>48</v>
      </c>
      <c r="C24" s="4">
        <v>1.0</v>
      </c>
      <c r="D24" s="3"/>
      <c r="E24" s="3"/>
      <c r="F24" s="3"/>
      <c r="G24" s="4">
        <v>10.0</v>
      </c>
      <c r="H24" s="3"/>
      <c r="I24" s="3"/>
      <c r="L24" s="3">
        <v>1.0</v>
      </c>
      <c r="M24" s="3"/>
      <c r="N24" s="3">
        <v>9.0</v>
      </c>
      <c r="O24" s="3"/>
      <c r="P24" s="3"/>
      <c r="Q24" s="3"/>
      <c r="R24" s="16">
        <f t="array" ref="R24">COUNTIF($D$4:$D$3228&amp;"|"&amp;$E$4:$E$3228&amp;"|"&amp;$F$4:$F$3228&amp;"|"&amp;$G$4:$G$3228&amp;"|"&amp;$H$4:$H$3228&amp;"|"&amp;$I$4:$I$3228,$L24&amp;"|"&amp;$M24&amp;"|"&amp;$N24&amp;"|"&amp;$O24&amp;"|"&amp;$P24&amp;"|"&amp;$Q24)</f>
        <v>1</v>
      </c>
    </row>
    <row r="25">
      <c r="A25" s="4" t="s">
        <v>10809</v>
      </c>
      <c r="B25" s="13" t="s">
        <v>48</v>
      </c>
      <c r="C25" s="4">
        <v>1.0</v>
      </c>
      <c r="D25" s="3"/>
      <c r="E25" s="3"/>
      <c r="F25" s="3"/>
      <c r="G25" s="4">
        <v>10.0</v>
      </c>
      <c r="H25" s="3"/>
      <c r="I25" s="3"/>
      <c r="L25" s="3">
        <v>1.0</v>
      </c>
      <c r="M25" s="3"/>
      <c r="N25" s="3"/>
      <c r="O25" s="3"/>
      <c r="P25" s="3"/>
      <c r="Q25" s="3"/>
      <c r="R25" s="16">
        <f t="array" ref="R25">COUNTIF($D$4:$D$3228&amp;"|"&amp;$E$4:$E$3228&amp;"|"&amp;$F$4:$F$3228&amp;"|"&amp;$G$4:$G$3228&amp;"|"&amp;$H$4:$H$3228&amp;"|"&amp;$I$4:$I$3228,$L25&amp;"|"&amp;$M25&amp;"|"&amp;$N25&amp;"|"&amp;$O25&amp;"|"&amp;$P25&amp;"|"&amp;$Q25)</f>
        <v>14</v>
      </c>
    </row>
    <row r="26">
      <c r="A26" s="4" t="s">
        <v>10810</v>
      </c>
      <c r="B26" s="13" t="s">
        <v>48</v>
      </c>
      <c r="C26" s="4">
        <v>1.0</v>
      </c>
      <c r="D26" s="3"/>
      <c r="E26" s="3"/>
      <c r="F26" s="3"/>
      <c r="G26" s="4">
        <v>10.0</v>
      </c>
      <c r="H26" s="3"/>
      <c r="I26" s="3"/>
      <c r="L26" s="3">
        <v>1.0</v>
      </c>
      <c r="M26" s="3"/>
      <c r="N26" s="3">
        <v>9.0</v>
      </c>
      <c r="O26" s="3"/>
      <c r="P26" s="3"/>
      <c r="Q26" s="3">
        <v>15.0</v>
      </c>
      <c r="R26" s="16">
        <f t="array" ref="R26">COUNTIF($D$4:$D$3228&amp;"|"&amp;$E$4:$E$3228&amp;"|"&amp;$F$4:$F$3228&amp;"|"&amp;$G$4:$G$3228&amp;"|"&amp;$H$4:$H$3228&amp;"|"&amp;$I$4:$I$3228,$L26&amp;"|"&amp;$M26&amp;"|"&amp;$N26&amp;"|"&amp;$O26&amp;"|"&amp;$P26&amp;"|"&amp;$Q26)</f>
        <v>2</v>
      </c>
    </row>
    <row r="27">
      <c r="A27" s="4" t="s">
        <v>10811</v>
      </c>
      <c r="B27" s="13" t="s">
        <v>48</v>
      </c>
      <c r="C27" s="4">
        <v>1.0</v>
      </c>
      <c r="D27" s="3"/>
      <c r="E27" s="3"/>
      <c r="F27" s="3"/>
      <c r="G27" s="4">
        <v>10.0</v>
      </c>
      <c r="H27" s="3"/>
      <c r="I27" s="3"/>
      <c r="L27" s="3"/>
      <c r="M27" s="3"/>
      <c r="N27" s="3"/>
      <c r="O27" s="3">
        <v>10.0</v>
      </c>
      <c r="P27" s="3"/>
      <c r="Q27" s="3">
        <v>15.0</v>
      </c>
      <c r="R27" s="16">
        <f t="array" ref="R27">COUNTIF($D$4:$D$3228&amp;"|"&amp;$E$4:$E$3228&amp;"|"&amp;$F$4:$F$3228&amp;"|"&amp;$G$4:$G$3228&amp;"|"&amp;$H$4:$H$3228&amp;"|"&amp;$I$4:$I$3228,$L27&amp;"|"&amp;$M27&amp;"|"&amp;$N27&amp;"|"&amp;$O27&amp;"|"&amp;$P27&amp;"|"&amp;$Q27)</f>
        <v>5</v>
      </c>
    </row>
    <row r="28">
      <c r="A28" s="4" t="s">
        <v>10812</v>
      </c>
      <c r="B28" s="13" t="s">
        <v>48</v>
      </c>
      <c r="C28" s="4">
        <v>1.0</v>
      </c>
      <c r="D28" s="3"/>
      <c r="E28" s="3"/>
      <c r="F28" s="3"/>
      <c r="G28" s="4">
        <v>10.0</v>
      </c>
      <c r="H28" s="3"/>
      <c r="I28" s="3"/>
      <c r="L28" s="3"/>
      <c r="M28" s="3">
        <v>2.0</v>
      </c>
      <c r="N28" s="3">
        <v>9.0</v>
      </c>
      <c r="O28" s="3"/>
      <c r="P28" s="3"/>
      <c r="Q28" s="3"/>
      <c r="R28" s="16">
        <f t="array" ref="R28">COUNTIF($D$4:$D$3228&amp;"|"&amp;$E$4:$E$3228&amp;"|"&amp;$F$4:$F$3228&amp;"|"&amp;$G$4:$G$3228&amp;"|"&amp;$H$4:$H$3228&amp;"|"&amp;$I$4:$I$3228,$L28&amp;"|"&amp;$M28&amp;"|"&amp;$N28&amp;"|"&amp;$O28&amp;"|"&amp;$P28&amp;"|"&amp;$Q28)</f>
        <v>7</v>
      </c>
    </row>
    <row r="29">
      <c r="A29" s="4" t="s">
        <v>10813</v>
      </c>
      <c r="B29" s="13" t="s">
        <v>43</v>
      </c>
      <c r="D29" s="3"/>
      <c r="E29" s="3"/>
      <c r="F29" s="3"/>
      <c r="G29" s="3"/>
      <c r="H29" s="3"/>
      <c r="I29" s="3"/>
      <c r="L29" s="3">
        <v>1.0</v>
      </c>
      <c r="M29" s="3"/>
      <c r="N29" s="3"/>
      <c r="O29" s="3"/>
      <c r="P29" s="3">
        <v>13.0</v>
      </c>
      <c r="Q29" s="3">
        <v>15.0</v>
      </c>
      <c r="R29" s="16">
        <f t="array" ref="R29">COUNTIF($D$4:$D$3228&amp;"|"&amp;$E$4:$E$3228&amp;"|"&amp;$F$4:$F$3228&amp;"|"&amp;$G$4:$G$3228&amp;"|"&amp;$H$4:$H$3228&amp;"|"&amp;$I$4:$I$3228,$L29&amp;"|"&amp;$M29&amp;"|"&amp;$N29&amp;"|"&amp;$O29&amp;"|"&amp;$P29&amp;"|"&amp;$Q29)</f>
        <v>5</v>
      </c>
    </row>
    <row r="30">
      <c r="A30" s="4" t="s">
        <v>10814</v>
      </c>
      <c r="B30" s="13" t="s">
        <v>43</v>
      </c>
      <c r="D30" s="3"/>
      <c r="E30" s="3"/>
      <c r="F30" s="3"/>
      <c r="G30" s="3"/>
      <c r="H30" s="3"/>
      <c r="I30" s="3"/>
      <c r="L30" s="3">
        <v>1.0</v>
      </c>
      <c r="M30" s="3"/>
      <c r="N30" s="3"/>
      <c r="O30" s="3"/>
      <c r="P30" s="3">
        <v>13.0</v>
      </c>
      <c r="Q30" s="3"/>
      <c r="R30" s="16">
        <f t="array" ref="R30">COUNTIF($D$4:$D$3228&amp;"|"&amp;$E$4:$E$3228&amp;"|"&amp;$F$4:$F$3228&amp;"|"&amp;$G$4:$G$3228&amp;"|"&amp;$H$4:$H$3228&amp;"|"&amp;$I$4:$I$3228,$L30&amp;"|"&amp;$M30&amp;"|"&amp;$N30&amp;"|"&amp;$O30&amp;"|"&amp;$P30&amp;"|"&amp;$Q30)</f>
        <v>2</v>
      </c>
    </row>
    <row r="31">
      <c r="A31" s="4" t="s">
        <v>10815</v>
      </c>
      <c r="B31" s="13" t="s">
        <v>43</v>
      </c>
      <c r="D31" s="3"/>
      <c r="E31" s="3"/>
      <c r="F31" s="3"/>
      <c r="G31" s="3"/>
      <c r="H31" s="3"/>
      <c r="I31" s="3"/>
      <c r="L31" s="3">
        <v>1.0</v>
      </c>
      <c r="M31" s="3" t="s">
        <v>10816</v>
      </c>
      <c r="N31" s="3">
        <v>9.0</v>
      </c>
      <c r="O31" s="3"/>
      <c r="P31" s="3"/>
      <c r="Q31" s="3"/>
      <c r="R31" s="16">
        <f t="array" ref="R31">COUNTIF($D$4:$D$3228&amp;"|"&amp;$E$4:$E$3228&amp;"|"&amp;$F$4:$F$3228&amp;"|"&amp;$G$4:$G$3228&amp;"|"&amp;$H$4:$H$3228&amp;"|"&amp;$I$4:$I$3228,$L31&amp;"|"&amp;$M31&amp;"|"&amp;$N31&amp;"|"&amp;$O31&amp;"|"&amp;$P31&amp;"|"&amp;$Q31)</f>
        <v>1</v>
      </c>
    </row>
    <row r="32">
      <c r="A32" s="4" t="s">
        <v>10817</v>
      </c>
      <c r="B32" s="13" t="s">
        <v>43</v>
      </c>
      <c r="D32" s="3"/>
      <c r="E32" s="3"/>
      <c r="F32" s="3"/>
      <c r="G32" s="3"/>
      <c r="H32" s="3"/>
      <c r="I32" s="3"/>
      <c r="L32" s="3">
        <v>1.0</v>
      </c>
      <c r="M32" s="3" t="s">
        <v>10816</v>
      </c>
      <c r="N32" s="3"/>
      <c r="O32" s="3"/>
      <c r="P32" s="3"/>
      <c r="Q32" s="3"/>
      <c r="R32" s="16">
        <f t="array" ref="R32">COUNTIF($D$4:$D$3228&amp;"|"&amp;$E$4:$E$3228&amp;"|"&amp;$F$4:$F$3228&amp;"|"&amp;$G$4:$G$3228&amp;"|"&amp;$H$4:$H$3228&amp;"|"&amp;$I$4:$I$3228,$L32&amp;"|"&amp;$M32&amp;"|"&amp;$N32&amp;"|"&amp;$O32&amp;"|"&amp;$P32&amp;"|"&amp;$Q32)</f>
        <v>1</v>
      </c>
    </row>
    <row r="33">
      <c r="A33" s="4" t="s">
        <v>10818</v>
      </c>
      <c r="B33" s="13" t="s">
        <v>43</v>
      </c>
      <c r="D33" s="3"/>
      <c r="E33" s="3"/>
      <c r="F33" s="3"/>
      <c r="G33" s="3"/>
      <c r="H33" s="3"/>
      <c r="I33" s="3"/>
      <c r="L33" s="3"/>
      <c r="M33" s="3"/>
      <c r="N33" s="3"/>
      <c r="O33" s="3"/>
      <c r="P33" s="3"/>
      <c r="Q33" s="3">
        <v>15.0</v>
      </c>
      <c r="R33" s="16">
        <f t="array" ref="R33">COUNTIF($D$4:$D$3228&amp;"|"&amp;$E$4:$E$3228&amp;"|"&amp;$F$4:$F$3228&amp;"|"&amp;$G$4:$G$3228&amp;"|"&amp;$H$4:$H$3228&amp;"|"&amp;$I$4:$I$3228,$L33&amp;"|"&amp;$M33&amp;"|"&amp;$N33&amp;"|"&amp;$O33&amp;"|"&amp;$P33&amp;"|"&amp;$Q33)</f>
        <v>1</v>
      </c>
    </row>
    <row r="34">
      <c r="A34" s="4" t="s">
        <v>10819</v>
      </c>
      <c r="B34" s="13" t="s">
        <v>43</v>
      </c>
      <c r="D34" s="3"/>
      <c r="E34" s="3"/>
      <c r="F34" s="3"/>
      <c r="G34" s="3"/>
      <c r="H34" s="3"/>
      <c r="I34" s="3"/>
      <c r="L34" s="3"/>
      <c r="M34" s="3">
        <v>2.0</v>
      </c>
      <c r="N34" s="3"/>
      <c r="O34" s="3"/>
      <c r="P34" s="3"/>
      <c r="Q34" s="3"/>
      <c r="R34" s="16">
        <f t="array" ref="R34">COUNTIF($D$4:$D$3228&amp;"|"&amp;$E$4:$E$3228&amp;"|"&amp;$F$4:$F$3228&amp;"|"&amp;$G$4:$G$3228&amp;"|"&amp;$H$4:$H$3228&amp;"|"&amp;$I$4:$I$3228,$L34&amp;"|"&amp;$M34&amp;"|"&amp;$N34&amp;"|"&amp;$O34&amp;"|"&amp;$P34&amp;"|"&amp;$Q34)</f>
        <v>14</v>
      </c>
    </row>
    <row r="35">
      <c r="A35" s="4" t="s">
        <v>10820</v>
      </c>
      <c r="B35" s="13" t="s">
        <v>43</v>
      </c>
      <c r="D35" s="3"/>
      <c r="E35" s="3"/>
      <c r="F35" s="3"/>
      <c r="G35" s="3"/>
      <c r="H35" s="3"/>
      <c r="I35" s="3"/>
      <c r="L35" s="3"/>
      <c r="M35" s="3">
        <v>2.0</v>
      </c>
      <c r="N35" s="3">
        <v>9.0</v>
      </c>
      <c r="O35" s="3">
        <v>10.0</v>
      </c>
      <c r="P35" s="3"/>
      <c r="Q35" s="3"/>
      <c r="R35" s="16">
        <f t="array" ref="R35">COUNTIF($D$4:$D$3228&amp;"|"&amp;$E$4:$E$3228&amp;"|"&amp;$F$4:$F$3228&amp;"|"&amp;$G$4:$G$3228&amp;"|"&amp;$H$4:$H$3228&amp;"|"&amp;$I$4:$I$3228,$L35&amp;"|"&amp;$M35&amp;"|"&amp;$N35&amp;"|"&amp;$O35&amp;"|"&amp;$P35&amp;"|"&amp;$Q35)</f>
        <v>1</v>
      </c>
    </row>
    <row r="36">
      <c r="A36" s="4" t="s">
        <v>10821</v>
      </c>
      <c r="B36" s="13" t="s">
        <v>43</v>
      </c>
      <c r="D36" s="3"/>
      <c r="E36" s="3"/>
      <c r="F36" s="3"/>
      <c r="G36" s="3"/>
      <c r="H36" s="3"/>
      <c r="I36" s="3"/>
      <c r="R36" s="18">
        <f>SUm(R6:R35)</f>
        <v>307</v>
      </c>
    </row>
    <row r="37">
      <c r="A37" s="4" t="s">
        <v>10822</v>
      </c>
      <c r="B37" s="13" t="s">
        <v>43</v>
      </c>
      <c r="D37" s="3"/>
      <c r="E37" s="3"/>
      <c r="F37" s="3"/>
      <c r="G37" s="3"/>
      <c r="H37" s="3"/>
      <c r="I37" s="3"/>
      <c r="R37" s="3">
        <f>$C$2</f>
        <v>307</v>
      </c>
    </row>
    <row r="38">
      <c r="A38" s="4" t="s">
        <v>10823</v>
      </c>
      <c r="B38" s="13" t="s">
        <v>43</v>
      </c>
      <c r="D38" s="3"/>
      <c r="E38" s="3"/>
      <c r="F38" s="3"/>
      <c r="G38" s="3"/>
      <c r="H38" s="3"/>
      <c r="I38" s="3"/>
    </row>
    <row r="39">
      <c r="A39" s="4" t="s">
        <v>10824</v>
      </c>
      <c r="B39" s="13" t="s">
        <v>43</v>
      </c>
      <c r="D39" s="3"/>
      <c r="E39" s="3"/>
      <c r="F39" s="3"/>
      <c r="G39" s="3"/>
      <c r="H39" s="3"/>
      <c r="I39" s="3"/>
    </row>
    <row r="40">
      <c r="A40" s="4" t="s">
        <v>10825</v>
      </c>
      <c r="B40" s="13" t="s">
        <v>43</v>
      </c>
      <c r="D40" s="3"/>
      <c r="E40" s="3"/>
      <c r="F40" s="3"/>
      <c r="G40" s="3"/>
      <c r="H40" s="3"/>
      <c r="I40" s="3"/>
    </row>
    <row r="41">
      <c r="A41" s="4" t="s">
        <v>10826</v>
      </c>
      <c r="B41" s="13" t="s">
        <v>43</v>
      </c>
      <c r="D41" s="3"/>
      <c r="E41" s="3"/>
      <c r="F41" s="3"/>
      <c r="G41" s="3"/>
      <c r="H41" s="3"/>
      <c r="I41" s="3"/>
    </row>
    <row r="42">
      <c r="A42" s="4" t="s">
        <v>10827</v>
      </c>
      <c r="B42" s="13" t="s">
        <v>48</v>
      </c>
      <c r="C42" s="4">
        <v>2.0</v>
      </c>
      <c r="D42" s="3"/>
      <c r="E42" s="3"/>
      <c r="F42" s="4">
        <v>9.0</v>
      </c>
      <c r="G42" s="4">
        <v>10.0</v>
      </c>
      <c r="H42" s="3"/>
      <c r="I42" s="3"/>
      <c r="J42" s="4" t="s">
        <v>1757</v>
      </c>
    </row>
    <row r="43">
      <c r="A43" s="4" t="s">
        <v>10828</v>
      </c>
      <c r="B43" s="13" t="s">
        <v>48</v>
      </c>
      <c r="C43" s="4">
        <v>2.0</v>
      </c>
      <c r="D43" s="3"/>
      <c r="E43" s="3"/>
      <c r="F43" s="4">
        <v>9.0</v>
      </c>
      <c r="G43" s="4">
        <v>10.0</v>
      </c>
      <c r="H43" s="3"/>
      <c r="I43" s="3"/>
      <c r="J43" s="4" t="s">
        <v>1757</v>
      </c>
    </row>
    <row r="44">
      <c r="A44" s="4" t="s">
        <v>10829</v>
      </c>
      <c r="B44" s="13" t="s">
        <v>48</v>
      </c>
      <c r="C44" s="4">
        <v>3.0</v>
      </c>
      <c r="D44" s="3"/>
      <c r="E44" s="3"/>
      <c r="F44" s="4">
        <v>9.0</v>
      </c>
      <c r="G44" s="4">
        <v>10.0</v>
      </c>
      <c r="H44" s="3"/>
      <c r="I44" s="4">
        <v>15.0</v>
      </c>
      <c r="J44" s="4" t="s">
        <v>1757</v>
      </c>
    </row>
    <row r="45">
      <c r="A45" s="4" t="s">
        <v>10830</v>
      </c>
      <c r="B45" s="13" t="s">
        <v>48</v>
      </c>
      <c r="C45" s="4">
        <v>2.0</v>
      </c>
      <c r="D45" s="3"/>
      <c r="E45" s="3"/>
      <c r="F45" s="4">
        <v>9.0</v>
      </c>
      <c r="G45" s="3"/>
      <c r="H45" s="3"/>
      <c r="I45" s="4">
        <v>15.0</v>
      </c>
      <c r="J45" s="4" t="s">
        <v>1757</v>
      </c>
    </row>
    <row r="46">
      <c r="A46" s="4" t="s">
        <v>10831</v>
      </c>
      <c r="B46" s="13" t="s">
        <v>48</v>
      </c>
      <c r="C46" s="4">
        <v>3.0</v>
      </c>
      <c r="D46" s="3"/>
      <c r="E46" s="3"/>
      <c r="F46" s="4">
        <v>9.0</v>
      </c>
      <c r="G46" s="4">
        <v>10.0</v>
      </c>
      <c r="H46" s="3"/>
      <c r="I46" s="4">
        <v>15.0</v>
      </c>
      <c r="J46" s="4" t="s">
        <v>1757</v>
      </c>
      <c r="K46" s="4" t="s">
        <v>1757</v>
      </c>
    </row>
    <row r="47">
      <c r="A47" s="4" t="s">
        <v>10832</v>
      </c>
      <c r="B47" s="13" t="s">
        <v>48</v>
      </c>
      <c r="C47" s="4">
        <v>4.0</v>
      </c>
      <c r="D47" s="3"/>
      <c r="E47" s="3"/>
      <c r="F47" s="4">
        <v>9.0</v>
      </c>
      <c r="G47" s="4">
        <v>10.0</v>
      </c>
      <c r="H47" s="4">
        <v>13.0</v>
      </c>
      <c r="I47" s="4">
        <v>15.0</v>
      </c>
      <c r="J47" s="4" t="s">
        <v>1757</v>
      </c>
      <c r="K47" s="4" t="s">
        <v>1757</v>
      </c>
    </row>
    <row r="48">
      <c r="A48" s="4" t="s">
        <v>10833</v>
      </c>
      <c r="B48" s="13" t="s">
        <v>48</v>
      </c>
      <c r="C48" s="4">
        <v>4.0</v>
      </c>
      <c r="D48" s="3"/>
      <c r="E48" s="3"/>
      <c r="F48" s="4">
        <v>9.0</v>
      </c>
      <c r="G48" s="4">
        <v>10.0</v>
      </c>
      <c r="H48" s="4">
        <v>13.0</v>
      </c>
      <c r="I48" s="4">
        <v>15.0</v>
      </c>
      <c r="J48" s="4" t="s">
        <v>1757</v>
      </c>
      <c r="K48" s="4" t="s">
        <v>1757</v>
      </c>
    </row>
    <row r="49">
      <c r="A49" s="4" t="s">
        <v>10834</v>
      </c>
      <c r="B49" s="13" t="s">
        <v>48</v>
      </c>
      <c r="C49" s="4">
        <v>3.0</v>
      </c>
      <c r="D49" s="3"/>
      <c r="E49" s="3"/>
      <c r="F49" s="4">
        <v>9.0</v>
      </c>
      <c r="G49" s="4">
        <v>10.0</v>
      </c>
      <c r="H49" s="4">
        <v>13.0</v>
      </c>
      <c r="I49" s="3"/>
      <c r="J49" s="4" t="s">
        <v>1757</v>
      </c>
      <c r="K49" s="4" t="s">
        <v>1757</v>
      </c>
    </row>
    <row r="50">
      <c r="A50" s="4" t="s">
        <v>10835</v>
      </c>
      <c r="B50" s="13" t="s">
        <v>48</v>
      </c>
      <c r="C50" s="4">
        <v>3.0</v>
      </c>
      <c r="D50" s="3"/>
      <c r="E50" s="3"/>
      <c r="F50" s="4">
        <v>9.0</v>
      </c>
      <c r="G50" s="4">
        <v>10.0</v>
      </c>
      <c r="H50" s="4">
        <v>13.0</v>
      </c>
      <c r="I50" s="3"/>
      <c r="J50" s="4" t="s">
        <v>1757</v>
      </c>
      <c r="K50" s="4" t="s">
        <v>1757</v>
      </c>
    </row>
    <row r="51">
      <c r="A51" s="4" t="s">
        <v>10836</v>
      </c>
      <c r="B51" s="13" t="s">
        <v>48</v>
      </c>
      <c r="C51" s="4">
        <v>4.0</v>
      </c>
      <c r="D51" s="3"/>
      <c r="E51" s="3"/>
      <c r="F51" s="4">
        <v>9.0</v>
      </c>
      <c r="G51" s="4">
        <v>10.0</v>
      </c>
      <c r="H51" s="4">
        <v>13.0</v>
      </c>
      <c r="I51" s="4">
        <v>15.0</v>
      </c>
      <c r="J51" s="4" t="s">
        <v>1757</v>
      </c>
      <c r="K51" s="4" t="s">
        <v>1757</v>
      </c>
    </row>
    <row r="52">
      <c r="A52" s="4" t="s">
        <v>10837</v>
      </c>
      <c r="B52" s="13" t="s">
        <v>48</v>
      </c>
      <c r="C52" s="4">
        <v>4.0</v>
      </c>
      <c r="D52" s="3"/>
      <c r="E52" s="3"/>
      <c r="F52" s="4">
        <v>9.0</v>
      </c>
      <c r="G52" s="4">
        <v>10.0</v>
      </c>
      <c r="H52" s="4">
        <v>13.0</v>
      </c>
      <c r="I52" s="4">
        <v>15.0</v>
      </c>
      <c r="J52" s="4" t="s">
        <v>1757</v>
      </c>
      <c r="K52" s="4" t="s">
        <v>1757</v>
      </c>
    </row>
    <row r="53">
      <c r="A53" s="4" t="s">
        <v>10838</v>
      </c>
      <c r="B53" s="13" t="s">
        <v>48</v>
      </c>
      <c r="C53" s="4">
        <v>3.0</v>
      </c>
      <c r="D53" s="3"/>
      <c r="E53" s="3"/>
      <c r="F53" s="4">
        <v>9.0</v>
      </c>
      <c r="G53" s="3"/>
      <c r="H53" s="4">
        <v>13.0</v>
      </c>
      <c r="I53" s="4">
        <v>15.0</v>
      </c>
      <c r="J53" s="4" t="s">
        <v>1757</v>
      </c>
      <c r="K53" s="4" t="s">
        <v>1757</v>
      </c>
    </row>
    <row r="54">
      <c r="A54" s="4" t="s">
        <v>10839</v>
      </c>
      <c r="B54" s="13" t="s">
        <v>48</v>
      </c>
      <c r="C54" s="4">
        <v>3.0</v>
      </c>
      <c r="D54" s="3"/>
      <c r="E54" s="3"/>
      <c r="F54" s="4">
        <v>9.0</v>
      </c>
      <c r="G54" s="3"/>
      <c r="H54" s="4">
        <v>13.0</v>
      </c>
      <c r="I54" s="4">
        <v>15.0</v>
      </c>
      <c r="J54" s="4" t="s">
        <v>1757</v>
      </c>
      <c r="K54" s="4" t="s">
        <v>1757</v>
      </c>
    </row>
    <row r="55">
      <c r="A55" s="4" t="s">
        <v>10840</v>
      </c>
      <c r="B55" s="13" t="s">
        <v>48</v>
      </c>
      <c r="C55" s="4">
        <v>4.0</v>
      </c>
      <c r="D55" s="4">
        <v>1.0</v>
      </c>
      <c r="E55" s="3"/>
      <c r="F55" s="4">
        <v>9.0</v>
      </c>
      <c r="G55" s="3"/>
      <c r="H55" s="4">
        <v>13.0</v>
      </c>
      <c r="I55" s="4">
        <v>15.0</v>
      </c>
      <c r="J55" s="4" t="s">
        <v>1757</v>
      </c>
      <c r="K55" s="4" t="s">
        <v>1757</v>
      </c>
    </row>
    <row r="56">
      <c r="A56" s="4" t="s">
        <v>10841</v>
      </c>
      <c r="B56" s="13" t="s">
        <v>48</v>
      </c>
      <c r="C56" s="4">
        <v>4.0</v>
      </c>
      <c r="D56" s="4">
        <v>1.0</v>
      </c>
      <c r="E56" s="3"/>
      <c r="F56" s="4">
        <v>9.0</v>
      </c>
      <c r="G56" s="3"/>
      <c r="H56" s="4">
        <v>13.0</v>
      </c>
      <c r="I56" s="4">
        <v>15.0</v>
      </c>
      <c r="J56" s="4" t="s">
        <v>1757</v>
      </c>
      <c r="K56" s="4" t="s">
        <v>1757</v>
      </c>
    </row>
    <row r="57">
      <c r="A57" s="4" t="s">
        <v>10842</v>
      </c>
      <c r="B57" s="13" t="s">
        <v>48</v>
      </c>
      <c r="C57" s="4">
        <v>4.0</v>
      </c>
      <c r="D57" s="4">
        <v>1.0</v>
      </c>
      <c r="E57" s="3"/>
      <c r="F57" s="4">
        <v>9.0</v>
      </c>
      <c r="G57" s="3"/>
      <c r="H57" s="4">
        <v>13.0</v>
      </c>
      <c r="I57" s="4">
        <v>15.0</v>
      </c>
      <c r="J57" s="4" t="s">
        <v>1757</v>
      </c>
      <c r="K57" s="4" t="s">
        <v>1757</v>
      </c>
    </row>
    <row r="58">
      <c r="A58" s="4" t="s">
        <v>10843</v>
      </c>
      <c r="B58" s="13" t="s">
        <v>48</v>
      </c>
      <c r="C58" s="4">
        <v>4.0</v>
      </c>
      <c r="D58" s="4">
        <v>1.0</v>
      </c>
      <c r="E58" s="3"/>
      <c r="F58" s="4">
        <v>9.0</v>
      </c>
      <c r="G58" s="3"/>
      <c r="H58" s="4">
        <v>13.0</v>
      </c>
      <c r="I58" s="4">
        <v>15.0</v>
      </c>
      <c r="J58" s="4" t="s">
        <v>1757</v>
      </c>
      <c r="K58" s="4" t="s">
        <v>1757</v>
      </c>
    </row>
    <row r="59">
      <c r="A59" s="4" t="s">
        <v>10844</v>
      </c>
      <c r="B59" s="13" t="s">
        <v>48</v>
      </c>
      <c r="C59" s="4">
        <v>3.0</v>
      </c>
      <c r="D59" s="3"/>
      <c r="E59" s="3"/>
      <c r="F59" s="4">
        <v>9.0</v>
      </c>
      <c r="G59" s="3"/>
      <c r="H59" s="4">
        <v>13.0</v>
      </c>
      <c r="I59" s="4">
        <v>15.0</v>
      </c>
      <c r="J59" s="4" t="s">
        <v>1757</v>
      </c>
      <c r="K59" s="4" t="s">
        <v>1757</v>
      </c>
    </row>
    <row r="60">
      <c r="A60" s="4" t="s">
        <v>10845</v>
      </c>
      <c r="B60" s="13" t="s">
        <v>48</v>
      </c>
      <c r="C60" s="4">
        <v>4.0</v>
      </c>
      <c r="D60" s="4">
        <v>1.0</v>
      </c>
      <c r="E60" s="3"/>
      <c r="F60" s="4">
        <v>9.0</v>
      </c>
      <c r="G60" s="3"/>
      <c r="H60" s="4">
        <v>13.0</v>
      </c>
      <c r="I60" s="4">
        <v>15.0</v>
      </c>
      <c r="J60" s="4" t="s">
        <v>1757</v>
      </c>
      <c r="K60" s="4" t="s">
        <v>1757</v>
      </c>
    </row>
    <row r="61">
      <c r="A61" s="4" t="s">
        <v>10846</v>
      </c>
      <c r="B61" s="13" t="s">
        <v>48</v>
      </c>
      <c r="C61" s="4">
        <v>5.0</v>
      </c>
      <c r="D61" s="4">
        <v>1.0</v>
      </c>
      <c r="E61" s="4">
        <v>2.0</v>
      </c>
      <c r="F61" s="4">
        <v>9.0</v>
      </c>
      <c r="G61" s="3"/>
      <c r="H61" s="4">
        <v>13.0</v>
      </c>
      <c r="I61" s="4">
        <v>15.0</v>
      </c>
      <c r="J61" s="4" t="s">
        <v>1757</v>
      </c>
      <c r="K61" s="4" t="s">
        <v>1757</v>
      </c>
    </row>
    <row r="62">
      <c r="A62" s="4" t="s">
        <v>10847</v>
      </c>
      <c r="B62" s="13" t="s">
        <v>48</v>
      </c>
      <c r="C62" s="4">
        <v>4.0</v>
      </c>
      <c r="D62" s="3"/>
      <c r="E62" s="4">
        <v>2.0</v>
      </c>
      <c r="F62" s="4">
        <v>9.0</v>
      </c>
      <c r="G62" s="3"/>
      <c r="H62" s="4">
        <v>13.0</v>
      </c>
      <c r="I62" s="4">
        <v>15.0</v>
      </c>
      <c r="J62" s="4" t="s">
        <v>1757</v>
      </c>
      <c r="K62" s="4" t="s">
        <v>1757</v>
      </c>
    </row>
    <row r="63">
      <c r="A63" s="4" t="s">
        <v>10848</v>
      </c>
      <c r="B63" s="13" t="s">
        <v>48</v>
      </c>
      <c r="C63" s="4">
        <v>5.0</v>
      </c>
      <c r="D63" s="4">
        <v>1.0</v>
      </c>
      <c r="E63" s="4">
        <v>2.0</v>
      </c>
      <c r="F63" s="4">
        <v>9.0</v>
      </c>
      <c r="G63" s="3"/>
      <c r="H63" s="4">
        <v>13.0</v>
      </c>
      <c r="I63" s="4">
        <v>15.0</v>
      </c>
      <c r="J63" s="4" t="s">
        <v>1757</v>
      </c>
      <c r="K63" s="4" t="s">
        <v>1757</v>
      </c>
    </row>
    <row r="64">
      <c r="A64" s="4" t="s">
        <v>10849</v>
      </c>
      <c r="B64" s="13" t="s">
        <v>48</v>
      </c>
      <c r="C64" s="4">
        <v>5.0</v>
      </c>
      <c r="D64" s="4">
        <v>1.0</v>
      </c>
      <c r="E64" s="4">
        <v>2.0</v>
      </c>
      <c r="F64" s="4">
        <v>9.0</v>
      </c>
      <c r="G64" s="3"/>
      <c r="H64" s="4">
        <v>13.0</v>
      </c>
      <c r="I64" s="4">
        <v>15.0</v>
      </c>
      <c r="J64" s="4" t="s">
        <v>1757</v>
      </c>
      <c r="K64" s="4" t="s">
        <v>1757</v>
      </c>
    </row>
    <row r="65">
      <c r="A65" s="4" t="s">
        <v>10850</v>
      </c>
      <c r="B65" s="13" t="s">
        <v>48</v>
      </c>
      <c r="C65" s="4">
        <v>5.0</v>
      </c>
      <c r="D65" s="4">
        <v>1.0</v>
      </c>
      <c r="E65" s="4">
        <v>2.0</v>
      </c>
      <c r="F65" s="4">
        <v>9.0</v>
      </c>
      <c r="G65" s="3"/>
      <c r="H65" s="4">
        <v>13.0</v>
      </c>
      <c r="I65" s="4">
        <v>15.0</v>
      </c>
      <c r="J65" s="4" t="s">
        <v>1757</v>
      </c>
      <c r="K65" s="4" t="s">
        <v>1757</v>
      </c>
    </row>
    <row r="66">
      <c r="A66" s="4" t="s">
        <v>10851</v>
      </c>
      <c r="B66" s="13" t="s">
        <v>48</v>
      </c>
      <c r="C66" s="4">
        <v>4.0</v>
      </c>
      <c r="D66" s="3"/>
      <c r="E66" s="4">
        <v>2.0</v>
      </c>
      <c r="F66" s="4">
        <v>9.0</v>
      </c>
      <c r="G66" s="3"/>
      <c r="H66" s="4">
        <v>13.0</v>
      </c>
      <c r="I66" s="4">
        <v>15.0</v>
      </c>
      <c r="J66" s="4" t="s">
        <v>1757</v>
      </c>
      <c r="K66" s="4" t="s">
        <v>1757</v>
      </c>
    </row>
    <row r="67">
      <c r="A67" s="4" t="s">
        <v>10852</v>
      </c>
      <c r="B67" s="13" t="s">
        <v>48</v>
      </c>
      <c r="C67" s="4">
        <v>4.0</v>
      </c>
      <c r="D67" s="3"/>
      <c r="E67" s="4">
        <v>2.0</v>
      </c>
      <c r="F67" s="4">
        <v>9.0</v>
      </c>
      <c r="G67" s="3"/>
      <c r="H67" s="4">
        <v>13.0</v>
      </c>
      <c r="I67" s="4">
        <v>15.0</v>
      </c>
      <c r="J67" s="4" t="s">
        <v>1757</v>
      </c>
      <c r="K67" s="4" t="s">
        <v>1757</v>
      </c>
    </row>
    <row r="68">
      <c r="A68" s="4" t="s">
        <v>10853</v>
      </c>
      <c r="B68" s="13" t="s">
        <v>48</v>
      </c>
      <c r="C68" s="4">
        <v>3.0</v>
      </c>
      <c r="D68" s="3"/>
      <c r="E68" s="4">
        <v>2.0</v>
      </c>
      <c r="F68" s="4">
        <v>9.0</v>
      </c>
      <c r="G68" s="3"/>
      <c r="H68" s="4">
        <v>13.0</v>
      </c>
      <c r="I68" s="3"/>
      <c r="J68" s="4" t="s">
        <v>1757</v>
      </c>
    </row>
    <row r="69">
      <c r="A69" s="4" t="s">
        <v>10854</v>
      </c>
      <c r="B69" s="13" t="s">
        <v>48</v>
      </c>
      <c r="C69" s="4">
        <v>3.0</v>
      </c>
      <c r="D69" s="3"/>
      <c r="E69" s="4">
        <v>2.0</v>
      </c>
      <c r="F69" s="4">
        <v>9.0</v>
      </c>
      <c r="G69" s="3"/>
      <c r="H69" s="4">
        <v>13.0</v>
      </c>
      <c r="I69" s="3"/>
      <c r="J69" s="4" t="s">
        <v>1757</v>
      </c>
    </row>
    <row r="70">
      <c r="A70" s="4" t="s">
        <v>10855</v>
      </c>
      <c r="B70" s="13" t="s">
        <v>48</v>
      </c>
      <c r="C70" s="4">
        <v>3.0</v>
      </c>
      <c r="D70" s="3"/>
      <c r="E70" s="3"/>
      <c r="F70" s="4">
        <v>9.0</v>
      </c>
      <c r="G70" s="3"/>
      <c r="H70" s="4">
        <v>13.0</v>
      </c>
      <c r="I70" s="4">
        <v>15.0</v>
      </c>
      <c r="J70" s="4" t="s">
        <v>1757</v>
      </c>
    </row>
    <row r="71">
      <c r="A71" s="4" t="s">
        <v>10856</v>
      </c>
      <c r="B71" s="13" t="s">
        <v>48</v>
      </c>
      <c r="C71" s="4">
        <v>2.0</v>
      </c>
      <c r="D71" s="3"/>
      <c r="E71" s="4">
        <v>2.0</v>
      </c>
      <c r="F71" s="3"/>
      <c r="G71" s="3"/>
      <c r="H71" s="4">
        <v>13.0</v>
      </c>
      <c r="I71" s="3"/>
      <c r="J71" s="4" t="s">
        <v>1757</v>
      </c>
    </row>
    <row r="72">
      <c r="A72" s="4" t="s">
        <v>10857</v>
      </c>
      <c r="B72" s="13" t="s">
        <v>48</v>
      </c>
      <c r="C72" s="4">
        <v>2.0</v>
      </c>
      <c r="D72" s="3"/>
      <c r="E72" s="4">
        <v>2.0</v>
      </c>
      <c r="F72" s="3"/>
      <c r="G72" s="3"/>
      <c r="H72" s="4">
        <v>13.0</v>
      </c>
      <c r="I72" s="3"/>
      <c r="J72" s="4" t="s">
        <v>1757</v>
      </c>
    </row>
    <row r="73">
      <c r="A73" s="4" t="s">
        <v>10858</v>
      </c>
      <c r="B73" s="13" t="s">
        <v>48</v>
      </c>
      <c r="C73" s="4">
        <v>2.0</v>
      </c>
      <c r="D73" s="3"/>
      <c r="E73" s="4">
        <v>2.0</v>
      </c>
      <c r="F73" s="3"/>
      <c r="G73" s="3"/>
      <c r="H73" s="4">
        <v>13.0</v>
      </c>
      <c r="I73" s="3"/>
    </row>
    <row r="74">
      <c r="A74" s="4" t="s">
        <v>10859</v>
      </c>
      <c r="B74" s="13" t="s">
        <v>48</v>
      </c>
      <c r="C74" s="4">
        <v>2.0</v>
      </c>
      <c r="D74" s="3"/>
      <c r="E74" s="4">
        <v>2.0</v>
      </c>
      <c r="F74" s="3"/>
      <c r="G74" s="3"/>
      <c r="H74" s="4">
        <v>13.0</v>
      </c>
      <c r="I74" s="3"/>
    </row>
    <row r="75">
      <c r="A75" s="4" t="s">
        <v>10860</v>
      </c>
      <c r="B75" s="13" t="s">
        <v>48</v>
      </c>
      <c r="C75" s="4">
        <v>2.0</v>
      </c>
      <c r="D75" s="3"/>
      <c r="E75" s="4">
        <v>2.0</v>
      </c>
      <c r="F75" s="3"/>
      <c r="G75" s="3"/>
      <c r="H75" s="4">
        <v>13.0</v>
      </c>
      <c r="I75" s="3"/>
      <c r="J75" s="4" t="s">
        <v>1757</v>
      </c>
    </row>
    <row r="76">
      <c r="A76" s="4" t="s">
        <v>10861</v>
      </c>
      <c r="B76" s="13" t="s">
        <v>48</v>
      </c>
      <c r="C76" s="4">
        <v>1.0</v>
      </c>
      <c r="D76" s="3"/>
      <c r="E76" s="3"/>
      <c r="F76" s="3"/>
      <c r="G76" s="3"/>
      <c r="H76" s="4">
        <v>13.0</v>
      </c>
      <c r="I76" s="3"/>
      <c r="J76" s="4" t="s">
        <v>1757</v>
      </c>
    </row>
    <row r="77">
      <c r="A77" s="4" t="s">
        <v>10862</v>
      </c>
      <c r="B77" s="13" t="s">
        <v>48</v>
      </c>
      <c r="C77" s="4">
        <v>1.0</v>
      </c>
      <c r="D77" s="3"/>
      <c r="E77" s="3"/>
      <c r="F77" s="3"/>
      <c r="G77" s="3"/>
      <c r="H77" s="4">
        <v>13.0</v>
      </c>
      <c r="I77" s="3"/>
      <c r="J77" s="4" t="s">
        <v>1757</v>
      </c>
    </row>
    <row r="78">
      <c r="A78" s="4" t="s">
        <v>10863</v>
      </c>
      <c r="B78" s="13" t="s">
        <v>48</v>
      </c>
      <c r="C78" s="4">
        <v>1.0</v>
      </c>
      <c r="D78" s="3"/>
      <c r="E78" s="3"/>
      <c r="F78" s="3"/>
      <c r="G78" s="3"/>
      <c r="H78" s="4">
        <v>13.0</v>
      </c>
      <c r="I78" s="3"/>
      <c r="J78" s="4" t="s">
        <v>1757</v>
      </c>
    </row>
    <row r="79">
      <c r="A79" s="4" t="s">
        <v>10864</v>
      </c>
      <c r="B79" s="13" t="s">
        <v>48</v>
      </c>
      <c r="C79" s="4">
        <v>2.0</v>
      </c>
      <c r="D79" s="3"/>
      <c r="E79" s="4">
        <v>2.0</v>
      </c>
      <c r="F79" s="3"/>
      <c r="G79" s="3"/>
      <c r="H79" s="4">
        <v>13.0</v>
      </c>
      <c r="I79" s="3"/>
      <c r="J79" s="4" t="s">
        <v>1757</v>
      </c>
    </row>
    <row r="80">
      <c r="A80" s="4" t="s">
        <v>10865</v>
      </c>
      <c r="B80" s="13" t="s">
        <v>43</v>
      </c>
      <c r="D80" s="3"/>
      <c r="E80" s="3"/>
      <c r="F80" s="3"/>
      <c r="G80" s="3"/>
      <c r="H80" s="3"/>
      <c r="I80" s="3"/>
      <c r="J80" s="4" t="s">
        <v>1757</v>
      </c>
    </row>
    <row r="81">
      <c r="A81" s="4" t="s">
        <v>10866</v>
      </c>
      <c r="B81" s="13" t="s">
        <v>43</v>
      </c>
      <c r="D81" s="3"/>
      <c r="E81" s="3"/>
      <c r="F81" s="3"/>
      <c r="G81" s="3"/>
      <c r="H81" s="3"/>
      <c r="I81" s="3"/>
      <c r="J81" s="4" t="s">
        <v>1757</v>
      </c>
      <c r="K81" s="4" t="s">
        <v>1757</v>
      </c>
    </row>
    <row r="82">
      <c r="A82" s="4" t="s">
        <v>10867</v>
      </c>
      <c r="B82" s="13" t="s">
        <v>43</v>
      </c>
      <c r="D82" s="3"/>
      <c r="E82" s="3"/>
      <c r="F82" s="3"/>
      <c r="G82" s="3"/>
      <c r="H82" s="3"/>
      <c r="I82" s="3"/>
      <c r="J82" s="4" t="s">
        <v>1757</v>
      </c>
      <c r="K82" s="4" t="s">
        <v>1757</v>
      </c>
    </row>
    <row r="83">
      <c r="A83" s="4" t="s">
        <v>10868</v>
      </c>
      <c r="B83" s="13" t="s">
        <v>43</v>
      </c>
      <c r="D83" s="3"/>
      <c r="E83" s="3"/>
      <c r="F83" s="3"/>
      <c r="G83" s="3"/>
      <c r="H83" s="3"/>
      <c r="I83" s="3"/>
      <c r="J83" s="4" t="s">
        <v>1757</v>
      </c>
      <c r="K83" s="4" t="s">
        <v>1757</v>
      </c>
    </row>
    <row r="84">
      <c r="A84" s="4" t="s">
        <v>10869</v>
      </c>
      <c r="B84" s="13" t="s">
        <v>43</v>
      </c>
      <c r="D84" s="3"/>
      <c r="E84" s="3"/>
      <c r="F84" s="3"/>
      <c r="G84" s="3"/>
      <c r="H84" s="3"/>
      <c r="I84" s="3"/>
      <c r="J84" s="4" t="s">
        <v>1757</v>
      </c>
      <c r="K84" s="4" t="s">
        <v>1757</v>
      </c>
    </row>
    <row r="85">
      <c r="A85" s="4" t="s">
        <v>10870</v>
      </c>
      <c r="B85" s="13" t="s">
        <v>43</v>
      </c>
      <c r="D85" s="3"/>
      <c r="E85" s="3"/>
      <c r="F85" s="3"/>
      <c r="G85" s="3"/>
      <c r="H85" s="3"/>
      <c r="I85" s="3"/>
      <c r="J85" s="4" t="s">
        <v>1757</v>
      </c>
      <c r="K85" s="4" t="s">
        <v>1757</v>
      </c>
    </row>
    <row r="86">
      <c r="A86" s="4" t="s">
        <v>10871</v>
      </c>
      <c r="B86" s="13" t="s">
        <v>43</v>
      </c>
      <c r="D86" s="3"/>
      <c r="E86" s="3"/>
      <c r="F86" s="3"/>
      <c r="G86" s="3"/>
      <c r="H86" s="3"/>
      <c r="I86" s="3"/>
      <c r="J86" s="4" t="s">
        <v>1757</v>
      </c>
      <c r="K86" s="4" t="s">
        <v>1757</v>
      </c>
    </row>
    <row r="87">
      <c r="A87" s="4" t="s">
        <v>10872</v>
      </c>
      <c r="B87" s="13" t="s">
        <v>43</v>
      </c>
      <c r="D87" s="3"/>
      <c r="E87" s="3"/>
      <c r="F87" s="3"/>
      <c r="G87" s="3"/>
      <c r="H87" s="3"/>
      <c r="I87" s="3"/>
      <c r="J87" s="4" t="s">
        <v>1757</v>
      </c>
      <c r="K87" s="4" t="s">
        <v>1757</v>
      </c>
    </row>
    <row r="88">
      <c r="A88" s="4" t="s">
        <v>10873</v>
      </c>
      <c r="B88" s="13" t="s">
        <v>43</v>
      </c>
      <c r="D88" s="3"/>
      <c r="E88" s="3"/>
      <c r="F88" s="3"/>
      <c r="G88" s="3"/>
      <c r="H88" s="3"/>
      <c r="I88" s="3"/>
      <c r="J88" s="4" t="s">
        <v>1757</v>
      </c>
    </row>
    <row r="89">
      <c r="A89" s="4" t="s">
        <v>10874</v>
      </c>
      <c r="B89" s="13" t="s">
        <v>43</v>
      </c>
      <c r="D89" s="3"/>
      <c r="E89" s="3"/>
      <c r="F89" s="3"/>
      <c r="G89" s="3"/>
      <c r="H89" s="3"/>
      <c r="I89" s="3"/>
      <c r="J89" s="4" t="s">
        <v>1757</v>
      </c>
    </row>
    <row r="90">
      <c r="A90" s="4" t="s">
        <v>10875</v>
      </c>
      <c r="B90" s="13" t="s">
        <v>43</v>
      </c>
      <c r="D90" s="3"/>
      <c r="E90" s="3"/>
      <c r="F90" s="3"/>
      <c r="G90" s="3"/>
      <c r="H90" s="3"/>
      <c r="I90" s="3"/>
      <c r="J90" s="4" t="s">
        <v>1757</v>
      </c>
    </row>
    <row r="91">
      <c r="A91" s="4" t="s">
        <v>10876</v>
      </c>
      <c r="B91" s="13" t="s">
        <v>43</v>
      </c>
      <c r="D91" s="3"/>
      <c r="E91" s="3"/>
      <c r="F91" s="3"/>
      <c r="G91" s="3"/>
      <c r="H91" s="3"/>
      <c r="I91" s="3"/>
      <c r="J91" s="4" t="s">
        <v>1757</v>
      </c>
    </row>
    <row r="92">
      <c r="A92" s="4" t="s">
        <v>10877</v>
      </c>
      <c r="B92" s="13" t="s">
        <v>43</v>
      </c>
      <c r="D92" s="3"/>
      <c r="E92" s="3"/>
      <c r="F92" s="3"/>
      <c r="G92" s="3"/>
      <c r="H92" s="3"/>
      <c r="I92" s="3"/>
      <c r="J92" s="4" t="s">
        <v>1757</v>
      </c>
    </row>
    <row r="93">
      <c r="A93" s="4" t="s">
        <v>10878</v>
      </c>
      <c r="B93" s="13" t="s">
        <v>43</v>
      </c>
      <c r="D93" s="3"/>
      <c r="E93" s="3"/>
      <c r="F93" s="3"/>
      <c r="G93" s="3"/>
      <c r="H93" s="3"/>
      <c r="I93" s="3"/>
      <c r="J93" s="4" t="s">
        <v>1757</v>
      </c>
    </row>
    <row r="94">
      <c r="A94" s="4" t="s">
        <v>10879</v>
      </c>
      <c r="B94" s="13" t="s">
        <v>43</v>
      </c>
      <c r="D94" s="3"/>
      <c r="E94" s="3"/>
      <c r="F94" s="3"/>
      <c r="G94" s="3"/>
      <c r="H94" s="3"/>
      <c r="I94" s="3"/>
      <c r="J94" s="4" t="s">
        <v>1757</v>
      </c>
    </row>
    <row r="95">
      <c r="A95" s="4" t="s">
        <v>10880</v>
      </c>
      <c r="B95" s="13" t="s">
        <v>43</v>
      </c>
      <c r="D95" s="3"/>
      <c r="E95" s="3"/>
      <c r="F95" s="3"/>
      <c r="G95" s="3"/>
      <c r="H95" s="3"/>
      <c r="I95" s="3"/>
      <c r="J95" s="4" t="s">
        <v>1757</v>
      </c>
    </row>
    <row r="96">
      <c r="A96" s="4" t="s">
        <v>10881</v>
      </c>
      <c r="B96" s="13" t="s">
        <v>43</v>
      </c>
      <c r="D96" s="3"/>
      <c r="E96" s="3"/>
      <c r="F96" s="3"/>
      <c r="G96" s="3"/>
      <c r="H96" s="3"/>
      <c r="I96" s="3"/>
      <c r="J96" s="4" t="s">
        <v>1757</v>
      </c>
    </row>
    <row r="97">
      <c r="A97" s="4" t="s">
        <v>10882</v>
      </c>
      <c r="B97" s="13" t="s">
        <v>43</v>
      </c>
      <c r="D97" s="3"/>
      <c r="E97" s="3"/>
      <c r="F97" s="3"/>
      <c r="G97" s="3"/>
      <c r="H97" s="3"/>
      <c r="I97" s="3"/>
      <c r="J97" s="4" t="s">
        <v>1757</v>
      </c>
    </row>
    <row r="98">
      <c r="A98" s="4" t="s">
        <v>10883</v>
      </c>
      <c r="B98" s="13" t="s">
        <v>43</v>
      </c>
      <c r="D98" s="3"/>
      <c r="E98" s="3"/>
      <c r="F98" s="3"/>
      <c r="G98" s="3"/>
      <c r="H98" s="3"/>
      <c r="I98" s="3"/>
      <c r="J98" s="4" t="s">
        <v>1757</v>
      </c>
    </row>
    <row r="99">
      <c r="A99" s="4" t="s">
        <v>10884</v>
      </c>
      <c r="B99" s="13" t="s">
        <v>43</v>
      </c>
      <c r="D99" s="3"/>
      <c r="E99" s="3"/>
      <c r="F99" s="3"/>
      <c r="G99" s="3"/>
      <c r="H99" s="3"/>
      <c r="I99" s="3"/>
      <c r="J99" s="4" t="s">
        <v>1757</v>
      </c>
    </row>
    <row r="100">
      <c r="A100" s="4" t="s">
        <v>10885</v>
      </c>
      <c r="B100" s="13" t="s">
        <v>43</v>
      </c>
      <c r="D100" s="3"/>
      <c r="E100" s="3"/>
      <c r="F100" s="3"/>
      <c r="G100" s="3"/>
      <c r="H100" s="3"/>
      <c r="I100" s="3"/>
    </row>
    <row r="101">
      <c r="A101" s="4" t="s">
        <v>10886</v>
      </c>
      <c r="B101" s="13" t="s">
        <v>43</v>
      </c>
      <c r="D101" s="3"/>
      <c r="E101" s="3"/>
      <c r="F101" s="3"/>
      <c r="G101" s="3"/>
      <c r="H101" s="3"/>
      <c r="I101" s="3"/>
    </row>
    <row r="102">
      <c r="A102" s="4" t="s">
        <v>10887</v>
      </c>
      <c r="B102" s="13" t="s">
        <v>43</v>
      </c>
      <c r="D102" s="3"/>
      <c r="E102" s="3"/>
      <c r="F102" s="3"/>
      <c r="G102" s="3"/>
      <c r="H102" s="3"/>
      <c r="I102" s="3"/>
    </row>
    <row r="103">
      <c r="A103" s="4" t="s">
        <v>10888</v>
      </c>
      <c r="B103" s="13" t="s">
        <v>43</v>
      </c>
      <c r="D103" s="3"/>
      <c r="E103" s="3"/>
      <c r="F103" s="3"/>
      <c r="G103" s="3"/>
      <c r="H103" s="3"/>
      <c r="I103" s="3"/>
    </row>
    <row r="104">
      <c r="A104" s="4" t="s">
        <v>10889</v>
      </c>
      <c r="B104" s="13" t="s">
        <v>43</v>
      </c>
      <c r="D104" s="3"/>
      <c r="E104" s="3"/>
      <c r="F104" s="3"/>
      <c r="G104" s="3"/>
      <c r="H104" s="3"/>
      <c r="I104" s="3"/>
    </row>
    <row r="105">
      <c r="A105" s="4" t="s">
        <v>10890</v>
      </c>
      <c r="B105" s="13" t="s">
        <v>43</v>
      </c>
      <c r="D105" s="3"/>
      <c r="E105" s="3"/>
      <c r="F105" s="3"/>
      <c r="G105" s="3"/>
      <c r="H105" s="3"/>
      <c r="I105" s="3"/>
    </row>
    <row r="106">
      <c r="A106" s="4" t="s">
        <v>10891</v>
      </c>
      <c r="B106" s="13" t="s">
        <v>43</v>
      </c>
      <c r="D106" s="3"/>
      <c r="E106" s="3"/>
      <c r="F106" s="3"/>
      <c r="G106" s="3"/>
      <c r="H106" s="3"/>
      <c r="I106" s="3"/>
    </row>
    <row r="107">
      <c r="A107" s="4" t="s">
        <v>10892</v>
      </c>
      <c r="B107" s="13" t="s">
        <v>43</v>
      </c>
      <c r="D107" s="3"/>
      <c r="E107" s="3"/>
      <c r="F107" s="3"/>
      <c r="G107" s="3"/>
      <c r="H107" s="3"/>
      <c r="I107" s="3"/>
    </row>
    <row r="108">
      <c r="A108" s="4" t="s">
        <v>10893</v>
      </c>
      <c r="B108" s="13" t="s">
        <v>43</v>
      </c>
      <c r="D108" s="3"/>
      <c r="E108" s="3"/>
      <c r="F108" s="3"/>
      <c r="G108" s="3"/>
      <c r="H108" s="3"/>
      <c r="I108" s="3"/>
    </row>
    <row r="109">
      <c r="A109" s="4" t="s">
        <v>10894</v>
      </c>
      <c r="B109" s="13" t="s">
        <v>43</v>
      </c>
      <c r="D109" s="3"/>
      <c r="E109" s="3"/>
      <c r="F109" s="3"/>
      <c r="G109" s="3"/>
      <c r="H109" s="3"/>
      <c r="I109" s="3"/>
    </row>
    <row r="110">
      <c r="A110" s="4" t="s">
        <v>10895</v>
      </c>
      <c r="B110" s="13" t="s">
        <v>43</v>
      </c>
      <c r="D110" s="3"/>
      <c r="E110" s="3"/>
      <c r="F110" s="3"/>
      <c r="G110" s="3"/>
      <c r="H110" s="3"/>
      <c r="I110" s="3"/>
    </row>
    <row r="111">
      <c r="A111" s="4" t="s">
        <v>10896</v>
      </c>
      <c r="B111" s="13" t="s">
        <v>43</v>
      </c>
      <c r="D111" s="3"/>
      <c r="E111" s="3"/>
      <c r="F111" s="3"/>
      <c r="G111" s="3"/>
      <c r="H111" s="3"/>
      <c r="I111" s="3"/>
    </row>
    <row r="112">
      <c r="A112" s="4" t="s">
        <v>10897</v>
      </c>
      <c r="B112" s="13" t="s">
        <v>43</v>
      </c>
      <c r="D112" s="3"/>
      <c r="E112" s="3"/>
      <c r="F112" s="3"/>
      <c r="G112" s="3"/>
      <c r="H112" s="3"/>
      <c r="I112" s="3"/>
      <c r="J112" s="4" t="s">
        <v>1757</v>
      </c>
    </row>
    <row r="113">
      <c r="A113" s="4" t="s">
        <v>10898</v>
      </c>
      <c r="B113" s="19" t="s">
        <v>48</v>
      </c>
      <c r="C113" s="4">
        <v>1.0</v>
      </c>
      <c r="D113" s="3"/>
      <c r="E113" s="3"/>
      <c r="F113" s="3"/>
      <c r="G113" s="3"/>
      <c r="H113" s="4">
        <v>13.0</v>
      </c>
      <c r="I113" s="3"/>
      <c r="J113" s="4" t="s">
        <v>1757</v>
      </c>
    </row>
    <row r="114">
      <c r="A114" s="4" t="s">
        <v>10899</v>
      </c>
      <c r="B114" s="19" t="s">
        <v>48</v>
      </c>
      <c r="C114" s="4">
        <v>1.0</v>
      </c>
      <c r="D114" s="3"/>
      <c r="E114" s="3"/>
      <c r="F114" s="3"/>
      <c r="G114" s="3"/>
      <c r="H114" s="4">
        <v>13.0</v>
      </c>
      <c r="I114" s="3"/>
      <c r="J114" s="4" t="s">
        <v>1757</v>
      </c>
    </row>
    <row r="115">
      <c r="A115" s="4" t="s">
        <v>10900</v>
      </c>
      <c r="B115" s="19" t="s">
        <v>48</v>
      </c>
      <c r="C115" s="4">
        <v>2.0</v>
      </c>
      <c r="D115" s="3"/>
      <c r="E115" s="4">
        <v>2.0</v>
      </c>
      <c r="F115" s="3"/>
      <c r="G115" s="3"/>
      <c r="H115" s="4">
        <v>13.0</v>
      </c>
      <c r="I115" s="3"/>
      <c r="J115" s="4" t="s">
        <v>1757</v>
      </c>
    </row>
    <row r="116">
      <c r="A116" s="4" t="s">
        <v>10901</v>
      </c>
      <c r="B116" s="19" t="s">
        <v>48</v>
      </c>
      <c r="C116" s="4">
        <v>2.0</v>
      </c>
      <c r="D116" s="3"/>
      <c r="E116" s="4">
        <v>2.0</v>
      </c>
      <c r="F116" s="3"/>
      <c r="G116" s="3"/>
      <c r="H116" s="4">
        <v>13.0</v>
      </c>
      <c r="I116" s="3"/>
      <c r="J116" s="4" t="s">
        <v>1757</v>
      </c>
    </row>
    <row r="117">
      <c r="A117" s="4" t="s">
        <v>10902</v>
      </c>
      <c r="B117" s="19" t="s">
        <v>48</v>
      </c>
      <c r="C117" s="4">
        <v>2.0</v>
      </c>
      <c r="D117" s="3"/>
      <c r="E117" s="4">
        <v>2.0</v>
      </c>
      <c r="F117" s="3"/>
      <c r="G117" s="3"/>
      <c r="H117" s="4">
        <v>13.0</v>
      </c>
      <c r="I117" s="3"/>
      <c r="J117" s="4" t="s">
        <v>1757</v>
      </c>
    </row>
    <row r="118">
      <c r="A118" s="4" t="s">
        <v>10903</v>
      </c>
      <c r="B118" s="19" t="s">
        <v>48</v>
      </c>
      <c r="C118" s="4">
        <v>2.0</v>
      </c>
      <c r="D118" s="3"/>
      <c r="E118" s="4">
        <v>2.0</v>
      </c>
      <c r="F118" s="3"/>
      <c r="G118" s="3"/>
      <c r="H118" s="4">
        <v>13.0</v>
      </c>
      <c r="I118" s="3"/>
      <c r="J118" s="4" t="s">
        <v>1757</v>
      </c>
    </row>
    <row r="119">
      <c r="A119" s="4" t="s">
        <v>10904</v>
      </c>
      <c r="B119" s="19" t="s">
        <v>48</v>
      </c>
      <c r="C119" s="4">
        <v>2.0</v>
      </c>
      <c r="D119" s="3"/>
      <c r="E119" s="4">
        <v>2.0</v>
      </c>
      <c r="F119" s="3"/>
      <c r="G119" s="3"/>
      <c r="H119" s="4">
        <v>13.0</v>
      </c>
      <c r="I119" s="3"/>
      <c r="J119" s="4" t="s">
        <v>1757</v>
      </c>
      <c r="K119" s="4" t="s">
        <v>1757</v>
      </c>
    </row>
    <row r="120">
      <c r="A120" s="4" t="s">
        <v>10905</v>
      </c>
      <c r="B120" s="19" t="s">
        <v>48</v>
      </c>
      <c r="C120" s="4">
        <v>2.0</v>
      </c>
      <c r="D120" s="3"/>
      <c r="E120" s="4">
        <v>2.0</v>
      </c>
      <c r="F120" s="3"/>
      <c r="G120" s="3"/>
      <c r="H120" s="4">
        <v>13.0</v>
      </c>
      <c r="I120" s="3"/>
      <c r="J120" s="4" t="s">
        <v>1757</v>
      </c>
      <c r="K120" s="4" t="s">
        <v>1757</v>
      </c>
    </row>
    <row r="121">
      <c r="A121" s="4" t="s">
        <v>10906</v>
      </c>
      <c r="B121" s="19" t="s">
        <v>48</v>
      </c>
      <c r="C121" s="4">
        <v>2.0</v>
      </c>
      <c r="D121" s="3"/>
      <c r="E121" s="4">
        <v>2.0</v>
      </c>
      <c r="F121" s="3"/>
      <c r="G121" s="3"/>
      <c r="H121" s="4">
        <v>13.0</v>
      </c>
      <c r="I121" s="3"/>
      <c r="J121" s="4" t="s">
        <v>1757</v>
      </c>
    </row>
    <row r="122">
      <c r="A122" s="4" t="s">
        <v>10907</v>
      </c>
      <c r="B122" s="19" t="s">
        <v>48</v>
      </c>
      <c r="C122" s="4">
        <v>2.0</v>
      </c>
      <c r="D122" s="3"/>
      <c r="E122" s="4">
        <v>2.0</v>
      </c>
      <c r="F122" s="3"/>
      <c r="G122" s="3"/>
      <c r="H122" s="4">
        <v>13.0</v>
      </c>
      <c r="I122" s="3"/>
      <c r="J122" s="4" t="s">
        <v>1757</v>
      </c>
    </row>
    <row r="123">
      <c r="A123" s="4" t="s">
        <v>10908</v>
      </c>
      <c r="B123" s="19" t="s">
        <v>48</v>
      </c>
      <c r="C123" s="4">
        <v>3.0</v>
      </c>
      <c r="D123" s="3"/>
      <c r="E123" s="4">
        <v>2.0</v>
      </c>
      <c r="F123" s="4">
        <v>9.0</v>
      </c>
      <c r="G123" s="3"/>
      <c r="H123" s="4">
        <v>13.0</v>
      </c>
      <c r="I123" s="3"/>
      <c r="J123" s="4" t="s">
        <v>1757</v>
      </c>
    </row>
    <row r="124">
      <c r="A124" s="4" t="s">
        <v>10909</v>
      </c>
      <c r="B124" s="19" t="s">
        <v>48</v>
      </c>
      <c r="C124" s="4">
        <v>4.0</v>
      </c>
      <c r="D124" s="4">
        <v>1.0</v>
      </c>
      <c r="E124" s="4">
        <v>2.0</v>
      </c>
      <c r="F124" s="4">
        <v>9.0</v>
      </c>
      <c r="G124" s="3"/>
      <c r="H124" s="4">
        <v>13.0</v>
      </c>
      <c r="I124" s="3"/>
      <c r="J124" s="4" t="s">
        <v>1757</v>
      </c>
    </row>
    <row r="125">
      <c r="A125" s="4" t="s">
        <v>10910</v>
      </c>
      <c r="B125" s="19" t="s">
        <v>48</v>
      </c>
      <c r="C125" s="4">
        <v>5.0</v>
      </c>
      <c r="D125" s="4">
        <v>1.0</v>
      </c>
      <c r="E125" s="4">
        <v>2.0</v>
      </c>
      <c r="F125" s="4">
        <v>9.0</v>
      </c>
      <c r="G125" s="3"/>
      <c r="H125" s="4">
        <v>13.0</v>
      </c>
      <c r="I125" s="4">
        <v>15.0</v>
      </c>
      <c r="J125" s="4" t="s">
        <v>1757</v>
      </c>
    </row>
    <row r="126">
      <c r="A126" s="4" t="s">
        <v>10911</v>
      </c>
      <c r="B126" s="19" t="s">
        <v>48</v>
      </c>
      <c r="C126" s="4">
        <v>5.0</v>
      </c>
      <c r="D126" s="4">
        <v>1.0</v>
      </c>
      <c r="E126" s="4">
        <v>2.0</v>
      </c>
      <c r="F126" s="4">
        <v>9.0</v>
      </c>
      <c r="G126" s="3"/>
      <c r="H126" s="4">
        <v>13.0</v>
      </c>
      <c r="I126" s="4">
        <v>15.0</v>
      </c>
      <c r="J126" s="4" t="s">
        <v>1757</v>
      </c>
      <c r="K126" s="4" t="s">
        <v>1757</v>
      </c>
    </row>
    <row r="127">
      <c r="A127" s="4" t="s">
        <v>10912</v>
      </c>
      <c r="B127" s="19" t="s">
        <v>48</v>
      </c>
      <c r="C127" s="4">
        <v>5.0</v>
      </c>
      <c r="D127" s="4">
        <v>1.0</v>
      </c>
      <c r="E127" s="4">
        <v>2.0</v>
      </c>
      <c r="F127" s="4">
        <v>9.0</v>
      </c>
      <c r="G127" s="3"/>
      <c r="H127" s="4">
        <v>13.0</v>
      </c>
      <c r="I127" s="4">
        <v>15.0</v>
      </c>
      <c r="J127" s="4" t="s">
        <v>1757</v>
      </c>
      <c r="K127" s="4" t="s">
        <v>1757</v>
      </c>
      <c r="L127" s="4" t="s">
        <v>1757</v>
      </c>
    </row>
    <row r="128">
      <c r="A128" s="4" t="s">
        <v>10913</v>
      </c>
      <c r="B128" s="19" t="s">
        <v>48</v>
      </c>
      <c r="C128" s="4">
        <v>5.0</v>
      </c>
      <c r="D128" s="4">
        <v>1.0</v>
      </c>
      <c r="E128" s="4">
        <v>2.0</v>
      </c>
      <c r="F128" s="4">
        <v>9.0</v>
      </c>
      <c r="G128" s="3"/>
      <c r="H128" s="4">
        <v>13.0</v>
      </c>
      <c r="I128" s="4">
        <v>15.0</v>
      </c>
      <c r="J128" s="4" t="s">
        <v>1757</v>
      </c>
      <c r="K128" s="4" t="s">
        <v>1757</v>
      </c>
      <c r="L128" s="4" t="s">
        <v>1757</v>
      </c>
    </row>
    <row r="129">
      <c r="A129" s="4" t="s">
        <v>10914</v>
      </c>
      <c r="B129" s="19" t="s">
        <v>48</v>
      </c>
      <c r="C129" s="4">
        <v>5.0</v>
      </c>
      <c r="D129" s="4">
        <v>1.0</v>
      </c>
      <c r="E129" s="4">
        <v>2.0</v>
      </c>
      <c r="F129" s="4">
        <v>9.0</v>
      </c>
      <c r="G129" s="3"/>
      <c r="H129" s="4">
        <v>13.0</v>
      </c>
      <c r="I129" s="4">
        <v>15.0</v>
      </c>
      <c r="J129" s="4" t="s">
        <v>1757</v>
      </c>
      <c r="K129" s="4" t="s">
        <v>1757</v>
      </c>
      <c r="L129" s="4" t="s">
        <v>1757</v>
      </c>
    </row>
    <row r="130">
      <c r="A130" s="4" t="s">
        <v>10915</v>
      </c>
      <c r="B130" s="19" t="s">
        <v>48</v>
      </c>
      <c r="C130" s="4">
        <v>5.0</v>
      </c>
      <c r="D130" s="4">
        <v>1.0</v>
      </c>
      <c r="E130" s="4">
        <v>2.0</v>
      </c>
      <c r="F130" s="4">
        <v>9.0</v>
      </c>
      <c r="G130" s="3"/>
      <c r="H130" s="4">
        <v>13.0</v>
      </c>
      <c r="I130" s="4">
        <v>15.0</v>
      </c>
      <c r="J130" s="4" t="s">
        <v>1757</v>
      </c>
      <c r="K130" s="4" t="s">
        <v>1757</v>
      </c>
      <c r="L130" s="4" t="s">
        <v>1757</v>
      </c>
    </row>
    <row r="131">
      <c r="A131" s="4" t="s">
        <v>10916</v>
      </c>
      <c r="B131" s="19" t="s">
        <v>48</v>
      </c>
      <c r="C131" s="4">
        <v>4.0</v>
      </c>
      <c r="D131" s="3"/>
      <c r="E131" s="4">
        <v>2.0</v>
      </c>
      <c r="F131" s="4">
        <v>9.0</v>
      </c>
      <c r="G131" s="3"/>
      <c r="H131" s="4">
        <v>13.0</v>
      </c>
      <c r="I131" s="4">
        <v>15.0</v>
      </c>
      <c r="J131" s="4" t="s">
        <v>1757</v>
      </c>
      <c r="K131" s="4" t="s">
        <v>1757</v>
      </c>
    </row>
    <row r="132">
      <c r="A132" s="4" t="s">
        <v>10917</v>
      </c>
      <c r="B132" s="19" t="s">
        <v>48</v>
      </c>
      <c r="C132" s="4">
        <v>4.0</v>
      </c>
      <c r="D132" s="3"/>
      <c r="E132" s="4">
        <v>2.0</v>
      </c>
      <c r="F132" s="4">
        <v>9.0</v>
      </c>
      <c r="G132" s="3"/>
      <c r="H132" s="4">
        <v>13.0</v>
      </c>
      <c r="I132" s="4">
        <v>15.0</v>
      </c>
      <c r="J132" s="4" t="s">
        <v>1757</v>
      </c>
      <c r="K132" s="4" t="s">
        <v>1757</v>
      </c>
    </row>
    <row r="133">
      <c r="A133" s="4" t="s">
        <v>10918</v>
      </c>
      <c r="B133" s="19" t="s">
        <v>48</v>
      </c>
      <c r="C133" s="4">
        <v>4.0</v>
      </c>
      <c r="D133" s="3"/>
      <c r="E133" s="4">
        <v>2.0</v>
      </c>
      <c r="F133" s="4">
        <v>9.0</v>
      </c>
      <c r="G133" s="3"/>
      <c r="H133" s="4">
        <v>13.0</v>
      </c>
      <c r="I133" s="4">
        <v>15.0</v>
      </c>
      <c r="J133" s="4" t="s">
        <v>1757</v>
      </c>
      <c r="K133" s="4" t="s">
        <v>1757</v>
      </c>
    </row>
    <row r="134">
      <c r="A134" s="4" t="s">
        <v>10919</v>
      </c>
      <c r="B134" s="19" t="s">
        <v>48</v>
      </c>
      <c r="C134" s="4">
        <v>4.0</v>
      </c>
      <c r="D134" s="3"/>
      <c r="E134" s="4">
        <v>2.0</v>
      </c>
      <c r="F134" s="4">
        <v>9.0</v>
      </c>
      <c r="G134" s="3"/>
      <c r="H134" s="4">
        <v>13.0</v>
      </c>
      <c r="I134" s="4">
        <v>15.0</v>
      </c>
      <c r="J134" s="4" t="s">
        <v>1757</v>
      </c>
      <c r="K134" s="4" t="s">
        <v>1757</v>
      </c>
    </row>
    <row r="135">
      <c r="A135" s="4" t="s">
        <v>10920</v>
      </c>
      <c r="B135" s="19" t="s">
        <v>48</v>
      </c>
      <c r="C135" s="4">
        <v>3.0</v>
      </c>
      <c r="D135" s="3"/>
      <c r="E135" s="4">
        <v>2.0</v>
      </c>
      <c r="F135" s="4">
        <v>9.0</v>
      </c>
      <c r="G135" s="3"/>
      <c r="H135" s="4">
        <v>13.0</v>
      </c>
      <c r="I135" s="3"/>
      <c r="J135" s="4" t="s">
        <v>1757</v>
      </c>
      <c r="K135" s="4" t="s">
        <v>1757</v>
      </c>
    </row>
    <row r="136">
      <c r="A136" s="4" t="s">
        <v>10921</v>
      </c>
      <c r="B136" s="19" t="s">
        <v>48</v>
      </c>
      <c r="C136" s="4">
        <v>3.0</v>
      </c>
      <c r="D136" s="3"/>
      <c r="E136" s="4">
        <v>2.0</v>
      </c>
      <c r="F136" s="4">
        <v>9.0</v>
      </c>
      <c r="G136" s="3"/>
      <c r="H136" s="4">
        <v>13.0</v>
      </c>
      <c r="I136" s="3"/>
      <c r="J136" s="4" t="s">
        <v>1757</v>
      </c>
      <c r="K136" s="4" t="s">
        <v>1757</v>
      </c>
    </row>
    <row r="137">
      <c r="A137" s="4" t="s">
        <v>10922</v>
      </c>
      <c r="B137" s="19" t="s">
        <v>48</v>
      </c>
      <c r="C137" s="4">
        <v>3.0</v>
      </c>
      <c r="D137" s="3"/>
      <c r="E137" s="3"/>
      <c r="F137" s="4">
        <v>9.0</v>
      </c>
      <c r="G137" s="4">
        <v>10.0</v>
      </c>
      <c r="H137" s="4">
        <v>13.0</v>
      </c>
      <c r="I137" s="3"/>
      <c r="J137" s="4" t="s">
        <v>1757</v>
      </c>
      <c r="K137" s="4" t="s">
        <v>1757</v>
      </c>
    </row>
    <row r="138">
      <c r="A138" s="4" t="s">
        <v>10923</v>
      </c>
      <c r="B138" s="19" t="s">
        <v>48</v>
      </c>
      <c r="C138" s="4">
        <v>3.0</v>
      </c>
      <c r="D138" s="3"/>
      <c r="E138" s="3"/>
      <c r="F138" s="4">
        <v>9.0</v>
      </c>
      <c r="G138" s="3"/>
      <c r="H138" s="4">
        <v>13.0</v>
      </c>
      <c r="I138" s="4">
        <v>15.0</v>
      </c>
      <c r="J138" s="4" t="s">
        <v>1757</v>
      </c>
      <c r="K138" s="4" t="s">
        <v>1757</v>
      </c>
    </row>
    <row r="139">
      <c r="A139" s="4" t="s">
        <v>10924</v>
      </c>
      <c r="B139" s="19" t="s">
        <v>48</v>
      </c>
      <c r="C139" s="4">
        <v>3.0</v>
      </c>
      <c r="D139" s="3"/>
      <c r="E139" s="3"/>
      <c r="F139" s="4">
        <v>9.0</v>
      </c>
      <c r="G139" s="3"/>
      <c r="H139" s="4">
        <v>13.0</v>
      </c>
      <c r="I139" s="4">
        <v>15.0</v>
      </c>
      <c r="J139" s="4" t="s">
        <v>1757</v>
      </c>
      <c r="K139" s="4" t="s">
        <v>1757</v>
      </c>
    </row>
    <row r="140">
      <c r="A140" s="4" t="s">
        <v>10925</v>
      </c>
      <c r="B140" s="19" t="s">
        <v>48</v>
      </c>
      <c r="C140" s="4">
        <v>2.0</v>
      </c>
      <c r="D140" s="3"/>
      <c r="E140" s="3"/>
      <c r="F140" s="4">
        <v>9.0</v>
      </c>
      <c r="G140" s="3"/>
      <c r="H140" s="3"/>
      <c r="I140" s="4">
        <v>15.0</v>
      </c>
      <c r="J140" s="4" t="s">
        <v>1757</v>
      </c>
      <c r="K140" s="4" t="s">
        <v>1757</v>
      </c>
    </row>
    <row r="141">
      <c r="A141" s="4" t="s">
        <v>10926</v>
      </c>
      <c r="B141" s="19" t="s">
        <v>48</v>
      </c>
      <c r="C141" s="4">
        <v>2.0</v>
      </c>
      <c r="D141" s="3"/>
      <c r="E141" s="3"/>
      <c r="F141" s="4">
        <v>9.0</v>
      </c>
      <c r="G141" s="4">
        <v>10.0</v>
      </c>
      <c r="H141" s="3"/>
      <c r="I141" s="3"/>
      <c r="J141" s="4" t="s">
        <v>1757</v>
      </c>
    </row>
    <row r="142">
      <c r="A142" s="4" t="s">
        <v>10927</v>
      </c>
      <c r="B142" s="19" t="s">
        <v>48</v>
      </c>
      <c r="C142" s="4">
        <v>2.0</v>
      </c>
      <c r="D142" s="3"/>
      <c r="E142" s="3"/>
      <c r="F142" s="4">
        <v>9.0</v>
      </c>
      <c r="G142" s="4">
        <v>10.0</v>
      </c>
      <c r="H142" s="3"/>
      <c r="I142" s="3"/>
      <c r="J142" s="4" t="s">
        <v>1757</v>
      </c>
    </row>
    <row r="143">
      <c r="A143" s="4" t="s">
        <v>10928</v>
      </c>
      <c r="B143" s="19" t="s">
        <v>48</v>
      </c>
      <c r="C143" s="4">
        <v>2.0</v>
      </c>
      <c r="D143" s="3"/>
      <c r="E143" s="3"/>
      <c r="F143" s="4">
        <v>9.0</v>
      </c>
      <c r="G143" s="4">
        <v>10.0</v>
      </c>
      <c r="H143" s="3"/>
      <c r="I143" s="3"/>
      <c r="J143" s="4" t="s">
        <v>1757</v>
      </c>
    </row>
    <row r="144">
      <c r="A144" s="4" t="s">
        <v>10929</v>
      </c>
      <c r="B144" s="19" t="s">
        <v>48</v>
      </c>
      <c r="C144" s="4">
        <v>2.0</v>
      </c>
      <c r="D144" s="3"/>
      <c r="E144" s="3"/>
      <c r="F144" s="4">
        <v>9.0</v>
      </c>
      <c r="G144" s="4">
        <v>10.0</v>
      </c>
      <c r="H144" s="3"/>
      <c r="I144" s="3"/>
      <c r="J144" s="4" t="s">
        <v>1757</v>
      </c>
    </row>
    <row r="145">
      <c r="A145" s="4" t="s">
        <v>10930</v>
      </c>
      <c r="B145" s="19" t="s">
        <v>48</v>
      </c>
      <c r="C145" s="4">
        <v>2.0</v>
      </c>
      <c r="D145" s="3"/>
      <c r="E145" s="3"/>
      <c r="F145" s="4">
        <v>9.0</v>
      </c>
      <c r="G145" s="4">
        <v>10.0</v>
      </c>
      <c r="H145" s="3"/>
      <c r="I145" s="3"/>
      <c r="J145" s="4" t="s">
        <v>1757</v>
      </c>
    </row>
    <row r="146">
      <c r="A146" s="4" t="s">
        <v>10931</v>
      </c>
      <c r="B146" s="19" t="s">
        <v>48</v>
      </c>
      <c r="C146" s="4">
        <v>2.0</v>
      </c>
      <c r="D146" s="3"/>
      <c r="E146" s="3"/>
      <c r="F146" s="4">
        <v>9.0</v>
      </c>
      <c r="G146" s="4">
        <v>10.0</v>
      </c>
      <c r="H146" s="3"/>
      <c r="I146" s="3"/>
      <c r="J146" s="4" t="s">
        <v>1757</v>
      </c>
    </row>
    <row r="147">
      <c r="A147" s="4" t="s">
        <v>10932</v>
      </c>
      <c r="B147" s="19" t="s">
        <v>48</v>
      </c>
      <c r="C147" s="4">
        <v>1.0</v>
      </c>
      <c r="D147" s="3"/>
      <c r="E147" s="3"/>
      <c r="F147" s="3"/>
      <c r="G147" s="4">
        <v>10.0</v>
      </c>
      <c r="H147" s="3"/>
      <c r="I147" s="3"/>
      <c r="J147" s="4" t="s">
        <v>1757</v>
      </c>
    </row>
    <row r="148">
      <c r="A148" s="4" t="s">
        <v>10933</v>
      </c>
      <c r="B148" s="19" t="s">
        <v>48</v>
      </c>
      <c r="C148" s="4">
        <v>1.0</v>
      </c>
      <c r="D148" s="3"/>
      <c r="E148" s="3"/>
      <c r="F148" s="3"/>
      <c r="G148" s="4">
        <v>10.0</v>
      </c>
      <c r="H148" s="3"/>
      <c r="I148" s="3"/>
      <c r="J148" s="4" t="s">
        <v>1757</v>
      </c>
    </row>
    <row r="149">
      <c r="A149" s="4" t="s">
        <v>10934</v>
      </c>
      <c r="B149" s="19" t="s">
        <v>48</v>
      </c>
      <c r="C149" s="4">
        <v>1.0</v>
      </c>
      <c r="D149" s="3"/>
      <c r="E149" s="3"/>
      <c r="F149" s="3"/>
      <c r="G149" s="4">
        <v>10.0</v>
      </c>
      <c r="H149" s="3"/>
      <c r="I149" s="3"/>
      <c r="J149" s="4" t="s">
        <v>1757</v>
      </c>
    </row>
    <row r="150">
      <c r="A150" s="4" t="s">
        <v>10935</v>
      </c>
      <c r="B150" s="19" t="s">
        <v>48</v>
      </c>
      <c r="C150" s="4">
        <v>1.0</v>
      </c>
      <c r="D150" s="3"/>
      <c r="E150" s="3"/>
      <c r="F150" s="3"/>
      <c r="G150" s="4">
        <v>10.0</v>
      </c>
      <c r="H150" s="3"/>
      <c r="I150" s="3"/>
    </row>
    <row r="151">
      <c r="A151" s="4" t="s">
        <v>10936</v>
      </c>
      <c r="B151" s="19" t="s">
        <v>48</v>
      </c>
      <c r="C151" s="4">
        <v>1.0</v>
      </c>
      <c r="D151" s="3"/>
      <c r="E151" s="3"/>
      <c r="F151" s="3"/>
      <c r="G151" s="4">
        <v>10.0</v>
      </c>
      <c r="H151" s="3"/>
      <c r="I151" s="3"/>
    </row>
    <row r="152">
      <c r="A152" s="4" t="s">
        <v>10937</v>
      </c>
      <c r="B152" s="19" t="s">
        <v>48</v>
      </c>
      <c r="C152" s="4">
        <v>1.0</v>
      </c>
      <c r="D152" s="3"/>
      <c r="E152" s="3"/>
      <c r="F152" s="3"/>
      <c r="G152" s="4">
        <v>10.0</v>
      </c>
      <c r="H152" s="3"/>
      <c r="I152" s="3"/>
    </row>
    <row r="153">
      <c r="A153" s="4" t="s">
        <v>10938</v>
      </c>
      <c r="B153" s="19" t="s">
        <v>48</v>
      </c>
      <c r="C153" s="4">
        <v>1.0</v>
      </c>
      <c r="D153" s="3"/>
      <c r="E153" s="3"/>
      <c r="F153" s="3"/>
      <c r="G153" s="4">
        <v>10.0</v>
      </c>
      <c r="H153" s="3"/>
      <c r="I153" s="3"/>
    </row>
    <row r="154">
      <c r="A154" s="4" t="s">
        <v>10939</v>
      </c>
      <c r="B154" s="19" t="s">
        <v>48</v>
      </c>
      <c r="C154" s="4">
        <v>1.0</v>
      </c>
      <c r="D154" s="3"/>
      <c r="E154" s="3"/>
      <c r="F154" s="3"/>
      <c r="G154" s="4">
        <v>10.0</v>
      </c>
      <c r="H154" s="3"/>
      <c r="I154" s="3"/>
    </row>
    <row r="155">
      <c r="A155" s="4" t="s">
        <v>10940</v>
      </c>
      <c r="B155" s="19" t="s">
        <v>48</v>
      </c>
      <c r="C155" s="4">
        <v>1.0</v>
      </c>
      <c r="D155" s="3"/>
      <c r="E155" s="3"/>
      <c r="F155" s="3"/>
      <c r="G155" s="4">
        <v>10.0</v>
      </c>
      <c r="H155" s="3"/>
      <c r="I155" s="3"/>
    </row>
    <row r="156">
      <c r="A156" s="4" t="s">
        <v>10941</v>
      </c>
      <c r="B156" s="19" t="s">
        <v>48</v>
      </c>
      <c r="C156" s="4">
        <v>1.0</v>
      </c>
      <c r="D156" s="3"/>
      <c r="E156" s="3"/>
      <c r="F156" s="3"/>
      <c r="G156" s="4">
        <v>10.0</v>
      </c>
      <c r="H156" s="3"/>
      <c r="I156" s="3"/>
    </row>
    <row r="157">
      <c r="A157" s="4" t="s">
        <v>10942</v>
      </c>
      <c r="B157" s="19" t="s">
        <v>48</v>
      </c>
      <c r="C157" s="4">
        <v>1.0</v>
      </c>
      <c r="D157" s="3"/>
      <c r="E157" s="3"/>
      <c r="F157" s="3"/>
      <c r="G157" s="4">
        <v>10.0</v>
      </c>
      <c r="H157" s="3"/>
      <c r="I157" s="3"/>
    </row>
    <row r="158">
      <c r="A158" s="4" t="s">
        <v>10943</v>
      </c>
      <c r="B158" s="19" t="s">
        <v>48</v>
      </c>
      <c r="C158" s="4">
        <v>1.0</v>
      </c>
      <c r="D158" s="3"/>
      <c r="E158" s="3"/>
      <c r="F158" s="3"/>
      <c r="G158" s="4">
        <v>10.0</v>
      </c>
      <c r="H158" s="3"/>
      <c r="I158" s="3"/>
    </row>
    <row r="159">
      <c r="A159" s="4" t="s">
        <v>10944</v>
      </c>
      <c r="B159" s="19" t="s">
        <v>48</v>
      </c>
      <c r="C159" s="4">
        <v>1.0</v>
      </c>
      <c r="D159" s="3"/>
      <c r="E159" s="3"/>
      <c r="F159" s="3"/>
      <c r="G159" s="4">
        <v>10.0</v>
      </c>
      <c r="H159" s="3"/>
      <c r="I159" s="3"/>
    </row>
    <row r="160">
      <c r="A160" s="4" t="s">
        <v>10945</v>
      </c>
      <c r="B160" s="19" t="s">
        <v>48</v>
      </c>
      <c r="C160" s="4">
        <v>1.0</v>
      </c>
      <c r="D160" s="3"/>
      <c r="E160" s="3"/>
      <c r="F160" s="3"/>
      <c r="G160" s="4">
        <v>10.0</v>
      </c>
      <c r="H160" s="3"/>
      <c r="I160" s="3"/>
    </row>
    <row r="161">
      <c r="A161" s="4" t="s">
        <v>10946</v>
      </c>
      <c r="B161" s="13" t="s">
        <v>43</v>
      </c>
      <c r="D161" s="3"/>
      <c r="E161" s="3"/>
      <c r="F161" s="3"/>
      <c r="G161" s="3"/>
      <c r="H161" s="3"/>
      <c r="I161" s="3"/>
    </row>
    <row r="162">
      <c r="A162" s="4" t="s">
        <v>10947</v>
      </c>
      <c r="B162" s="13" t="s">
        <v>43</v>
      </c>
      <c r="D162" s="3"/>
      <c r="E162" s="3"/>
      <c r="F162" s="3"/>
      <c r="G162" s="3"/>
      <c r="H162" s="3"/>
      <c r="I162" s="3"/>
    </row>
    <row r="163">
      <c r="A163" s="4" t="s">
        <v>10948</v>
      </c>
      <c r="B163" s="13" t="s">
        <v>43</v>
      </c>
      <c r="D163" s="3"/>
      <c r="E163" s="3"/>
      <c r="F163" s="3"/>
      <c r="G163" s="3"/>
      <c r="H163" s="3"/>
      <c r="I163" s="3"/>
    </row>
    <row r="164">
      <c r="A164" s="4" t="s">
        <v>10949</v>
      </c>
      <c r="B164" s="13" t="s">
        <v>43</v>
      </c>
      <c r="D164" s="3"/>
      <c r="E164" s="3"/>
      <c r="F164" s="3"/>
      <c r="G164" s="3"/>
      <c r="H164" s="3"/>
      <c r="I164" s="3"/>
    </row>
    <row r="165">
      <c r="A165" s="4" t="s">
        <v>10950</v>
      </c>
      <c r="B165" s="13" t="s">
        <v>48</v>
      </c>
      <c r="C165" s="4">
        <v>2.0</v>
      </c>
      <c r="D165" s="4">
        <v>1.0</v>
      </c>
      <c r="E165" s="3"/>
      <c r="F165" s="3"/>
      <c r="G165" s="3"/>
      <c r="H165" s="3"/>
      <c r="I165" s="4">
        <v>15.0</v>
      </c>
      <c r="J165" s="4" t="s">
        <v>1757</v>
      </c>
      <c r="K165" s="4" t="s">
        <v>1757</v>
      </c>
    </row>
    <row r="166">
      <c r="A166" s="4" t="s">
        <v>10951</v>
      </c>
      <c r="B166" s="13" t="s">
        <v>48</v>
      </c>
      <c r="C166" s="4">
        <v>4.0</v>
      </c>
      <c r="D166" s="4">
        <v>1.0</v>
      </c>
      <c r="E166" s="3"/>
      <c r="F166" s="4">
        <v>9.0</v>
      </c>
      <c r="G166" s="3"/>
      <c r="H166" s="4">
        <v>13.0</v>
      </c>
      <c r="I166" s="4">
        <v>15.0</v>
      </c>
      <c r="J166" s="4" t="s">
        <v>1757</v>
      </c>
      <c r="K166" s="4" t="s">
        <v>1757</v>
      </c>
    </row>
    <row r="167">
      <c r="A167" s="4" t="s">
        <v>10952</v>
      </c>
      <c r="B167" s="13" t="s">
        <v>48</v>
      </c>
      <c r="C167" s="4">
        <v>4.0</v>
      </c>
      <c r="D167" s="4">
        <v>1.0</v>
      </c>
      <c r="E167" s="3"/>
      <c r="F167" s="4">
        <v>9.0</v>
      </c>
      <c r="G167" s="3"/>
      <c r="H167" s="4">
        <v>13.0</v>
      </c>
      <c r="I167" s="4">
        <v>15.0</v>
      </c>
      <c r="J167" s="4" t="s">
        <v>1757</v>
      </c>
      <c r="K167" s="4" t="s">
        <v>1757</v>
      </c>
    </row>
    <row r="168">
      <c r="A168" s="4" t="s">
        <v>10953</v>
      </c>
      <c r="B168" s="13" t="s">
        <v>48</v>
      </c>
      <c r="C168" s="4">
        <v>4.0</v>
      </c>
      <c r="D168" s="4">
        <v>1.0</v>
      </c>
      <c r="E168" s="3"/>
      <c r="F168" s="4">
        <v>9.0</v>
      </c>
      <c r="G168" s="3"/>
      <c r="H168" s="4">
        <v>13.0</v>
      </c>
      <c r="I168" s="4">
        <v>15.0</v>
      </c>
      <c r="J168" s="4" t="s">
        <v>1757</v>
      </c>
      <c r="K168" s="4" t="s">
        <v>1757</v>
      </c>
    </row>
    <row r="169">
      <c r="A169" s="4" t="s">
        <v>10954</v>
      </c>
      <c r="B169" s="13" t="s">
        <v>48</v>
      </c>
      <c r="C169" s="4">
        <v>2.0</v>
      </c>
      <c r="D169" s="3"/>
      <c r="E169" s="3"/>
      <c r="F169" s="4">
        <v>9.0</v>
      </c>
      <c r="G169" s="3"/>
      <c r="H169" s="4">
        <v>13.0</v>
      </c>
      <c r="I169" s="3"/>
      <c r="J169" s="4" t="s">
        <v>1757</v>
      </c>
      <c r="K169" s="4" t="s">
        <v>1757</v>
      </c>
    </row>
    <row r="170">
      <c r="A170" s="4" t="s">
        <v>10955</v>
      </c>
      <c r="B170" s="13" t="s">
        <v>48</v>
      </c>
      <c r="C170" s="4">
        <v>2.0</v>
      </c>
      <c r="D170" s="3"/>
      <c r="E170" s="3"/>
      <c r="F170" s="4">
        <v>9.0</v>
      </c>
      <c r="G170" s="3"/>
      <c r="H170" s="4">
        <v>13.0</v>
      </c>
      <c r="I170" s="3"/>
      <c r="J170" s="4" t="s">
        <v>1757</v>
      </c>
      <c r="K170" s="4" t="s">
        <v>1757</v>
      </c>
    </row>
    <row r="171">
      <c r="A171" s="4" t="s">
        <v>10956</v>
      </c>
      <c r="B171" s="13" t="s">
        <v>48</v>
      </c>
      <c r="C171" s="4">
        <v>2.0</v>
      </c>
      <c r="D171" s="3"/>
      <c r="E171" s="3"/>
      <c r="F171" s="4">
        <v>9.0</v>
      </c>
      <c r="G171" s="3"/>
      <c r="H171" s="4">
        <v>13.0</v>
      </c>
      <c r="I171" s="3"/>
      <c r="J171" s="4" t="s">
        <v>1757</v>
      </c>
      <c r="K171" s="4" t="s">
        <v>1757</v>
      </c>
    </row>
    <row r="172">
      <c r="A172" s="4" t="s">
        <v>10957</v>
      </c>
      <c r="B172" s="13" t="s">
        <v>48</v>
      </c>
      <c r="C172" s="4">
        <v>2.0</v>
      </c>
      <c r="D172" s="3"/>
      <c r="E172" s="3"/>
      <c r="F172" s="4">
        <v>9.0</v>
      </c>
      <c r="G172" s="3"/>
      <c r="H172" s="4">
        <v>13.0</v>
      </c>
      <c r="I172" s="3"/>
      <c r="J172" s="4" t="s">
        <v>1757</v>
      </c>
      <c r="K172" s="4" t="s">
        <v>1757</v>
      </c>
    </row>
    <row r="173">
      <c r="A173" s="4" t="s">
        <v>10958</v>
      </c>
      <c r="B173" s="13" t="s">
        <v>48</v>
      </c>
      <c r="C173" s="4">
        <v>1.0</v>
      </c>
      <c r="D173" s="3"/>
      <c r="E173" s="3"/>
      <c r="F173" s="4">
        <v>9.0</v>
      </c>
      <c r="G173" s="3"/>
      <c r="H173" s="3"/>
      <c r="I173" s="3"/>
      <c r="J173" s="4" t="s">
        <v>1757</v>
      </c>
      <c r="K173" s="4" t="s">
        <v>1757</v>
      </c>
    </row>
    <row r="174">
      <c r="A174" s="4" t="s">
        <v>10959</v>
      </c>
      <c r="B174" s="13" t="s">
        <v>48</v>
      </c>
      <c r="C174" s="4">
        <v>3.0</v>
      </c>
      <c r="D174" s="3"/>
      <c r="E174" s="4">
        <v>2.0</v>
      </c>
      <c r="F174" s="4">
        <v>9.0</v>
      </c>
      <c r="G174" s="3"/>
      <c r="H174" s="4">
        <v>13.0</v>
      </c>
      <c r="I174" s="3"/>
      <c r="J174" s="4" t="s">
        <v>1757</v>
      </c>
      <c r="K174" s="4" t="s">
        <v>1757</v>
      </c>
    </row>
    <row r="175">
      <c r="A175" s="4" t="s">
        <v>10960</v>
      </c>
      <c r="B175" s="13" t="s">
        <v>48</v>
      </c>
      <c r="C175" s="4">
        <v>3.0</v>
      </c>
      <c r="D175" s="3"/>
      <c r="E175" s="4">
        <v>2.0</v>
      </c>
      <c r="F175" s="4">
        <v>9.0</v>
      </c>
      <c r="G175" s="3"/>
      <c r="H175" s="4">
        <v>13.0</v>
      </c>
      <c r="I175" s="3"/>
      <c r="J175" s="4" t="s">
        <v>1757</v>
      </c>
      <c r="K175" s="4" t="s">
        <v>1757</v>
      </c>
    </row>
    <row r="176">
      <c r="A176" s="4" t="s">
        <v>10961</v>
      </c>
      <c r="B176" s="13" t="s">
        <v>48</v>
      </c>
      <c r="C176" s="4">
        <v>2.0</v>
      </c>
      <c r="D176" s="3"/>
      <c r="E176" s="3"/>
      <c r="F176" s="4">
        <v>9.0</v>
      </c>
      <c r="G176" s="3"/>
      <c r="H176" s="4">
        <v>13.0</v>
      </c>
      <c r="I176" s="3"/>
      <c r="J176" s="4" t="s">
        <v>1757</v>
      </c>
      <c r="K176" s="4" t="s">
        <v>1757</v>
      </c>
    </row>
    <row r="177">
      <c r="A177" s="4" t="s">
        <v>10962</v>
      </c>
      <c r="B177" s="13" t="s">
        <v>48</v>
      </c>
      <c r="C177" s="4">
        <v>2.0</v>
      </c>
      <c r="D177" s="3"/>
      <c r="E177" s="3"/>
      <c r="F177" s="4">
        <v>9.0</v>
      </c>
      <c r="G177" s="3"/>
      <c r="H177" s="4">
        <v>13.0</v>
      </c>
      <c r="I177" s="3"/>
      <c r="J177" s="4" t="s">
        <v>1757</v>
      </c>
      <c r="K177" s="4" t="s">
        <v>1757</v>
      </c>
    </row>
    <row r="178">
      <c r="A178" s="4" t="s">
        <v>10963</v>
      </c>
      <c r="B178" s="13" t="s">
        <v>48</v>
      </c>
      <c r="C178" s="4">
        <v>3.0</v>
      </c>
      <c r="D178" s="3"/>
      <c r="E178" s="4">
        <v>2.0</v>
      </c>
      <c r="F178" s="4">
        <v>9.0</v>
      </c>
      <c r="G178" s="3"/>
      <c r="H178" s="4">
        <v>13.0</v>
      </c>
      <c r="I178" s="3"/>
      <c r="J178" s="4" t="s">
        <v>1757</v>
      </c>
    </row>
    <row r="179">
      <c r="A179" s="4" t="s">
        <v>10964</v>
      </c>
      <c r="B179" s="13" t="s">
        <v>48</v>
      </c>
      <c r="C179" s="4">
        <v>3.0</v>
      </c>
      <c r="D179" s="3"/>
      <c r="E179" s="4">
        <v>2.0</v>
      </c>
      <c r="F179" s="4">
        <v>9.0</v>
      </c>
      <c r="G179" s="3"/>
      <c r="H179" s="4">
        <v>13.0</v>
      </c>
      <c r="I179" s="3"/>
      <c r="J179" s="4" t="s">
        <v>1757</v>
      </c>
    </row>
    <row r="180">
      <c r="A180" s="4" t="s">
        <v>10965</v>
      </c>
      <c r="B180" s="13" t="s">
        <v>48</v>
      </c>
      <c r="C180" s="4">
        <v>2.0</v>
      </c>
      <c r="D180" s="3"/>
      <c r="E180" s="4">
        <v>2.0</v>
      </c>
      <c r="F180" s="3"/>
      <c r="G180" s="3"/>
      <c r="H180" s="4">
        <v>13.0</v>
      </c>
      <c r="I180" s="3"/>
      <c r="J180" s="4" t="s">
        <v>1757</v>
      </c>
    </row>
    <row r="181">
      <c r="A181" s="4" t="s">
        <v>10966</v>
      </c>
      <c r="B181" s="13" t="s">
        <v>48</v>
      </c>
      <c r="C181" s="4">
        <v>2.0</v>
      </c>
      <c r="D181" s="3"/>
      <c r="E181" s="4">
        <v>2.0</v>
      </c>
      <c r="F181" s="3"/>
      <c r="G181" s="3"/>
      <c r="H181" s="4">
        <v>13.0</v>
      </c>
      <c r="I181" s="3"/>
      <c r="J181" s="4" t="s">
        <v>1757</v>
      </c>
    </row>
    <row r="182">
      <c r="A182" s="4" t="s">
        <v>10967</v>
      </c>
      <c r="B182" s="13" t="s">
        <v>48</v>
      </c>
      <c r="C182" s="4">
        <v>2.0</v>
      </c>
      <c r="D182" s="3"/>
      <c r="E182" s="4">
        <v>2.0</v>
      </c>
      <c r="F182" s="3"/>
      <c r="G182" s="3"/>
      <c r="H182" s="4">
        <v>13.0</v>
      </c>
      <c r="I182" s="3"/>
      <c r="J182" s="4" t="s">
        <v>1757</v>
      </c>
    </row>
    <row r="183">
      <c r="A183" s="4" t="s">
        <v>10968</v>
      </c>
      <c r="B183" s="13" t="s">
        <v>48</v>
      </c>
      <c r="C183" s="4">
        <v>2.0</v>
      </c>
      <c r="D183" s="3"/>
      <c r="E183" s="4">
        <v>2.0</v>
      </c>
      <c r="F183" s="3"/>
      <c r="G183" s="3"/>
      <c r="H183" s="4">
        <v>13.0</v>
      </c>
      <c r="I183" s="3"/>
      <c r="J183" s="4" t="s">
        <v>1757</v>
      </c>
    </row>
    <row r="184">
      <c r="A184" s="4" t="s">
        <v>10969</v>
      </c>
      <c r="B184" s="13" t="s">
        <v>48</v>
      </c>
      <c r="C184" s="4">
        <v>1.0</v>
      </c>
      <c r="D184" s="3"/>
      <c r="E184" s="3"/>
      <c r="F184" s="3"/>
      <c r="G184" s="3"/>
      <c r="H184" s="4">
        <v>13.0</v>
      </c>
      <c r="I184" s="3"/>
      <c r="J184" s="4" t="s">
        <v>1757</v>
      </c>
    </row>
    <row r="185">
      <c r="A185" s="4" t="s">
        <v>10970</v>
      </c>
      <c r="B185" s="13" t="s">
        <v>48</v>
      </c>
      <c r="C185" s="4">
        <v>1.0</v>
      </c>
      <c r="D185" s="3"/>
      <c r="E185" s="3"/>
      <c r="F185" s="3"/>
      <c r="G185" s="3"/>
      <c r="H185" s="4">
        <v>13.0</v>
      </c>
      <c r="I185" s="3"/>
      <c r="J185" s="4" t="s">
        <v>1757</v>
      </c>
    </row>
    <row r="186">
      <c r="A186" s="4" t="s">
        <v>10971</v>
      </c>
      <c r="B186" s="13" t="s">
        <v>48</v>
      </c>
      <c r="C186" s="4">
        <v>1.0</v>
      </c>
      <c r="D186" s="3"/>
      <c r="E186" s="3"/>
      <c r="F186" s="3"/>
      <c r="G186" s="3"/>
      <c r="H186" s="4">
        <v>13.0</v>
      </c>
      <c r="I186" s="3"/>
      <c r="J186" s="4" t="s">
        <v>1757</v>
      </c>
    </row>
    <row r="187">
      <c r="A187" s="4" t="s">
        <v>10972</v>
      </c>
      <c r="B187" s="13" t="s">
        <v>48</v>
      </c>
      <c r="C187" s="4">
        <v>1.0</v>
      </c>
      <c r="D187" s="3"/>
      <c r="E187" s="3"/>
      <c r="F187" s="3"/>
      <c r="G187" s="3"/>
      <c r="H187" s="4">
        <v>13.0</v>
      </c>
      <c r="I187" s="3"/>
      <c r="J187" s="4" t="s">
        <v>1757</v>
      </c>
    </row>
    <row r="188">
      <c r="A188" s="4" t="s">
        <v>10973</v>
      </c>
      <c r="B188" s="13" t="s">
        <v>43</v>
      </c>
      <c r="D188" s="3"/>
      <c r="E188" s="3"/>
      <c r="F188" s="3"/>
      <c r="G188" s="3"/>
      <c r="H188" s="3"/>
      <c r="I188" s="3"/>
    </row>
    <row r="189">
      <c r="A189" s="4" t="s">
        <v>10974</v>
      </c>
      <c r="B189" s="13" t="s">
        <v>43</v>
      </c>
      <c r="D189" s="3"/>
      <c r="E189" s="3"/>
      <c r="F189" s="3"/>
      <c r="G189" s="3"/>
      <c r="H189" s="3"/>
      <c r="I189" s="3"/>
      <c r="J189" s="4" t="s">
        <v>1757</v>
      </c>
    </row>
    <row r="190">
      <c r="A190" s="4" t="s">
        <v>10975</v>
      </c>
      <c r="B190" s="13" t="s">
        <v>43</v>
      </c>
      <c r="D190" s="3"/>
      <c r="E190" s="3"/>
      <c r="F190" s="3"/>
      <c r="G190" s="3"/>
      <c r="H190" s="3"/>
      <c r="I190" s="3"/>
      <c r="J190" s="4" t="s">
        <v>1757</v>
      </c>
    </row>
    <row r="191">
      <c r="A191" s="4" t="s">
        <v>10976</v>
      </c>
      <c r="B191" s="13" t="s">
        <v>43</v>
      </c>
      <c r="D191" s="3"/>
      <c r="E191" s="3"/>
      <c r="F191" s="3"/>
      <c r="G191" s="3"/>
      <c r="H191" s="3"/>
      <c r="I191" s="3"/>
      <c r="J191" s="4" t="s">
        <v>1757</v>
      </c>
      <c r="K191" s="4" t="s">
        <v>1757</v>
      </c>
    </row>
    <row r="192">
      <c r="A192" s="4" t="s">
        <v>10977</v>
      </c>
      <c r="B192" s="13" t="s">
        <v>43</v>
      </c>
      <c r="D192" s="3"/>
      <c r="E192" s="3"/>
      <c r="F192" s="3"/>
      <c r="G192" s="3"/>
      <c r="H192" s="3"/>
      <c r="I192" s="3"/>
      <c r="J192" s="4" t="s">
        <v>1757</v>
      </c>
      <c r="K192" s="4" t="s">
        <v>1757</v>
      </c>
    </row>
    <row r="193">
      <c r="A193" s="4" t="s">
        <v>10978</v>
      </c>
      <c r="B193" s="13" t="s">
        <v>43</v>
      </c>
      <c r="D193" s="3"/>
      <c r="E193" s="3"/>
      <c r="F193" s="3"/>
      <c r="G193" s="3"/>
      <c r="H193" s="3"/>
      <c r="I193" s="3"/>
      <c r="J193" s="4" t="s">
        <v>1757</v>
      </c>
      <c r="K193" s="4" t="s">
        <v>1757</v>
      </c>
    </row>
    <row r="194">
      <c r="A194" s="4" t="s">
        <v>10979</v>
      </c>
      <c r="B194" s="13" t="s">
        <v>43</v>
      </c>
      <c r="D194" s="3"/>
      <c r="E194" s="3"/>
      <c r="F194" s="3"/>
      <c r="G194" s="3"/>
      <c r="H194" s="3"/>
      <c r="I194" s="3"/>
      <c r="J194" s="4" t="s">
        <v>1757</v>
      </c>
      <c r="K194" s="4" t="s">
        <v>1757</v>
      </c>
    </row>
    <row r="195">
      <c r="A195" s="4" t="s">
        <v>10980</v>
      </c>
      <c r="B195" s="13" t="s">
        <v>43</v>
      </c>
      <c r="D195" s="3"/>
      <c r="E195" s="3"/>
      <c r="F195" s="3"/>
      <c r="G195" s="3"/>
      <c r="H195" s="3"/>
      <c r="I195" s="3"/>
      <c r="J195" s="4" t="s">
        <v>1757</v>
      </c>
      <c r="K195" s="4" t="s">
        <v>1757</v>
      </c>
    </row>
    <row r="196">
      <c r="A196" s="4" t="s">
        <v>10981</v>
      </c>
      <c r="B196" s="13" t="s">
        <v>43</v>
      </c>
      <c r="D196" s="3"/>
      <c r="E196" s="3"/>
      <c r="F196" s="3"/>
      <c r="G196" s="3"/>
      <c r="H196" s="3"/>
      <c r="I196" s="3"/>
      <c r="J196" s="4" t="s">
        <v>1757</v>
      </c>
      <c r="K196" s="4" t="s">
        <v>1757</v>
      </c>
    </row>
    <row r="197">
      <c r="A197" s="4" t="s">
        <v>10982</v>
      </c>
      <c r="B197" s="13" t="s">
        <v>43</v>
      </c>
      <c r="D197" s="3"/>
      <c r="E197" s="3"/>
      <c r="F197" s="3"/>
      <c r="G197" s="3"/>
      <c r="H197" s="3"/>
      <c r="I197" s="3"/>
      <c r="J197" s="4" t="s">
        <v>1757</v>
      </c>
      <c r="K197" s="4" t="s">
        <v>1757</v>
      </c>
    </row>
    <row r="198">
      <c r="A198" s="4" t="s">
        <v>10983</v>
      </c>
      <c r="B198" s="13" t="s">
        <v>43</v>
      </c>
      <c r="D198" s="3"/>
      <c r="E198" s="3"/>
      <c r="F198" s="3"/>
      <c r="G198" s="3"/>
      <c r="H198" s="3"/>
      <c r="I198" s="3"/>
      <c r="J198" s="4" t="s">
        <v>1757</v>
      </c>
    </row>
    <row r="199">
      <c r="A199" s="4" t="s">
        <v>10984</v>
      </c>
      <c r="B199" s="13" t="s">
        <v>43</v>
      </c>
      <c r="D199" s="3"/>
      <c r="E199" s="3"/>
      <c r="F199" s="3"/>
      <c r="G199" s="3"/>
      <c r="H199" s="3"/>
      <c r="I199" s="3"/>
      <c r="J199" s="4" t="s">
        <v>1757</v>
      </c>
    </row>
    <row r="200">
      <c r="A200" s="4" t="s">
        <v>10985</v>
      </c>
      <c r="B200" s="13" t="s">
        <v>43</v>
      </c>
      <c r="D200" s="3"/>
      <c r="E200" s="3"/>
      <c r="F200" s="3"/>
      <c r="G200" s="3"/>
      <c r="H200" s="3"/>
      <c r="I200" s="3"/>
      <c r="J200" s="4" t="s">
        <v>1757</v>
      </c>
    </row>
    <row r="201">
      <c r="A201" s="4" t="s">
        <v>10986</v>
      </c>
      <c r="B201" s="13" t="s">
        <v>43</v>
      </c>
      <c r="D201" s="3"/>
      <c r="E201" s="3"/>
      <c r="F201" s="3"/>
      <c r="G201" s="3"/>
      <c r="H201" s="3"/>
      <c r="I201" s="3"/>
      <c r="J201" s="4" t="s">
        <v>1757</v>
      </c>
    </row>
    <row r="202">
      <c r="A202" s="4" t="s">
        <v>10987</v>
      </c>
      <c r="B202" s="13" t="s">
        <v>43</v>
      </c>
      <c r="D202" s="3"/>
      <c r="E202" s="3"/>
      <c r="F202" s="3"/>
      <c r="G202" s="3"/>
      <c r="H202" s="3"/>
      <c r="I202" s="3"/>
      <c r="J202" s="4" t="s">
        <v>1757</v>
      </c>
    </row>
    <row r="203">
      <c r="A203" s="4" t="s">
        <v>10988</v>
      </c>
      <c r="B203" s="13" t="s">
        <v>43</v>
      </c>
      <c r="D203" s="3"/>
      <c r="E203" s="3"/>
      <c r="F203" s="3"/>
      <c r="G203" s="3"/>
      <c r="H203" s="3"/>
      <c r="I203" s="3"/>
      <c r="J203" s="4" t="s">
        <v>1757</v>
      </c>
    </row>
    <row r="204">
      <c r="A204" s="4" t="s">
        <v>10989</v>
      </c>
      <c r="B204" s="13" t="s">
        <v>43</v>
      </c>
      <c r="D204" s="3"/>
      <c r="E204" s="3"/>
      <c r="F204" s="3"/>
      <c r="G204" s="3"/>
      <c r="H204" s="3"/>
      <c r="I204" s="3"/>
      <c r="J204" s="4" t="s">
        <v>1757</v>
      </c>
    </row>
    <row r="205">
      <c r="A205" s="4" t="s">
        <v>10990</v>
      </c>
      <c r="B205" s="13" t="s">
        <v>43</v>
      </c>
      <c r="D205" s="3"/>
      <c r="E205" s="3"/>
      <c r="F205" s="3"/>
      <c r="G205" s="3"/>
      <c r="H205" s="3"/>
      <c r="I205" s="3"/>
      <c r="J205" s="4" t="s">
        <v>1757</v>
      </c>
    </row>
    <row r="206">
      <c r="A206" s="4" t="s">
        <v>10991</v>
      </c>
      <c r="B206" s="13" t="s">
        <v>43</v>
      </c>
      <c r="D206" s="3"/>
      <c r="E206" s="3"/>
      <c r="F206" s="3"/>
      <c r="G206" s="3"/>
      <c r="H206" s="3"/>
      <c r="I206" s="3"/>
      <c r="J206" s="4" t="s">
        <v>1757</v>
      </c>
    </row>
    <row r="207">
      <c r="A207" s="4" t="s">
        <v>10992</v>
      </c>
      <c r="B207" s="13" t="s">
        <v>43</v>
      </c>
      <c r="D207" s="3"/>
      <c r="E207" s="3"/>
      <c r="F207" s="3"/>
      <c r="G207" s="3"/>
      <c r="H207" s="3"/>
      <c r="I207" s="3"/>
      <c r="J207" s="4" t="s">
        <v>1757</v>
      </c>
    </row>
    <row r="208">
      <c r="A208" s="4" t="s">
        <v>10993</v>
      </c>
      <c r="B208" s="13" t="s">
        <v>43</v>
      </c>
      <c r="D208" s="3"/>
      <c r="E208" s="3"/>
      <c r="F208" s="3"/>
      <c r="G208" s="3"/>
      <c r="H208" s="3"/>
      <c r="I208" s="3"/>
      <c r="J208" s="4" t="s">
        <v>1757</v>
      </c>
    </row>
    <row r="209">
      <c r="A209" s="4" t="s">
        <v>10994</v>
      </c>
      <c r="B209" s="13" t="s">
        <v>43</v>
      </c>
      <c r="D209" s="3"/>
      <c r="E209" s="3"/>
      <c r="F209" s="3"/>
      <c r="G209" s="3"/>
      <c r="H209" s="3"/>
      <c r="I209" s="3"/>
      <c r="J209" s="4" t="s">
        <v>1757</v>
      </c>
    </row>
    <row r="210">
      <c r="A210" s="4" t="s">
        <v>10995</v>
      </c>
      <c r="B210" s="13" t="s">
        <v>43</v>
      </c>
      <c r="D210" s="3"/>
      <c r="E210" s="3"/>
      <c r="F210" s="3"/>
      <c r="G210" s="3"/>
      <c r="H210" s="3"/>
      <c r="I210" s="3"/>
    </row>
    <row r="211">
      <c r="A211" s="4" t="s">
        <v>10996</v>
      </c>
      <c r="B211" s="13" t="s">
        <v>43</v>
      </c>
      <c r="D211" s="3"/>
      <c r="E211" s="3"/>
      <c r="F211" s="3"/>
      <c r="G211" s="3"/>
      <c r="H211" s="3"/>
      <c r="I211" s="3"/>
    </row>
    <row r="212">
      <c r="A212" s="4" t="s">
        <v>10997</v>
      </c>
      <c r="B212" s="13" t="s">
        <v>43</v>
      </c>
      <c r="D212" s="3"/>
      <c r="E212" s="3"/>
      <c r="F212" s="3"/>
      <c r="G212" s="3"/>
      <c r="H212" s="3"/>
      <c r="I212" s="3"/>
    </row>
    <row r="213">
      <c r="A213" s="4" t="s">
        <v>10998</v>
      </c>
      <c r="B213" s="13" t="s">
        <v>43</v>
      </c>
      <c r="D213" s="3"/>
      <c r="E213" s="3"/>
      <c r="F213" s="3"/>
      <c r="G213" s="3"/>
      <c r="H213" s="3"/>
      <c r="I213" s="3"/>
    </row>
    <row r="214">
      <c r="A214" s="4" t="s">
        <v>10999</v>
      </c>
      <c r="B214" s="13" t="s">
        <v>43</v>
      </c>
      <c r="D214" s="3"/>
      <c r="E214" s="3"/>
      <c r="F214" s="3"/>
      <c r="G214" s="3"/>
      <c r="H214" s="3"/>
      <c r="I214" s="3"/>
    </row>
    <row r="215">
      <c r="A215" s="4" t="s">
        <v>11000</v>
      </c>
      <c r="B215" s="13" t="s">
        <v>43</v>
      </c>
      <c r="D215" s="3"/>
      <c r="E215" s="3"/>
      <c r="F215" s="3"/>
      <c r="G215" s="3"/>
      <c r="H215" s="3"/>
      <c r="I215" s="3"/>
    </row>
    <row r="216">
      <c r="A216" s="4" t="s">
        <v>11001</v>
      </c>
      <c r="B216" s="13" t="s">
        <v>43</v>
      </c>
      <c r="D216" s="3"/>
      <c r="E216" s="3"/>
      <c r="F216" s="3"/>
      <c r="G216" s="3"/>
      <c r="H216" s="3"/>
      <c r="I216" s="3"/>
    </row>
    <row r="217">
      <c r="A217" s="4" t="s">
        <v>11002</v>
      </c>
      <c r="B217" s="13" t="s">
        <v>43</v>
      </c>
      <c r="D217" s="3"/>
      <c r="E217" s="3"/>
      <c r="F217" s="3"/>
      <c r="G217" s="3"/>
      <c r="H217" s="3"/>
      <c r="I217" s="3"/>
    </row>
    <row r="218">
      <c r="A218" s="4" t="s">
        <v>11003</v>
      </c>
      <c r="B218" s="13" t="s">
        <v>43</v>
      </c>
      <c r="D218" s="3"/>
      <c r="E218" s="3"/>
      <c r="F218" s="3"/>
      <c r="G218" s="3"/>
      <c r="H218" s="3"/>
      <c r="I218" s="3"/>
    </row>
    <row r="219">
      <c r="A219" s="4" t="s">
        <v>11004</v>
      </c>
      <c r="B219" s="13" t="s">
        <v>43</v>
      </c>
      <c r="D219" s="3"/>
      <c r="E219" s="3"/>
      <c r="F219" s="3"/>
      <c r="G219" s="3"/>
      <c r="H219" s="3"/>
      <c r="I219" s="3"/>
    </row>
    <row r="220">
      <c r="A220" s="4" t="s">
        <v>11005</v>
      </c>
      <c r="B220" s="13" t="s">
        <v>43</v>
      </c>
      <c r="D220" s="3"/>
      <c r="E220" s="3"/>
      <c r="F220" s="3"/>
      <c r="G220" s="3"/>
      <c r="H220" s="3"/>
      <c r="I220" s="3"/>
    </row>
    <row r="221">
      <c r="A221" s="4" t="s">
        <v>11006</v>
      </c>
      <c r="B221" s="13" t="s">
        <v>43</v>
      </c>
      <c r="D221" s="3"/>
      <c r="E221" s="3"/>
      <c r="F221" s="3"/>
      <c r="G221" s="3"/>
      <c r="H221" s="3"/>
      <c r="I221" s="3"/>
    </row>
    <row r="222">
      <c r="A222" s="4" t="s">
        <v>11007</v>
      </c>
      <c r="B222" s="13" t="s">
        <v>43</v>
      </c>
      <c r="D222" s="3"/>
      <c r="E222" s="3"/>
      <c r="F222" s="3"/>
      <c r="G222" s="3"/>
      <c r="H222" s="3"/>
      <c r="I222" s="3"/>
    </row>
    <row r="223">
      <c r="A223" s="4" t="s">
        <v>11008</v>
      </c>
      <c r="B223" s="13" t="s">
        <v>43</v>
      </c>
      <c r="D223" s="3"/>
      <c r="E223" s="3"/>
      <c r="F223" s="3"/>
      <c r="G223" s="3"/>
      <c r="H223" s="3"/>
      <c r="I223" s="3"/>
      <c r="J223" s="4" t="s">
        <v>1757</v>
      </c>
    </row>
    <row r="224">
      <c r="A224" s="4" t="s">
        <v>11009</v>
      </c>
      <c r="B224" s="13" t="s">
        <v>43</v>
      </c>
      <c r="D224" s="3"/>
      <c r="E224" s="3"/>
      <c r="F224" s="3"/>
      <c r="G224" s="3"/>
      <c r="H224" s="3"/>
      <c r="I224" s="3"/>
      <c r="J224" s="4" t="s">
        <v>1757</v>
      </c>
    </row>
    <row r="225">
      <c r="A225" s="4" t="s">
        <v>11010</v>
      </c>
      <c r="B225" s="13" t="s">
        <v>43</v>
      </c>
      <c r="D225" s="3"/>
      <c r="E225" s="3"/>
      <c r="F225" s="3"/>
      <c r="G225" s="3"/>
      <c r="H225" s="3"/>
      <c r="I225" s="3"/>
      <c r="J225" s="4" t="s">
        <v>1757</v>
      </c>
    </row>
    <row r="226">
      <c r="A226" s="4" t="s">
        <v>11011</v>
      </c>
      <c r="B226" s="13" t="s">
        <v>43</v>
      </c>
      <c r="D226" s="3"/>
      <c r="E226" s="3"/>
      <c r="F226" s="3"/>
      <c r="G226" s="3"/>
      <c r="H226" s="3"/>
      <c r="I226" s="3"/>
      <c r="J226" s="4" t="s">
        <v>1757</v>
      </c>
    </row>
    <row r="227">
      <c r="A227" s="4" t="s">
        <v>11012</v>
      </c>
      <c r="B227" s="13" t="s">
        <v>43</v>
      </c>
      <c r="D227" s="3"/>
      <c r="E227" s="3"/>
      <c r="F227" s="3"/>
      <c r="G227" s="3"/>
      <c r="H227" s="3"/>
      <c r="I227" s="3"/>
      <c r="J227" s="4" t="s">
        <v>1757</v>
      </c>
    </row>
    <row r="228">
      <c r="A228" s="4" t="s">
        <v>11013</v>
      </c>
      <c r="B228" s="13" t="s">
        <v>43</v>
      </c>
      <c r="D228" s="3"/>
      <c r="E228" s="3"/>
      <c r="F228" s="3"/>
      <c r="G228" s="3"/>
      <c r="H228" s="3"/>
      <c r="I228" s="3"/>
      <c r="J228" s="4" t="s">
        <v>1757</v>
      </c>
    </row>
    <row r="229">
      <c r="A229" s="4" t="s">
        <v>11014</v>
      </c>
      <c r="B229" s="19" t="s">
        <v>48</v>
      </c>
      <c r="C229" s="4">
        <v>1.0</v>
      </c>
      <c r="D229" s="3"/>
      <c r="E229" s="3"/>
      <c r="F229" s="3"/>
      <c r="G229" s="3"/>
      <c r="H229" s="4">
        <v>13.0</v>
      </c>
      <c r="I229" s="3"/>
      <c r="J229" s="4" t="s">
        <v>1757</v>
      </c>
    </row>
    <row r="230">
      <c r="A230" s="4" t="s">
        <v>11015</v>
      </c>
      <c r="B230" s="19" t="s">
        <v>48</v>
      </c>
      <c r="C230" s="4">
        <v>3.0</v>
      </c>
      <c r="D230" s="4">
        <v>1.0</v>
      </c>
      <c r="E230" s="3"/>
      <c r="F230" s="4">
        <v>9.0</v>
      </c>
      <c r="G230" s="3"/>
      <c r="H230" s="4">
        <v>13.0</v>
      </c>
      <c r="I230" s="3"/>
      <c r="J230" s="4" t="s">
        <v>1757</v>
      </c>
    </row>
    <row r="231">
      <c r="A231" s="4" t="s">
        <v>11016</v>
      </c>
      <c r="B231" s="19" t="s">
        <v>48</v>
      </c>
      <c r="C231" s="4">
        <v>3.0</v>
      </c>
      <c r="D231" s="4">
        <v>1.0</v>
      </c>
      <c r="E231" s="3"/>
      <c r="F231" s="4">
        <v>9.0</v>
      </c>
      <c r="G231" s="3"/>
      <c r="H231" s="4">
        <v>13.0</v>
      </c>
      <c r="I231" s="3"/>
      <c r="J231" s="4" t="s">
        <v>1757</v>
      </c>
    </row>
    <row r="232">
      <c r="A232" s="4" t="s">
        <v>11017</v>
      </c>
      <c r="B232" s="19" t="s">
        <v>48</v>
      </c>
      <c r="C232" s="4">
        <v>3.0</v>
      </c>
      <c r="D232" s="4">
        <v>1.0</v>
      </c>
      <c r="E232" s="3"/>
      <c r="F232" s="4">
        <v>9.0</v>
      </c>
      <c r="G232" s="3"/>
      <c r="H232" s="4">
        <v>13.0</v>
      </c>
      <c r="I232" s="3"/>
      <c r="J232" s="4" t="s">
        <v>1757</v>
      </c>
    </row>
    <row r="233">
      <c r="A233" s="4" t="s">
        <v>11018</v>
      </c>
      <c r="B233" s="19" t="s">
        <v>48</v>
      </c>
      <c r="C233" s="4">
        <v>3.0</v>
      </c>
      <c r="D233" s="4">
        <v>1.0</v>
      </c>
      <c r="E233" s="3"/>
      <c r="F233" s="4">
        <v>9.0</v>
      </c>
      <c r="G233" s="3"/>
      <c r="H233" s="4">
        <v>13.0</v>
      </c>
      <c r="I233" s="3"/>
      <c r="J233" s="4" t="s">
        <v>1757</v>
      </c>
    </row>
    <row r="234">
      <c r="A234" s="4" t="s">
        <v>11019</v>
      </c>
      <c r="B234" s="19" t="s">
        <v>48</v>
      </c>
      <c r="C234" s="4">
        <v>3.0</v>
      </c>
      <c r="D234" s="4">
        <v>1.0</v>
      </c>
      <c r="E234" s="3"/>
      <c r="F234" s="4">
        <v>9.0</v>
      </c>
      <c r="G234" s="3"/>
      <c r="H234" s="4">
        <v>13.0</v>
      </c>
      <c r="I234" s="3"/>
      <c r="J234" s="4" t="s">
        <v>1757</v>
      </c>
    </row>
    <row r="235">
      <c r="A235" s="4" t="s">
        <v>11020</v>
      </c>
      <c r="B235" s="19" t="s">
        <v>48</v>
      </c>
      <c r="C235" s="4">
        <v>3.0</v>
      </c>
      <c r="D235" s="4">
        <v>1.0</v>
      </c>
      <c r="E235" s="3"/>
      <c r="F235" s="4">
        <v>9.0</v>
      </c>
      <c r="G235" s="3"/>
      <c r="H235" s="4">
        <v>13.0</v>
      </c>
      <c r="I235" s="3"/>
      <c r="J235" s="4" t="s">
        <v>1757</v>
      </c>
    </row>
    <row r="236">
      <c r="A236" s="4" t="s">
        <v>11021</v>
      </c>
      <c r="B236" s="19" t="s">
        <v>48</v>
      </c>
      <c r="C236" s="4">
        <v>2.0</v>
      </c>
      <c r="D236" s="4">
        <v>1.0</v>
      </c>
      <c r="E236" s="3"/>
      <c r="F236" s="4">
        <v>9.0</v>
      </c>
      <c r="G236" s="3"/>
      <c r="H236" s="3"/>
      <c r="I236" s="3"/>
      <c r="J236" s="4" t="s">
        <v>1757</v>
      </c>
      <c r="K236" s="4" t="s">
        <v>1757</v>
      </c>
    </row>
    <row r="237">
      <c r="A237" s="4" t="s">
        <v>11022</v>
      </c>
      <c r="B237" s="19" t="s">
        <v>48</v>
      </c>
      <c r="C237" s="4">
        <v>1.0</v>
      </c>
      <c r="D237" s="4">
        <v>1.0</v>
      </c>
      <c r="E237" s="3"/>
      <c r="F237" s="3"/>
      <c r="G237" s="3"/>
      <c r="H237" s="3"/>
      <c r="I237" s="3"/>
      <c r="J237" s="4" t="s">
        <v>1757</v>
      </c>
      <c r="K237" s="4" t="s">
        <v>1757</v>
      </c>
    </row>
    <row r="238">
      <c r="A238" s="4" t="s">
        <v>11023</v>
      </c>
      <c r="B238" s="19" t="s">
        <v>48</v>
      </c>
      <c r="C238" s="4">
        <v>2.0</v>
      </c>
      <c r="D238" s="4">
        <v>1.0</v>
      </c>
      <c r="E238" s="3"/>
      <c r="F238" s="3"/>
      <c r="G238" s="3"/>
      <c r="H238" s="3"/>
      <c r="I238" s="4">
        <v>15.0</v>
      </c>
      <c r="J238" s="4" t="s">
        <v>1757</v>
      </c>
      <c r="K238" s="4" t="s">
        <v>1757</v>
      </c>
    </row>
    <row r="239">
      <c r="A239" s="4" t="s">
        <v>11024</v>
      </c>
      <c r="B239" s="19" t="s">
        <v>48</v>
      </c>
      <c r="C239" s="4">
        <v>2.0</v>
      </c>
      <c r="D239" s="4">
        <v>1.0</v>
      </c>
      <c r="E239" s="3"/>
      <c r="F239" s="3"/>
      <c r="G239" s="3"/>
      <c r="H239" s="3"/>
      <c r="I239" s="4">
        <v>15.0</v>
      </c>
      <c r="J239" s="4" t="s">
        <v>1757</v>
      </c>
      <c r="K239" s="4" t="s">
        <v>1757</v>
      </c>
    </row>
    <row r="240">
      <c r="A240" s="4" t="s">
        <v>11025</v>
      </c>
      <c r="B240" s="19" t="s">
        <v>48</v>
      </c>
      <c r="C240" s="4">
        <v>2.0</v>
      </c>
      <c r="D240" s="4">
        <v>1.0</v>
      </c>
      <c r="E240" s="3"/>
      <c r="F240" s="3"/>
      <c r="G240" s="3"/>
      <c r="H240" s="3"/>
      <c r="I240" s="4">
        <v>15.0</v>
      </c>
      <c r="J240" s="4" t="s">
        <v>1757</v>
      </c>
      <c r="K240" s="4" t="s">
        <v>1757</v>
      </c>
    </row>
    <row r="241">
      <c r="A241" s="4" t="s">
        <v>11026</v>
      </c>
      <c r="B241" s="19" t="s">
        <v>48</v>
      </c>
      <c r="C241" s="4">
        <v>3.0</v>
      </c>
      <c r="D241" s="4">
        <v>1.0</v>
      </c>
      <c r="E241" s="3"/>
      <c r="F241" s="4">
        <v>9.0</v>
      </c>
      <c r="G241" s="3"/>
      <c r="H241" s="3"/>
      <c r="I241" s="4">
        <v>15.0</v>
      </c>
      <c r="J241" s="4" t="s">
        <v>1757</v>
      </c>
      <c r="K241" s="4" t="s">
        <v>1757</v>
      </c>
    </row>
    <row r="242">
      <c r="A242" s="4" t="s">
        <v>11027</v>
      </c>
      <c r="B242" s="19" t="s">
        <v>48</v>
      </c>
      <c r="C242" s="4">
        <v>3.0</v>
      </c>
      <c r="D242" s="4">
        <v>1.0</v>
      </c>
      <c r="E242" s="3"/>
      <c r="F242" s="4">
        <v>9.0</v>
      </c>
      <c r="G242" s="3"/>
      <c r="H242" s="3"/>
      <c r="I242" s="4">
        <v>15.0</v>
      </c>
      <c r="J242" s="4" t="s">
        <v>1757</v>
      </c>
      <c r="K242" s="4" t="s">
        <v>1757</v>
      </c>
    </row>
    <row r="243">
      <c r="A243" s="4" t="s">
        <v>11028</v>
      </c>
      <c r="B243" s="19" t="s">
        <v>48</v>
      </c>
      <c r="C243" s="4">
        <v>3.0</v>
      </c>
      <c r="D243" s="3"/>
      <c r="E243" s="3"/>
      <c r="F243" s="4">
        <v>9.0</v>
      </c>
      <c r="G243" s="4">
        <v>10.0</v>
      </c>
      <c r="H243" s="3"/>
      <c r="I243" s="4">
        <v>15.0</v>
      </c>
      <c r="J243" s="4" t="s">
        <v>1757</v>
      </c>
      <c r="K243" s="4" t="s">
        <v>1757</v>
      </c>
    </row>
    <row r="244">
      <c r="A244" s="4" t="s">
        <v>11029</v>
      </c>
      <c r="B244" s="19" t="s">
        <v>48</v>
      </c>
      <c r="C244" s="4">
        <v>3.0</v>
      </c>
      <c r="D244" s="3"/>
      <c r="E244" s="3"/>
      <c r="F244" s="4">
        <v>9.0</v>
      </c>
      <c r="G244" s="4">
        <v>10.0</v>
      </c>
      <c r="H244" s="3"/>
      <c r="I244" s="4">
        <v>15.0</v>
      </c>
      <c r="J244" s="4" t="s">
        <v>1757</v>
      </c>
    </row>
    <row r="245">
      <c r="A245" s="4" t="s">
        <v>11030</v>
      </c>
      <c r="B245" s="19" t="s">
        <v>48</v>
      </c>
      <c r="C245" s="4">
        <v>3.0</v>
      </c>
      <c r="D245" s="3"/>
      <c r="E245" s="3"/>
      <c r="F245" s="4">
        <v>9.0</v>
      </c>
      <c r="G245" s="4">
        <v>10.0</v>
      </c>
      <c r="H245" s="3"/>
      <c r="I245" s="4">
        <v>15.0</v>
      </c>
      <c r="J245" s="4" t="s">
        <v>1757</v>
      </c>
    </row>
    <row r="246">
      <c r="A246" s="4" t="s">
        <v>11031</v>
      </c>
      <c r="B246" s="19" t="s">
        <v>48</v>
      </c>
      <c r="C246" s="4">
        <v>2.0</v>
      </c>
      <c r="D246" s="3"/>
      <c r="E246" s="3"/>
      <c r="F246" s="3"/>
      <c r="G246" s="4">
        <v>10.0</v>
      </c>
      <c r="H246" s="3"/>
      <c r="I246" s="4">
        <v>15.0</v>
      </c>
      <c r="J246" s="4" t="s">
        <v>1757</v>
      </c>
    </row>
    <row r="247">
      <c r="A247" s="4" t="s">
        <v>11032</v>
      </c>
      <c r="B247" s="19" t="s">
        <v>48</v>
      </c>
      <c r="C247" s="4">
        <v>3.0</v>
      </c>
      <c r="D247" s="3"/>
      <c r="E247" s="3"/>
      <c r="F247" s="4">
        <v>9.0</v>
      </c>
      <c r="G247" s="4">
        <v>10.0</v>
      </c>
      <c r="H247" s="3"/>
      <c r="I247" s="4">
        <v>15.0</v>
      </c>
      <c r="J247" s="4" t="s">
        <v>1757</v>
      </c>
    </row>
    <row r="248">
      <c r="A248" s="4" t="s">
        <v>11033</v>
      </c>
      <c r="B248" s="19" t="s">
        <v>48</v>
      </c>
      <c r="C248" s="4">
        <v>2.0</v>
      </c>
      <c r="D248" s="3"/>
      <c r="E248" s="3"/>
      <c r="F248" s="4">
        <v>9.0</v>
      </c>
      <c r="G248" s="4">
        <v>10.0</v>
      </c>
      <c r="H248" s="3"/>
      <c r="I248" s="3"/>
      <c r="J248" s="4" t="s">
        <v>1757</v>
      </c>
    </row>
    <row r="249">
      <c r="A249" s="4" t="s">
        <v>11034</v>
      </c>
      <c r="B249" s="19" t="s">
        <v>43</v>
      </c>
      <c r="D249" s="3"/>
      <c r="E249" s="3"/>
      <c r="F249" s="3"/>
      <c r="G249" s="3"/>
      <c r="H249" s="3"/>
      <c r="I249" s="3"/>
      <c r="J249" s="4" t="s">
        <v>1757</v>
      </c>
    </row>
    <row r="250">
      <c r="A250" s="4" t="s">
        <v>11035</v>
      </c>
      <c r="B250" s="19" t="s">
        <v>43</v>
      </c>
      <c r="D250" s="3"/>
      <c r="E250" s="3"/>
      <c r="F250" s="3"/>
      <c r="G250" s="3"/>
      <c r="H250" s="3"/>
      <c r="I250" s="3"/>
      <c r="J250" s="4" t="s">
        <v>1757</v>
      </c>
    </row>
    <row r="251">
      <c r="A251" s="4" t="s">
        <v>11036</v>
      </c>
      <c r="B251" s="19" t="s">
        <v>43</v>
      </c>
      <c r="D251" s="3"/>
      <c r="E251" s="3"/>
      <c r="F251" s="3"/>
      <c r="G251" s="3"/>
      <c r="H251" s="3"/>
      <c r="I251" s="3"/>
      <c r="J251" s="4" t="s">
        <v>1757</v>
      </c>
    </row>
    <row r="252">
      <c r="A252" s="4" t="s">
        <v>11037</v>
      </c>
      <c r="B252" s="19" t="s">
        <v>43</v>
      </c>
      <c r="D252" s="3"/>
      <c r="E252" s="3"/>
      <c r="F252" s="3"/>
      <c r="G252" s="3"/>
      <c r="H252" s="3"/>
      <c r="I252" s="3"/>
      <c r="J252" s="4" t="s">
        <v>1757</v>
      </c>
    </row>
    <row r="253">
      <c r="A253" s="4" t="s">
        <v>11038</v>
      </c>
      <c r="B253" s="13" t="s">
        <v>48</v>
      </c>
      <c r="C253" s="4">
        <v>1.0</v>
      </c>
      <c r="D253" s="3"/>
      <c r="E253" s="3"/>
      <c r="F253" s="3"/>
      <c r="G253" s="4">
        <v>10.0</v>
      </c>
      <c r="H253" s="3"/>
      <c r="I253" s="3"/>
    </row>
    <row r="254">
      <c r="A254" s="4" t="s">
        <v>11039</v>
      </c>
      <c r="B254" s="13" t="s">
        <v>43</v>
      </c>
      <c r="D254" s="3"/>
      <c r="E254" s="3"/>
      <c r="F254" s="3"/>
      <c r="G254" s="3"/>
      <c r="H254" s="3"/>
      <c r="I254" s="3"/>
    </row>
    <row r="255">
      <c r="A255" s="4" t="s">
        <v>11040</v>
      </c>
      <c r="B255" s="13" t="s">
        <v>43</v>
      </c>
      <c r="D255" s="3"/>
      <c r="E255" s="3"/>
      <c r="F255" s="3"/>
      <c r="G255" s="3"/>
      <c r="H255" s="3"/>
      <c r="I255" s="3"/>
    </row>
    <row r="256">
      <c r="A256" s="4" t="s">
        <v>11041</v>
      </c>
      <c r="B256" s="13" t="s">
        <v>43</v>
      </c>
      <c r="D256" s="3"/>
      <c r="E256" s="3"/>
      <c r="F256" s="3"/>
      <c r="G256" s="3"/>
      <c r="H256" s="3"/>
      <c r="I256" s="3"/>
    </row>
    <row r="257">
      <c r="A257" s="4" t="s">
        <v>11042</v>
      </c>
      <c r="B257" s="13" t="s">
        <v>43</v>
      </c>
      <c r="D257" s="3"/>
      <c r="E257" s="3"/>
      <c r="F257" s="3"/>
      <c r="G257" s="3"/>
      <c r="H257" s="3"/>
      <c r="I257" s="3"/>
    </row>
    <row r="258">
      <c r="A258" s="4" t="s">
        <v>11043</v>
      </c>
      <c r="B258" s="13" t="s">
        <v>43</v>
      </c>
      <c r="D258" s="3"/>
      <c r="E258" s="3"/>
      <c r="F258" s="3"/>
      <c r="G258" s="3"/>
      <c r="H258" s="3"/>
      <c r="I258" s="3"/>
    </row>
    <row r="259">
      <c r="A259" s="4" t="s">
        <v>11044</v>
      </c>
      <c r="B259" s="13" t="s">
        <v>43</v>
      </c>
      <c r="D259" s="3"/>
      <c r="E259" s="3"/>
      <c r="F259" s="3"/>
      <c r="G259" s="3"/>
      <c r="H259" s="3"/>
      <c r="I259" s="3"/>
    </row>
    <row r="260">
      <c r="A260" s="4" t="s">
        <v>11045</v>
      </c>
      <c r="B260" s="13" t="s">
        <v>43</v>
      </c>
      <c r="D260" s="3"/>
      <c r="E260" s="3"/>
      <c r="F260" s="3"/>
      <c r="G260" s="3"/>
      <c r="H260" s="3"/>
      <c r="I260" s="3"/>
    </row>
    <row r="261">
      <c r="A261" s="4" t="s">
        <v>11046</v>
      </c>
      <c r="B261" s="13" t="s">
        <v>43</v>
      </c>
      <c r="D261" s="3"/>
      <c r="E261" s="3"/>
      <c r="F261" s="3"/>
      <c r="G261" s="3"/>
      <c r="H261" s="3"/>
      <c r="I261" s="3"/>
    </row>
    <row r="262">
      <c r="A262" s="4" t="s">
        <v>11047</v>
      </c>
      <c r="B262" s="13" t="s">
        <v>43</v>
      </c>
      <c r="D262" s="3"/>
      <c r="E262" s="3"/>
      <c r="F262" s="3"/>
      <c r="G262" s="3"/>
      <c r="H262" s="3"/>
      <c r="I262" s="3"/>
    </row>
    <row r="263">
      <c r="A263" s="4" t="s">
        <v>11048</v>
      </c>
      <c r="B263" s="13" t="s">
        <v>43</v>
      </c>
      <c r="D263" s="3"/>
      <c r="E263" s="3"/>
      <c r="F263" s="3"/>
      <c r="G263" s="3"/>
      <c r="H263" s="3"/>
      <c r="I263" s="3"/>
    </row>
    <row r="264">
      <c r="A264" s="4" t="s">
        <v>11049</v>
      </c>
      <c r="B264" s="13" t="s">
        <v>43</v>
      </c>
      <c r="D264" s="3"/>
      <c r="E264" s="3"/>
      <c r="F264" s="3"/>
      <c r="G264" s="3"/>
      <c r="H264" s="3"/>
      <c r="I264" s="3"/>
    </row>
    <row r="265">
      <c r="A265" s="4" t="s">
        <v>11050</v>
      </c>
      <c r="B265" s="13" t="s">
        <v>43</v>
      </c>
      <c r="D265" s="3"/>
      <c r="E265" s="3"/>
      <c r="F265" s="3"/>
      <c r="G265" s="3"/>
      <c r="H265" s="3"/>
      <c r="I265" s="3"/>
    </row>
    <row r="266">
      <c r="A266" s="4" t="s">
        <v>11051</v>
      </c>
      <c r="B266" s="13" t="s">
        <v>43</v>
      </c>
      <c r="D266" s="3"/>
      <c r="E266" s="3"/>
      <c r="F266" s="3"/>
      <c r="G266" s="3"/>
      <c r="H266" s="3"/>
      <c r="I266" s="3"/>
    </row>
    <row r="267">
      <c r="A267" s="4" t="s">
        <v>11052</v>
      </c>
      <c r="B267" s="13" t="s">
        <v>48</v>
      </c>
      <c r="C267" s="4">
        <v>1.0</v>
      </c>
      <c r="D267" s="3"/>
      <c r="E267" s="3"/>
      <c r="F267" s="3"/>
      <c r="G267" s="4">
        <v>10.0</v>
      </c>
      <c r="H267" s="3"/>
      <c r="I267" s="3"/>
    </row>
    <row r="268">
      <c r="A268" s="4" t="s">
        <v>11053</v>
      </c>
      <c r="B268" s="13" t="s">
        <v>48</v>
      </c>
      <c r="C268" s="4">
        <v>1.0</v>
      </c>
      <c r="D268" s="3"/>
      <c r="E268" s="3"/>
      <c r="F268" s="3"/>
      <c r="G268" s="4">
        <v>10.0</v>
      </c>
      <c r="H268" s="3"/>
      <c r="I268" s="3"/>
    </row>
    <row r="269">
      <c r="A269" s="4" t="s">
        <v>11054</v>
      </c>
      <c r="B269" s="13" t="s">
        <v>48</v>
      </c>
      <c r="C269" s="4">
        <v>2.0</v>
      </c>
      <c r="D269" s="3"/>
      <c r="E269" s="4">
        <v>2.0</v>
      </c>
      <c r="F269" s="4">
        <v>9.0</v>
      </c>
      <c r="G269" s="3"/>
      <c r="H269" s="3"/>
      <c r="I269" s="3"/>
      <c r="J269" s="4" t="s">
        <v>1757</v>
      </c>
    </row>
    <row r="270">
      <c r="A270" s="4" t="s">
        <v>11055</v>
      </c>
      <c r="B270" s="13" t="s">
        <v>48</v>
      </c>
      <c r="C270" s="4">
        <v>4.0</v>
      </c>
      <c r="D270" s="3"/>
      <c r="E270" s="4">
        <v>2.0</v>
      </c>
      <c r="F270" s="4">
        <v>9.0</v>
      </c>
      <c r="G270" s="3"/>
      <c r="H270" s="4">
        <v>13.0</v>
      </c>
      <c r="I270" s="4">
        <v>15.0</v>
      </c>
      <c r="J270" s="4" t="s">
        <v>1757</v>
      </c>
      <c r="K270" s="4" t="s">
        <v>1757</v>
      </c>
    </row>
    <row r="271">
      <c r="A271" s="4" t="s">
        <v>11056</v>
      </c>
      <c r="B271" s="13" t="s">
        <v>48</v>
      </c>
      <c r="C271" s="4">
        <v>5.0</v>
      </c>
      <c r="D271" s="4">
        <v>1.0</v>
      </c>
      <c r="E271" s="4">
        <v>2.0</v>
      </c>
      <c r="F271" s="4">
        <v>9.0</v>
      </c>
      <c r="G271" s="3"/>
      <c r="H271" s="4">
        <v>13.0</v>
      </c>
      <c r="I271" s="4">
        <v>15.0</v>
      </c>
      <c r="J271" s="4" t="s">
        <v>1757</v>
      </c>
      <c r="K271" s="4" t="s">
        <v>1757</v>
      </c>
    </row>
    <row r="272">
      <c r="A272" s="4" t="s">
        <v>11057</v>
      </c>
      <c r="B272" s="13" t="s">
        <v>48</v>
      </c>
      <c r="C272" s="4">
        <v>5.0</v>
      </c>
      <c r="D272" s="4">
        <v>1.0</v>
      </c>
      <c r="E272" s="4">
        <v>2.0</v>
      </c>
      <c r="F272" s="4">
        <v>9.0</v>
      </c>
      <c r="G272" s="3"/>
      <c r="H272" s="4">
        <v>13.0</v>
      </c>
      <c r="I272" s="4">
        <v>15.0</v>
      </c>
      <c r="J272" s="4" t="s">
        <v>1757</v>
      </c>
      <c r="K272" s="4" t="s">
        <v>1757</v>
      </c>
    </row>
    <row r="273">
      <c r="A273" s="4" t="s">
        <v>11058</v>
      </c>
      <c r="B273" s="13" t="s">
        <v>48</v>
      </c>
      <c r="C273" s="4">
        <v>5.0</v>
      </c>
      <c r="D273" s="4">
        <v>1.0</v>
      </c>
      <c r="E273" s="4">
        <v>2.0</v>
      </c>
      <c r="F273" s="4">
        <v>9.0</v>
      </c>
      <c r="G273" s="3"/>
      <c r="H273" s="4">
        <v>13.0</v>
      </c>
      <c r="I273" s="4">
        <v>15.0</v>
      </c>
      <c r="J273" s="4" t="s">
        <v>1757</v>
      </c>
      <c r="K273" s="4" t="s">
        <v>1757</v>
      </c>
    </row>
    <row r="274">
      <c r="A274" s="4" t="s">
        <v>11059</v>
      </c>
      <c r="B274" s="13" t="s">
        <v>48</v>
      </c>
      <c r="C274" s="4">
        <v>5.0</v>
      </c>
      <c r="D274" s="4">
        <v>1.0</v>
      </c>
      <c r="E274" s="4">
        <v>2.0</v>
      </c>
      <c r="F274" s="4">
        <v>9.0</v>
      </c>
      <c r="G274" s="3"/>
      <c r="H274" s="4">
        <v>13.0</v>
      </c>
      <c r="I274" s="4">
        <v>15.0</v>
      </c>
      <c r="J274" s="4" t="s">
        <v>1757</v>
      </c>
      <c r="K274" s="4" t="s">
        <v>1757</v>
      </c>
    </row>
    <row r="275">
      <c r="A275" s="4" t="s">
        <v>11060</v>
      </c>
      <c r="B275" s="13" t="s">
        <v>48</v>
      </c>
      <c r="C275" s="4">
        <v>5.0</v>
      </c>
      <c r="D275" s="4">
        <v>1.0</v>
      </c>
      <c r="E275" s="4">
        <v>2.0</v>
      </c>
      <c r="F275" s="4">
        <v>9.0</v>
      </c>
      <c r="G275" s="3"/>
      <c r="H275" s="4">
        <v>13.0</v>
      </c>
      <c r="I275" s="4">
        <v>15.0</v>
      </c>
      <c r="J275" s="4" t="s">
        <v>1757</v>
      </c>
      <c r="K275" s="4" t="s">
        <v>1757</v>
      </c>
    </row>
    <row r="276">
      <c r="A276" s="4" t="s">
        <v>11061</v>
      </c>
      <c r="B276" s="13" t="s">
        <v>48</v>
      </c>
      <c r="C276" s="4">
        <v>5.0</v>
      </c>
      <c r="D276" s="4">
        <v>1.0</v>
      </c>
      <c r="E276" s="4">
        <v>2.0</v>
      </c>
      <c r="F276" s="4">
        <v>9.0</v>
      </c>
      <c r="G276" s="3"/>
      <c r="H276" s="4">
        <v>13.0</v>
      </c>
      <c r="I276" s="4">
        <v>15.0</v>
      </c>
      <c r="J276" s="4" t="s">
        <v>1757</v>
      </c>
      <c r="K276" s="4" t="s">
        <v>1757</v>
      </c>
    </row>
    <row r="277">
      <c r="A277" s="4" t="s">
        <v>11062</v>
      </c>
      <c r="B277" s="13" t="s">
        <v>48</v>
      </c>
      <c r="C277" s="4">
        <v>5.0</v>
      </c>
      <c r="D277" s="4">
        <v>1.0</v>
      </c>
      <c r="E277" s="4">
        <v>2.0</v>
      </c>
      <c r="F277" s="4">
        <v>9.0</v>
      </c>
      <c r="G277" s="3"/>
      <c r="H277" s="4">
        <v>13.0</v>
      </c>
      <c r="I277" s="4">
        <v>15.0</v>
      </c>
      <c r="J277" s="4" t="s">
        <v>1757</v>
      </c>
      <c r="K277" s="4" t="s">
        <v>1757</v>
      </c>
    </row>
    <row r="278">
      <c r="A278" s="4" t="s">
        <v>11063</v>
      </c>
      <c r="B278" s="13" t="s">
        <v>48</v>
      </c>
      <c r="C278" s="4">
        <v>5.0</v>
      </c>
      <c r="D278" s="4">
        <v>1.0</v>
      </c>
      <c r="E278" s="4">
        <v>2.0</v>
      </c>
      <c r="F278" s="4">
        <v>9.0</v>
      </c>
      <c r="G278" s="3"/>
      <c r="H278" s="4">
        <v>13.0</v>
      </c>
      <c r="I278" s="4">
        <v>15.0</v>
      </c>
      <c r="J278" s="4" t="s">
        <v>1757</v>
      </c>
    </row>
    <row r="279">
      <c r="A279" s="4" t="s">
        <v>11064</v>
      </c>
      <c r="B279" s="13" t="s">
        <v>48</v>
      </c>
      <c r="C279" s="4">
        <v>5.0</v>
      </c>
      <c r="D279" s="4">
        <v>1.0</v>
      </c>
      <c r="E279" s="4">
        <v>2.0</v>
      </c>
      <c r="F279" s="4">
        <v>9.0</v>
      </c>
      <c r="G279" s="3"/>
      <c r="H279" s="4">
        <v>13.0</v>
      </c>
      <c r="I279" s="4">
        <v>15.0</v>
      </c>
      <c r="J279" s="4" t="s">
        <v>1757</v>
      </c>
    </row>
    <row r="280">
      <c r="A280" s="4" t="s">
        <v>11065</v>
      </c>
      <c r="B280" s="13" t="s">
        <v>48</v>
      </c>
      <c r="C280" s="4">
        <v>5.0</v>
      </c>
      <c r="D280" s="4">
        <v>1.0</v>
      </c>
      <c r="E280" s="4">
        <v>2.0</v>
      </c>
      <c r="F280" s="4">
        <v>9.0</v>
      </c>
      <c r="G280" s="3"/>
      <c r="H280" s="4">
        <v>13.0</v>
      </c>
      <c r="I280" s="4">
        <v>15.0</v>
      </c>
      <c r="J280" s="4" t="s">
        <v>1757</v>
      </c>
    </row>
    <row r="281">
      <c r="A281" s="4" t="s">
        <v>11066</v>
      </c>
      <c r="B281" s="13" t="s">
        <v>48</v>
      </c>
      <c r="C281" s="4">
        <v>3.0</v>
      </c>
      <c r="D281" s="4">
        <v>1.0</v>
      </c>
      <c r="E281" s="3"/>
      <c r="F281" s="3"/>
      <c r="G281" s="3"/>
      <c r="H281" s="4">
        <v>13.0</v>
      </c>
      <c r="I281" s="4">
        <v>15.0</v>
      </c>
      <c r="J281" s="4" t="s">
        <v>1757</v>
      </c>
    </row>
    <row r="282">
      <c r="A282" s="4" t="s">
        <v>11067</v>
      </c>
      <c r="B282" s="13" t="s">
        <v>48</v>
      </c>
      <c r="C282" s="4">
        <v>3.0</v>
      </c>
      <c r="D282" s="4">
        <v>1.0</v>
      </c>
      <c r="E282" s="3"/>
      <c r="F282" s="3"/>
      <c r="G282" s="3"/>
      <c r="H282" s="4">
        <v>13.0</v>
      </c>
      <c r="I282" s="4">
        <v>15.0</v>
      </c>
      <c r="J282" s="4" t="s">
        <v>1757</v>
      </c>
    </row>
    <row r="283">
      <c r="A283" s="4" t="s">
        <v>11068</v>
      </c>
      <c r="B283" s="13" t="s">
        <v>48</v>
      </c>
      <c r="C283" s="4">
        <v>2.0</v>
      </c>
      <c r="D283" s="4">
        <v>1.0</v>
      </c>
      <c r="E283" s="3"/>
      <c r="F283" s="3"/>
      <c r="G283" s="3"/>
      <c r="H283" s="4">
        <v>13.0</v>
      </c>
      <c r="I283" s="3"/>
      <c r="J283" s="4" t="s">
        <v>1757</v>
      </c>
    </row>
    <row r="284">
      <c r="A284" s="4" t="s">
        <v>11069</v>
      </c>
      <c r="B284" s="13" t="s">
        <v>48</v>
      </c>
      <c r="C284" s="4">
        <v>2.0</v>
      </c>
      <c r="D284" s="4">
        <v>1.0</v>
      </c>
      <c r="E284" s="3"/>
      <c r="F284" s="3"/>
      <c r="G284" s="3"/>
      <c r="H284" s="4">
        <v>13.0</v>
      </c>
      <c r="I284" s="3"/>
      <c r="J284" s="4" t="s">
        <v>1757</v>
      </c>
    </row>
    <row r="285">
      <c r="A285" s="4" t="s">
        <v>11070</v>
      </c>
      <c r="B285" s="13" t="s">
        <v>48</v>
      </c>
      <c r="C285" s="4">
        <v>1.0</v>
      </c>
      <c r="D285" s="3"/>
      <c r="E285" s="3"/>
      <c r="F285" s="3"/>
      <c r="G285" s="3"/>
      <c r="H285" s="4">
        <v>13.0</v>
      </c>
      <c r="I285" s="3"/>
      <c r="J285" s="4" t="s">
        <v>1757</v>
      </c>
    </row>
    <row r="286">
      <c r="A286" s="4" t="s">
        <v>11071</v>
      </c>
      <c r="B286" s="13" t="s">
        <v>48</v>
      </c>
      <c r="C286" s="4">
        <v>1.0</v>
      </c>
      <c r="D286" s="4">
        <v>1.0</v>
      </c>
      <c r="E286" s="3"/>
      <c r="F286" s="3"/>
      <c r="G286" s="3"/>
      <c r="H286" s="3"/>
      <c r="I286" s="3"/>
      <c r="J286" s="4" t="s">
        <v>1757</v>
      </c>
    </row>
    <row r="287">
      <c r="A287" s="4" t="s">
        <v>11072</v>
      </c>
      <c r="B287" s="13" t="s">
        <v>43</v>
      </c>
      <c r="D287" s="3"/>
      <c r="E287" s="3"/>
      <c r="F287" s="3"/>
      <c r="G287" s="3"/>
      <c r="H287" s="3"/>
      <c r="I287" s="3"/>
    </row>
    <row r="288">
      <c r="A288" s="4" t="s">
        <v>11073</v>
      </c>
      <c r="B288" s="13" t="s">
        <v>43</v>
      </c>
      <c r="D288" s="3"/>
      <c r="E288" s="3"/>
      <c r="F288" s="3"/>
      <c r="G288" s="3"/>
      <c r="H288" s="3"/>
      <c r="I288" s="3"/>
    </row>
    <row r="289">
      <c r="A289" s="4" t="s">
        <v>11074</v>
      </c>
      <c r="B289" s="13" t="s">
        <v>43</v>
      </c>
      <c r="D289" s="3"/>
      <c r="E289" s="3"/>
      <c r="F289" s="3"/>
      <c r="G289" s="3"/>
      <c r="H289" s="3"/>
      <c r="I289" s="3"/>
    </row>
    <row r="290">
      <c r="A290" s="4" t="s">
        <v>11075</v>
      </c>
      <c r="B290" s="13" t="s">
        <v>43</v>
      </c>
      <c r="D290" s="3"/>
      <c r="E290" s="3"/>
      <c r="F290" s="3"/>
      <c r="G290" s="3"/>
      <c r="H290" s="3"/>
      <c r="I290" s="3"/>
    </row>
    <row r="291">
      <c r="A291" s="4" t="s">
        <v>11076</v>
      </c>
      <c r="B291" s="13" t="s">
        <v>43</v>
      </c>
      <c r="D291" s="3"/>
      <c r="E291" s="3"/>
      <c r="F291" s="3"/>
      <c r="G291" s="3"/>
      <c r="H291" s="3"/>
      <c r="I291" s="3"/>
    </row>
    <row r="292">
      <c r="A292" s="4" t="s">
        <v>11077</v>
      </c>
      <c r="B292" s="13" t="s">
        <v>43</v>
      </c>
      <c r="D292" s="3"/>
      <c r="E292" s="3"/>
      <c r="F292" s="3"/>
      <c r="G292" s="3"/>
      <c r="H292" s="3"/>
      <c r="I292" s="3"/>
    </row>
    <row r="293">
      <c r="A293" s="4" t="s">
        <v>11078</v>
      </c>
      <c r="B293" s="13" t="s">
        <v>43</v>
      </c>
      <c r="D293" s="3"/>
      <c r="E293" s="3"/>
      <c r="F293" s="3"/>
      <c r="G293" s="3"/>
      <c r="H293" s="3"/>
      <c r="I293" s="3"/>
    </row>
    <row r="294">
      <c r="A294" s="4" t="s">
        <v>11079</v>
      </c>
      <c r="B294" s="13" t="s">
        <v>43</v>
      </c>
      <c r="D294" s="3"/>
      <c r="E294" s="3"/>
      <c r="F294" s="3"/>
      <c r="G294" s="3"/>
      <c r="H294" s="3"/>
      <c r="I294" s="3"/>
      <c r="J294" s="4" t="s">
        <v>1757</v>
      </c>
    </row>
    <row r="295">
      <c r="A295" s="4" t="s">
        <v>11080</v>
      </c>
      <c r="B295" s="13" t="s">
        <v>43</v>
      </c>
      <c r="D295" s="3"/>
      <c r="E295" s="3"/>
      <c r="F295" s="3"/>
      <c r="G295" s="3"/>
      <c r="H295" s="3"/>
      <c r="I295" s="3"/>
      <c r="J295" s="4" t="s">
        <v>1757</v>
      </c>
    </row>
    <row r="296">
      <c r="A296" s="4" t="s">
        <v>11081</v>
      </c>
      <c r="B296" s="13" t="s">
        <v>43</v>
      </c>
      <c r="D296" s="3"/>
      <c r="E296" s="3"/>
      <c r="F296" s="3"/>
      <c r="G296" s="3"/>
      <c r="H296" s="3"/>
      <c r="I296" s="3"/>
      <c r="J296" s="4" t="s">
        <v>1757</v>
      </c>
    </row>
    <row r="297">
      <c r="A297" s="4" t="s">
        <v>11082</v>
      </c>
      <c r="B297" s="13" t="s">
        <v>43</v>
      </c>
      <c r="D297" s="3"/>
      <c r="E297" s="3"/>
      <c r="F297" s="3"/>
      <c r="G297" s="3"/>
      <c r="H297" s="3"/>
      <c r="I297" s="3"/>
      <c r="J297" s="4" t="s">
        <v>1757</v>
      </c>
    </row>
    <row r="298">
      <c r="A298" s="4" t="s">
        <v>11083</v>
      </c>
      <c r="B298" s="13" t="s">
        <v>43</v>
      </c>
      <c r="D298" s="3"/>
      <c r="E298" s="3"/>
      <c r="F298" s="3"/>
      <c r="G298" s="3"/>
      <c r="H298" s="3"/>
      <c r="I298" s="3"/>
      <c r="J298" s="4" t="s">
        <v>1757</v>
      </c>
    </row>
    <row r="299">
      <c r="A299" s="4" t="s">
        <v>11084</v>
      </c>
      <c r="B299" s="13" t="s">
        <v>43</v>
      </c>
      <c r="D299" s="3"/>
      <c r="E299" s="3"/>
      <c r="F299" s="3"/>
      <c r="G299" s="3"/>
      <c r="H299" s="3"/>
      <c r="I299" s="3"/>
      <c r="J299" s="4" t="s">
        <v>1757</v>
      </c>
    </row>
    <row r="300">
      <c r="A300" s="4" t="s">
        <v>11085</v>
      </c>
      <c r="B300" s="13" t="s">
        <v>43</v>
      </c>
      <c r="D300" s="3"/>
      <c r="E300" s="3"/>
      <c r="F300" s="3"/>
      <c r="G300" s="3"/>
      <c r="H300" s="3"/>
      <c r="I300" s="3"/>
      <c r="J300" s="4" t="s">
        <v>1757</v>
      </c>
    </row>
    <row r="301">
      <c r="A301" s="4" t="s">
        <v>11086</v>
      </c>
      <c r="B301" s="13" t="s">
        <v>43</v>
      </c>
      <c r="D301" s="3"/>
      <c r="E301" s="3"/>
      <c r="F301" s="3"/>
      <c r="G301" s="3"/>
      <c r="H301" s="3"/>
      <c r="I301" s="3"/>
      <c r="J301" s="4" t="s">
        <v>1757</v>
      </c>
    </row>
    <row r="302">
      <c r="A302" s="4" t="s">
        <v>11087</v>
      </c>
      <c r="B302" s="13" t="s">
        <v>43</v>
      </c>
      <c r="D302" s="3"/>
      <c r="E302" s="3"/>
      <c r="F302" s="3"/>
      <c r="G302" s="3"/>
      <c r="H302" s="3"/>
      <c r="I302" s="3"/>
      <c r="J302" s="4" t="s">
        <v>1757</v>
      </c>
    </row>
    <row r="303">
      <c r="A303" s="4" t="s">
        <v>11088</v>
      </c>
      <c r="B303" s="13" t="s">
        <v>43</v>
      </c>
      <c r="D303" s="3"/>
      <c r="E303" s="3"/>
      <c r="F303" s="3"/>
      <c r="G303" s="3"/>
      <c r="H303" s="3"/>
      <c r="I303" s="3"/>
      <c r="J303" s="4" t="s">
        <v>1757</v>
      </c>
    </row>
    <row r="304">
      <c r="A304" s="4" t="s">
        <v>11089</v>
      </c>
      <c r="B304" s="13" t="s">
        <v>43</v>
      </c>
      <c r="D304" s="3"/>
      <c r="E304" s="3"/>
      <c r="F304" s="3"/>
      <c r="G304" s="3"/>
      <c r="H304" s="3"/>
      <c r="I304" s="3"/>
      <c r="J304" s="4" t="s">
        <v>1757</v>
      </c>
    </row>
    <row r="305">
      <c r="A305" s="4" t="s">
        <v>11090</v>
      </c>
      <c r="B305" s="13" t="s">
        <v>43</v>
      </c>
      <c r="D305" s="3"/>
      <c r="E305" s="3"/>
      <c r="F305" s="3"/>
      <c r="G305" s="3"/>
      <c r="H305" s="3"/>
      <c r="I305" s="3"/>
      <c r="J305" s="4" t="s">
        <v>1757</v>
      </c>
    </row>
    <row r="306">
      <c r="A306" s="4" t="s">
        <v>11091</v>
      </c>
      <c r="B306" s="13" t="s">
        <v>43</v>
      </c>
      <c r="D306" s="3"/>
      <c r="E306" s="3"/>
      <c r="F306" s="3"/>
      <c r="G306" s="3"/>
      <c r="H306" s="3"/>
      <c r="I306" s="3"/>
    </row>
    <row r="307">
      <c r="A307" s="4" t="s">
        <v>11092</v>
      </c>
      <c r="B307" s="13" t="s">
        <v>43</v>
      </c>
      <c r="D307" s="3"/>
      <c r="E307" s="3"/>
      <c r="F307" s="3"/>
      <c r="G307" s="3"/>
      <c r="H307" s="3"/>
      <c r="I307" s="3"/>
    </row>
    <row r="308">
      <c r="A308" s="4" t="s">
        <v>11093</v>
      </c>
      <c r="B308" s="13" t="s">
        <v>43</v>
      </c>
      <c r="D308" s="3"/>
      <c r="E308" s="3"/>
      <c r="F308" s="3"/>
      <c r="G308" s="3"/>
      <c r="H308" s="3"/>
      <c r="I308" s="3"/>
    </row>
    <row r="309">
      <c r="A309" s="4" t="s">
        <v>11094</v>
      </c>
      <c r="B309" s="13" t="s">
        <v>43</v>
      </c>
      <c r="D309" s="3"/>
      <c r="E309" s="3"/>
      <c r="F309" s="3"/>
      <c r="G309" s="3"/>
      <c r="H309" s="3"/>
      <c r="I309" s="3"/>
    </row>
    <row r="310">
      <c r="A310" s="4" t="s">
        <v>11095</v>
      </c>
      <c r="B310" s="13" t="s">
        <v>43</v>
      </c>
      <c r="D310" s="3"/>
      <c r="E310" s="3"/>
      <c r="F310" s="3"/>
      <c r="G310" s="3"/>
      <c r="H310" s="3"/>
      <c r="I310" s="3"/>
    </row>
    <row r="311">
      <c r="A311" s="4" t="s">
        <v>11096</v>
      </c>
      <c r="B311" s="13" t="s">
        <v>43</v>
      </c>
      <c r="D311" s="3"/>
      <c r="E311" s="3"/>
      <c r="F311" s="3"/>
      <c r="G311" s="3"/>
      <c r="H311" s="3"/>
      <c r="I311" s="3"/>
    </row>
    <row r="312">
      <c r="A312" s="4" t="s">
        <v>11097</v>
      </c>
      <c r="B312" s="13" t="s">
        <v>43</v>
      </c>
      <c r="D312" s="3"/>
      <c r="E312" s="3"/>
      <c r="F312" s="3"/>
      <c r="G312" s="3"/>
      <c r="H312" s="3"/>
      <c r="I312" s="3"/>
    </row>
    <row r="313">
      <c r="A313" s="4" t="s">
        <v>11098</v>
      </c>
      <c r="B313" s="13" t="s">
        <v>43</v>
      </c>
      <c r="D313" s="3"/>
      <c r="E313" s="3"/>
      <c r="F313" s="3"/>
      <c r="G313" s="3"/>
      <c r="H313" s="3"/>
      <c r="I313" s="3"/>
    </row>
    <row r="314">
      <c r="A314" s="4" t="s">
        <v>11099</v>
      </c>
      <c r="B314" s="13" t="s">
        <v>43</v>
      </c>
      <c r="D314" s="3"/>
      <c r="E314" s="3"/>
      <c r="F314" s="3"/>
      <c r="G314" s="3"/>
      <c r="H314" s="3"/>
      <c r="I314" s="3"/>
    </row>
    <row r="315">
      <c r="A315" s="4" t="s">
        <v>11100</v>
      </c>
      <c r="B315" s="13" t="s">
        <v>43</v>
      </c>
      <c r="D315" s="3"/>
      <c r="E315" s="3"/>
      <c r="F315" s="3"/>
      <c r="G315" s="3"/>
      <c r="H315" s="3"/>
      <c r="I315" s="3"/>
    </row>
    <row r="316">
      <c r="A316" s="4" t="s">
        <v>11101</v>
      </c>
      <c r="B316" s="13" t="s">
        <v>43</v>
      </c>
      <c r="D316" s="3"/>
      <c r="E316" s="3"/>
      <c r="F316" s="3"/>
      <c r="G316" s="3"/>
      <c r="H316" s="3"/>
      <c r="I316" s="3"/>
    </row>
    <row r="317">
      <c r="A317" s="4" t="s">
        <v>11102</v>
      </c>
      <c r="B317" s="13" t="s">
        <v>43</v>
      </c>
      <c r="D317" s="3"/>
      <c r="E317" s="3"/>
      <c r="F317" s="3"/>
      <c r="G317" s="3"/>
      <c r="H317" s="3"/>
      <c r="I317" s="3"/>
    </row>
    <row r="318">
      <c r="A318" s="4" t="s">
        <v>11103</v>
      </c>
      <c r="B318" s="13" t="s">
        <v>43</v>
      </c>
      <c r="D318" s="3"/>
      <c r="E318" s="3"/>
      <c r="F318" s="3"/>
      <c r="G318" s="3"/>
      <c r="H318" s="3"/>
      <c r="I318" s="3"/>
      <c r="J318" s="4" t="s">
        <v>1757</v>
      </c>
    </row>
    <row r="319">
      <c r="A319" s="4" t="s">
        <v>11104</v>
      </c>
      <c r="B319" s="13" t="s">
        <v>43</v>
      </c>
      <c r="D319" s="3"/>
      <c r="E319" s="3"/>
      <c r="F319" s="3"/>
      <c r="G319" s="3"/>
      <c r="H319" s="3"/>
      <c r="I319" s="3"/>
      <c r="J319" s="4" t="s">
        <v>1757</v>
      </c>
    </row>
    <row r="320">
      <c r="A320" s="4" t="s">
        <v>11105</v>
      </c>
      <c r="B320" s="13" t="s">
        <v>43</v>
      </c>
      <c r="D320" s="3"/>
      <c r="E320" s="3"/>
      <c r="F320" s="3"/>
      <c r="G320" s="3"/>
      <c r="H320" s="3"/>
      <c r="I320" s="3"/>
      <c r="J320" s="4" t="s">
        <v>1757</v>
      </c>
    </row>
    <row r="321">
      <c r="A321" s="4" t="s">
        <v>11106</v>
      </c>
      <c r="B321" s="13" t="s">
        <v>43</v>
      </c>
      <c r="D321" s="3"/>
      <c r="E321" s="3"/>
      <c r="F321" s="3"/>
      <c r="G321" s="3"/>
      <c r="H321" s="3"/>
      <c r="I321" s="3"/>
      <c r="J321" s="4" t="s">
        <v>1757</v>
      </c>
    </row>
    <row r="322">
      <c r="A322" s="4" t="s">
        <v>11107</v>
      </c>
      <c r="B322" s="13" t="s">
        <v>43</v>
      </c>
      <c r="D322" s="3"/>
      <c r="E322" s="3"/>
      <c r="F322" s="3"/>
      <c r="G322" s="3"/>
      <c r="H322" s="3"/>
      <c r="I322" s="3"/>
    </row>
    <row r="323">
      <c r="A323" s="4" t="s">
        <v>11108</v>
      </c>
      <c r="B323" s="13" t="s">
        <v>43</v>
      </c>
      <c r="D323" s="3"/>
      <c r="E323" s="3"/>
      <c r="F323" s="3"/>
      <c r="G323" s="3"/>
      <c r="H323" s="3"/>
      <c r="I323" s="3"/>
    </row>
    <row r="324">
      <c r="A324" s="4" t="s">
        <v>11109</v>
      </c>
      <c r="B324" s="13" t="s">
        <v>43</v>
      </c>
      <c r="D324" s="3"/>
      <c r="E324" s="3"/>
      <c r="F324" s="3"/>
      <c r="G324" s="3"/>
      <c r="H324" s="3"/>
      <c r="I324" s="3"/>
    </row>
    <row r="325">
      <c r="A325" s="4" t="s">
        <v>11110</v>
      </c>
      <c r="B325" s="13" t="s">
        <v>43</v>
      </c>
      <c r="D325" s="3"/>
      <c r="E325" s="3"/>
      <c r="F325" s="3"/>
      <c r="G325" s="3"/>
      <c r="H325" s="3"/>
      <c r="I325" s="3"/>
    </row>
    <row r="326">
      <c r="A326" s="4" t="s">
        <v>11111</v>
      </c>
      <c r="B326" s="13" t="s">
        <v>43</v>
      </c>
      <c r="D326" s="3"/>
      <c r="E326" s="3"/>
      <c r="F326" s="3"/>
      <c r="G326" s="3"/>
      <c r="H326" s="3"/>
      <c r="I326" s="3"/>
    </row>
    <row r="327">
      <c r="A327" s="4" t="s">
        <v>11112</v>
      </c>
      <c r="B327" s="13" t="s">
        <v>43</v>
      </c>
      <c r="D327" s="3"/>
      <c r="E327" s="3"/>
      <c r="F327" s="3"/>
      <c r="G327" s="3"/>
      <c r="H327" s="3"/>
      <c r="I327" s="3"/>
    </row>
    <row r="328">
      <c r="A328" s="4" t="s">
        <v>11113</v>
      </c>
      <c r="B328" s="13" t="s">
        <v>43</v>
      </c>
      <c r="D328" s="3"/>
      <c r="E328" s="3"/>
      <c r="F328" s="3"/>
      <c r="G328" s="3"/>
      <c r="H328" s="3"/>
      <c r="I328" s="3"/>
    </row>
    <row r="329">
      <c r="A329" s="4" t="s">
        <v>11114</v>
      </c>
      <c r="B329" s="13" t="s">
        <v>48</v>
      </c>
      <c r="C329" s="4">
        <v>1.0</v>
      </c>
      <c r="D329" s="4">
        <v>1.0</v>
      </c>
      <c r="E329" s="3"/>
      <c r="F329" s="3"/>
      <c r="G329" s="3"/>
      <c r="H329" s="3"/>
      <c r="I329" s="3"/>
    </row>
    <row r="330">
      <c r="A330" s="4" t="s">
        <v>11115</v>
      </c>
      <c r="B330" s="13" t="s">
        <v>48</v>
      </c>
      <c r="C330" s="4">
        <v>1.0</v>
      </c>
      <c r="D330" s="4">
        <v>1.0</v>
      </c>
      <c r="E330" s="3"/>
      <c r="F330" s="3"/>
      <c r="G330" s="3"/>
      <c r="H330" s="3"/>
      <c r="I330" s="3"/>
    </row>
    <row r="331">
      <c r="A331" s="4" t="s">
        <v>11116</v>
      </c>
      <c r="B331" s="13" t="s">
        <v>48</v>
      </c>
      <c r="C331" s="4">
        <v>1.0</v>
      </c>
      <c r="D331" s="4">
        <v>1.0</v>
      </c>
      <c r="E331" s="3"/>
      <c r="F331" s="3"/>
      <c r="G331" s="3"/>
      <c r="H331" s="3"/>
      <c r="I331" s="3"/>
    </row>
    <row r="332">
      <c r="A332" s="4" t="s">
        <v>11117</v>
      </c>
      <c r="B332" s="13" t="s">
        <v>48</v>
      </c>
      <c r="C332" s="4">
        <v>2.0</v>
      </c>
      <c r="D332" s="4">
        <v>1.0</v>
      </c>
      <c r="E332" s="4" t="s">
        <v>10816</v>
      </c>
      <c r="F332" s="4">
        <v>9.0</v>
      </c>
      <c r="G332" s="3"/>
      <c r="H332" s="3"/>
      <c r="I332" s="3"/>
      <c r="J332" s="4" t="s">
        <v>1757</v>
      </c>
    </row>
    <row r="333">
      <c r="A333" s="4" t="s">
        <v>11118</v>
      </c>
      <c r="B333" s="13" t="s">
        <v>48</v>
      </c>
      <c r="C333" s="4">
        <v>1.0</v>
      </c>
      <c r="D333" s="4">
        <v>1.0</v>
      </c>
      <c r="E333" s="4" t="s">
        <v>10816</v>
      </c>
      <c r="F333" s="3"/>
      <c r="G333" s="3"/>
      <c r="H333" s="3"/>
      <c r="I333" s="3"/>
      <c r="J333" s="4" t="s">
        <v>1757</v>
      </c>
    </row>
    <row r="334">
      <c r="A334" s="4" t="s">
        <v>11119</v>
      </c>
      <c r="B334" s="13" t="s">
        <v>48</v>
      </c>
      <c r="C334" s="4">
        <v>1.0</v>
      </c>
      <c r="D334" s="4">
        <v>1.0</v>
      </c>
      <c r="E334" s="3"/>
      <c r="F334" s="3"/>
      <c r="G334" s="3"/>
      <c r="H334" s="3"/>
      <c r="I334" s="3"/>
    </row>
    <row r="335">
      <c r="A335" s="4" t="s">
        <v>11120</v>
      </c>
      <c r="B335" s="13" t="s">
        <v>48</v>
      </c>
      <c r="C335" s="4">
        <v>1.0</v>
      </c>
      <c r="D335" s="4">
        <v>1.0</v>
      </c>
      <c r="E335" s="3"/>
      <c r="F335" s="3"/>
      <c r="G335" s="3"/>
      <c r="H335" s="3"/>
      <c r="I335" s="3"/>
    </row>
    <row r="336">
      <c r="A336" s="4" t="s">
        <v>11121</v>
      </c>
      <c r="B336" s="13" t="s">
        <v>48</v>
      </c>
      <c r="C336" s="4">
        <v>1.0</v>
      </c>
      <c r="D336" s="4">
        <v>1.0</v>
      </c>
      <c r="E336" s="3"/>
      <c r="F336" s="3"/>
      <c r="G336" s="3"/>
      <c r="H336" s="3"/>
      <c r="I336" s="3"/>
    </row>
    <row r="337">
      <c r="A337" s="4" t="s">
        <v>11122</v>
      </c>
      <c r="B337" s="13" t="s">
        <v>48</v>
      </c>
      <c r="C337" s="4">
        <v>1.0</v>
      </c>
      <c r="D337" s="4">
        <v>1.0</v>
      </c>
      <c r="E337" s="3"/>
      <c r="F337" s="3"/>
      <c r="G337" s="3"/>
      <c r="H337" s="3"/>
      <c r="I337" s="3"/>
    </row>
    <row r="338">
      <c r="A338" s="4" t="s">
        <v>11123</v>
      </c>
      <c r="B338" s="13" t="s">
        <v>48</v>
      </c>
      <c r="C338" s="4">
        <v>1.0</v>
      </c>
      <c r="D338" s="4">
        <v>1.0</v>
      </c>
      <c r="E338" s="3"/>
      <c r="F338" s="3"/>
      <c r="G338" s="3"/>
      <c r="H338" s="3"/>
      <c r="I338" s="3"/>
    </row>
    <row r="339">
      <c r="A339" s="4" t="s">
        <v>11124</v>
      </c>
      <c r="B339" s="13" t="s">
        <v>48</v>
      </c>
      <c r="C339" s="4">
        <v>1.0</v>
      </c>
      <c r="D339" s="4">
        <v>1.0</v>
      </c>
      <c r="E339" s="3"/>
      <c r="F339" s="3"/>
      <c r="G339" s="3"/>
      <c r="H339" s="3"/>
      <c r="I339" s="3"/>
    </row>
    <row r="340">
      <c r="A340" s="4" t="s">
        <v>11125</v>
      </c>
      <c r="B340" s="13" t="s">
        <v>43</v>
      </c>
      <c r="D340" s="3"/>
      <c r="E340" s="3"/>
      <c r="F340" s="3"/>
      <c r="G340" s="3"/>
      <c r="H340" s="3"/>
      <c r="I340" s="3"/>
    </row>
    <row r="341">
      <c r="A341" s="4" t="s">
        <v>11126</v>
      </c>
      <c r="B341" s="13" t="s">
        <v>43</v>
      </c>
      <c r="D341" s="3"/>
      <c r="E341" s="3"/>
      <c r="F341" s="3"/>
      <c r="G341" s="3"/>
      <c r="H341" s="3"/>
      <c r="I341" s="3"/>
    </row>
    <row r="342">
      <c r="A342" s="4" t="s">
        <v>11127</v>
      </c>
      <c r="B342" s="13" t="s">
        <v>43</v>
      </c>
      <c r="D342" s="3"/>
      <c r="E342" s="3"/>
      <c r="F342" s="3"/>
      <c r="G342" s="3"/>
      <c r="H342" s="3"/>
      <c r="I342" s="3"/>
    </row>
    <row r="343">
      <c r="A343" s="4" t="s">
        <v>11128</v>
      </c>
      <c r="B343" s="13" t="s">
        <v>43</v>
      </c>
      <c r="D343" s="3"/>
      <c r="E343" s="3"/>
      <c r="F343" s="3"/>
      <c r="G343" s="3"/>
      <c r="H343" s="3"/>
      <c r="I343" s="3"/>
    </row>
    <row r="344">
      <c r="A344" s="4" t="s">
        <v>11129</v>
      </c>
      <c r="B344" s="13" t="s">
        <v>43</v>
      </c>
      <c r="D344" s="3"/>
      <c r="E344" s="3"/>
      <c r="F344" s="3"/>
      <c r="G344" s="3"/>
      <c r="H344" s="3"/>
      <c r="I344" s="3"/>
    </row>
    <row r="345">
      <c r="A345" s="4" t="s">
        <v>11130</v>
      </c>
      <c r="B345" s="13" t="s">
        <v>43</v>
      </c>
      <c r="D345" s="3"/>
      <c r="E345" s="3"/>
      <c r="F345" s="3"/>
      <c r="G345" s="3"/>
      <c r="H345" s="3"/>
      <c r="I345" s="3"/>
    </row>
    <row r="346">
      <c r="A346" s="4" t="s">
        <v>11131</v>
      </c>
      <c r="B346" s="13" t="s">
        <v>43</v>
      </c>
      <c r="D346" s="3"/>
      <c r="E346" s="3"/>
      <c r="F346" s="3"/>
      <c r="G346" s="3"/>
      <c r="H346" s="3"/>
      <c r="I346" s="3"/>
    </row>
    <row r="347">
      <c r="A347" s="4" t="s">
        <v>11132</v>
      </c>
      <c r="B347" s="13" t="s">
        <v>43</v>
      </c>
      <c r="D347" s="3"/>
      <c r="E347" s="3"/>
      <c r="F347" s="3"/>
      <c r="G347" s="3"/>
      <c r="H347" s="3"/>
      <c r="I347" s="3"/>
    </row>
    <row r="348">
      <c r="A348" s="4" t="s">
        <v>11133</v>
      </c>
      <c r="B348" s="13" t="s">
        <v>43</v>
      </c>
      <c r="D348" s="3"/>
      <c r="E348" s="3"/>
      <c r="F348" s="3"/>
      <c r="G348" s="3"/>
      <c r="H348" s="3"/>
      <c r="I348" s="3"/>
    </row>
    <row r="349">
      <c r="A349" s="4" t="s">
        <v>11134</v>
      </c>
      <c r="B349" s="13" t="s">
        <v>43</v>
      </c>
      <c r="D349" s="3"/>
      <c r="E349" s="3"/>
      <c r="F349" s="3"/>
      <c r="G349" s="3"/>
      <c r="H349" s="3"/>
      <c r="I349" s="3"/>
    </row>
    <row r="350">
      <c r="A350" s="4" t="s">
        <v>11135</v>
      </c>
      <c r="B350" s="13" t="s">
        <v>43</v>
      </c>
      <c r="D350" s="3"/>
      <c r="E350" s="3"/>
      <c r="F350" s="3"/>
      <c r="G350" s="3"/>
      <c r="H350" s="3"/>
      <c r="I350" s="3"/>
    </row>
    <row r="351">
      <c r="A351" s="4" t="s">
        <v>11136</v>
      </c>
      <c r="B351" s="13" t="s">
        <v>48</v>
      </c>
      <c r="C351" s="4">
        <v>1.0</v>
      </c>
      <c r="D351" s="3"/>
      <c r="E351" s="3"/>
      <c r="F351" s="3"/>
      <c r="G351" s="4">
        <v>10.0</v>
      </c>
      <c r="H351" s="3"/>
      <c r="I351" s="3"/>
    </row>
    <row r="352">
      <c r="A352" s="4" t="s">
        <v>11137</v>
      </c>
      <c r="B352" s="13" t="s">
        <v>48</v>
      </c>
      <c r="C352" s="4">
        <v>1.0</v>
      </c>
      <c r="D352" s="3"/>
      <c r="E352" s="3"/>
      <c r="F352" s="3"/>
      <c r="G352" s="4">
        <v>10.0</v>
      </c>
      <c r="H352" s="3"/>
      <c r="I352" s="3"/>
    </row>
    <row r="353">
      <c r="A353" s="4" t="s">
        <v>11138</v>
      </c>
      <c r="B353" s="13" t="s">
        <v>43</v>
      </c>
      <c r="D353" s="3"/>
      <c r="E353" s="3"/>
      <c r="F353" s="3"/>
      <c r="G353" s="3"/>
      <c r="H353" s="3"/>
      <c r="I353" s="3"/>
    </row>
    <row r="354">
      <c r="A354" s="4" t="s">
        <v>11139</v>
      </c>
      <c r="B354" s="13" t="s">
        <v>43</v>
      </c>
      <c r="D354" s="3"/>
      <c r="E354" s="3"/>
      <c r="F354" s="3"/>
      <c r="G354" s="3"/>
      <c r="H354" s="3"/>
      <c r="I354" s="3"/>
    </row>
    <row r="355">
      <c r="A355" s="4" t="s">
        <v>11140</v>
      </c>
      <c r="B355" s="13" t="s">
        <v>43</v>
      </c>
      <c r="D355" s="3"/>
      <c r="E355" s="3"/>
      <c r="F355" s="3"/>
      <c r="G355" s="3"/>
      <c r="H355" s="3"/>
      <c r="I355" s="3"/>
    </row>
    <row r="356">
      <c r="A356" s="4" t="s">
        <v>11141</v>
      </c>
      <c r="B356" s="13" t="s">
        <v>43</v>
      </c>
      <c r="D356" s="3"/>
      <c r="E356" s="3"/>
      <c r="F356" s="3"/>
      <c r="G356" s="3"/>
      <c r="H356" s="3"/>
      <c r="I356" s="3"/>
    </row>
    <row r="357">
      <c r="A357" s="4" t="s">
        <v>11142</v>
      </c>
      <c r="B357" s="13" t="s">
        <v>43</v>
      </c>
      <c r="D357" s="3"/>
      <c r="E357" s="3"/>
      <c r="F357" s="3"/>
      <c r="G357" s="3"/>
      <c r="H357" s="3"/>
      <c r="I357" s="3"/>
    </row>
    <row r="358">
      <c r="A358" s="4" t="s">
        <v>11143</v>
      </c>
      <c r="B358" s="13" t="s">
        <v>43</v>
      </c>
      <c r="D358" s="3"/>
      <c r="E358" s="3"/>
      <c r="F358" s="3"/>
      <c r="G358" s="3"/>
      <c r="H358" s="3"/>
      <c r="I358" s="3"/>
    </row>
    <row r="359">
      <c r="A359" s="4" t="s">
        <v>11144</v>
      </c>
      <c r="B359" s="13" t="s">
        <v>48</v>
      </c>
      <c r="C359" s="4">
        <v>1.0</v>
      </c>
      <c r="D359" s="3"/>
      <c r="E359" s="3"/>
      <c r="F359" s="3"/>
      <c r="G359" s="4">
        <v>10.0</v>
      </c>
      <c r="H359" s="3"/>
      <c r="I359" s="3"/>
    </row>
    <row r="360">
      <c r="A360" s="4" t="s">
        <v>11145</v>
      </c>
      <c r="B360" s="13" t="s">
        <v>43</v>
      </c>
      <c r="D360" s="3"/>
      <c r="E360" s="3"/>
      <c r="F360" s="3"/>
      <c r="G360" s="3"/>
      <c r="H360" s="3"/>
      <c r="I360" s="3"/>
    </row>
    <row r="361">
      <c r="A361" s="4" t="s">
        <v>11146</v>
      </c>
      <c r="B361" s="13" t="s">
        <v>43</v>
      </c>
      <c r="D361" s="3"/>
      <c r="E361" s="3"/>
      <c r="F361" s="3"/>
      <c r="G361" s="3"/>
      <c r="H361" s="3"/>
      <c r="I361" s="3"/>
    </row>
    <row r="362">
      <c r="A362" s="4" t="s">
        <v>11147</v>
      </c>
      <c r="B362" s="13" t="s">
        <v>48</v>
      </c>
      <c r="C362" s="4">
        <v>1.0</v>
      </c>
      <c r="D362" s="3"/>
      <c r="E362" s="3"/>
      <c r="F362" s="3"/>
      <c r="G362" s="4">
        <v>10.0</v>
      </c>
      <c r="H362" s="3"/>
      <c r="I362" s="3"/>
    </row>
    <row r="363">
      <c r="A363" s="4" t="s">
        <v>11148</v>
      </c>
      <c r="B363" s="13" t="s">
        <v>48</v>
      </c>
      <c r="C363" s="4">
        <v>1.0</v>
      </c>
      <c r="D363" s="3"/>
      <c r="E363" s="3"/>
      <c r="F363" s="3"/>
      <c r="G363" s="4">
        <v>10.0</v>
      </c>
      <c r="H363" s="3"/>
      <c r="I363" s="3"/>
    </row>
    <row r="364">
      <c r="A364" s="4" t="s">
        <v>11149</v>
      </c>
      <c r="B364" s="13" t="s">
        <v>48</v>
      </c>
      <c r="C364" s="4">
        <v>1.0</v>
      </c>
      <c r="D364" s="3"/>
      <c r="E364" s="3"/>
      <c r="F364" s="3"/>
      <c r="G364" s="4">
        <v>10.0</v>
      </c>
      <c r="H364" s="3"/>
      <c r="I364" s="3"/>
    </row>
    <row r="365">
      <c r="A365" s="4" t="s">
        <v>11150</v>
      </c>
      <c r="B365" s="13" t="s">
        <v>48</v>
      </c>
      <c r="C365" s="4">
        <v>1.0</v>
      </c>
      <c r="D365" s="3"/>
      <c r="E365" s="3"/>
      <c r="F365" s="3"/>
      <c r="G365" s="4">
        <v>10.0</v>
      </c>
      <c r="H365" s="3"/>
      <c r="I365" s="3"/>
    </row>
    <row r="366">
      <c r="A366" s="4" t="s">
        <v>11151</v>
      </c>
      <c r="B366" s="13" t="s">
        <v>43</v>
      </c>
      <c r="D366" s="3"/>
      <c r="E366" s="3"/>
      <c r="F366" s="3"/>
      <c r="G366" s="3"/>
      <c r="H366" s="3"/>
      <c r="I366" s="3"/>
    </row>
    <row r="367">
      <c r="A367" s="4" t="s">
        <v>11152</v>
      </c>
      <c r="B367" s="13" t="s">
        <v>43</v>
      </c>
      <c r="D367" s="3"/>
      <c r="E367" s="3"/>
      <c r="F367" s="3"/>
      <c r="G367" s="3"/>
      <c r="H367" s="3"/>
      <c r="I367" s="3"/>
    </row>
    <row r="368">
      <c r="A368" s="4" t="s">
        <v>11153</v>
      </c>
      <c r="B368" s="13" t="s">
        <v>43</v>
      </c>
      <c r="D368" s="3"/>
      <c r="E368" s="3"/>
      <c r="F368" s="3"/>
      <c r="G368" s="3"/>
      <c r="H368" s="3"/>
      <c r="I368" s="3"/>
    </row>
    <row r="369">
      <c r="A369" s="4" t="s">
        <v>11154</v>
      </c>
      <c r="B369" s="13" t="s">
        <v>43</v>
      </c>
      <c r="D369" s="3"/>
      <c r="E369" s="3"/>
      <c r="F369" s="3"/>
      <c r="G369" s="3"/>
      <c r="H369" s="3"/>
      <c r="I369" s="3"/>
    </row>
    <row r="370">
      <c r="A370" s="4" t="s">
        <v>11155</v>
      </c>
      <c r="B370" s="13" t="s">
        <v>43</v>
      </c>
      <c r="D370" s="3"/>
      <c r="E370" s="3"/>
      <c r="F370" s="3"/>
      <c r="G370" s="3"/>
      <c r="H370" s="3"/>
      <c r="I370" s="3"/>
    </row>
    <row r="371">
      <c r="A371" s="4" t="s">
        <v>11156</v>
      </c>
      <c r="B371" s="13" t="s">
        <v>43</v>
      </c>
      <c r="D371" s="3"/>
      <c r="E371" s="3"/>
      <c r="F371" s="3"/>
      <c r="G371" s="3"/>
      <c r="H371" s="3"/>
      <c r="I371" s="3"/>
    </row>
    <row r="372">
      <c r="A372" s="4" t="s">
        <v>11157</v>
      </c>
      <c r="B372" s="13" t="s">
        <v>43</v>
      </c>
      <c r="D372" s="3"/>
      <c r="E372" s="3"/>
      <c r="F372" s="3"/>
      <c r="G372" s="3"/>
      <c r="H372" s="3"/>
      <c r="I372" s="3"/>
    </row>
    <row r="373">
      <c r="A373" s="4" t="s">
        <v>11158</v>
      </c>
      <c r="B373" s="13" t="s">
        <v>43</v>
      </c>
      <c r="D373" s="3"/>
      <c r="E373" s="3"/>
      <c r="F373" s="3"/>
      <c r="G373" s="3"/>
      <c r="H373" s="3"/>
      <c r="I373" s="3"/>
    </row>
    <row r="374">
      <c r="A374" s="4" t="s">
        <v>11159</v>
      </c>
      <c r="B374" s="13" t="s">
        <v>43</v>
      </c>
      <c r="D374" s="3"/>
      <c r="E374" s="3"/>
      <c r="F374" s="3"/>
      <c r="G374" s="3"/>
      <c r="H374" s="3"/>
      <c r="I374" s="3"/>
    </row>
    <row r="375">
      <c r="A375" s="4" t="s">
        <v>11160</v>
      </c>
      <c r="B375" s="13" t="s">
        <v>43</v>
      </c>
      <c r="D375" s="3"/>
      <c r="E375" s="3"/>
      <c r="F375" s="3"/>
      <c r="G375" s="3"/>
      <c r="H375" s="3"/>
      <c r="I375" s="3"/>
    </row>
    <row r="376">
      <c r="A376" s="4" t="s">
        <v>11161</v>
      </c>
      <c r="B376" s="13" t="s">
        <v>43</v>
      </c>
      <c r="D376" s="3"/>
      <c r="E376" s="3"/>
      <c r="F376" s="3"/>
      <c r="G376" s="3"/>
      <c r="H376" s="3"/>
      <c r="I376" s="3"/>
    </row>
    <row r="377">
      <c r="A377" s="4" t="s">
        <v>11162</v>
      </c>
      <c r="B377" s="13" t="s">
        <v>43</v>
      </c>
      <c r="D377" s="3"/>
      <c r="E377" s="3"/>
      <c r="F377" s="3"/>
      <c r="G377" s="3"/>
      <c r="H377" s="3"/>
      <c r="I377" s="3"/>
    </row>
    <row r="378">
      <c r="A378" s="4" t="s">
        <v>11163</v>
      </c>
      <c r="B378" s="13" t="s">
        <v>43</v>
      </c>
      <c r="D378" s="3"/>
      <c r="E378" s="3"/>
      <c r="F378" s="3"/>
      <c r="G378" s="3"/>
      <c r="H378" s="3"/>
      <c r="I378" s="3"/>
    </row>
    <row r="379">
      <c r="A379" s="4" t="s">
        <v>11164</v>
      </c>
      <c r="B379" s="13" t="s">
        <v>43</v>
      </c>
      <c r="D379" s="3"/>
      <c r="E379" s="3"/>
      <c r="F379" s="3"/>
      <c r="G379" s="3"/>
      <c r="H379" s="3"/>
      <c r="I379" s="3"/>
    </row>
    <row r="380">
      <c r="A380" s="4" t="s">
        <v>11165</v>
      </c>
      <c r="B380" s="13" t="s">
        <v>43</v>
      </c>
      <c r="D380" s="3"/>
      <c r="E380" s="3"/>
      <c r="F380" s="3"/>
      <c r="G380" s="3"/>
      <c r="H380" s="3"/>
      <c r="I380" s="3"/>
    </row>
    <row r="381">
      <c r="A381" s="4" t="s">
        <v>11166</v>
      </c>
      <c r="B381" s="13" t="s">
        <v>43</v>
      </c>
      <c r="D381" s="3"/>
      <c r="E381" s="3"/>
      <c r="F381" s="3"/>
      <c r="G381" s="3"/>
      <c r="H381" s="3"/>
      <c r="I381" s="3"/>
    </row>
    <row r="382">
      <c r="A382" s="4" t="s">
        <v>11167</v>
      </c>
      <c r="B382" s="13" t="s">
        <v>43</v>
      </c>
      <c r="D382" s="3"/>
      <c r="E382" s="3"/>
      <c r="F382" s="3"/>
      <c r="G382" s="3"/>
      <c r="H382" s="3"/>
      <c r="I382" s="3"/>
    </row>
    <row r="383">
      <c r="A383" s="4" t="s">
        <v>11168</v>
      </c>
      <c r="B383" s="13" t="s">
        <v>43</v>
      </c>
      <c r="D383" s="3"/>
      <c r="E383" s="3"/>
      <c r="F383" s="3"/>
      <c r="G383" s="3"/>
      <c r="H383" s="3"/>
      <c r="I383" s="3"/>
    </row>
    <row r="384">
      <c r="A384" s="4" t="s">
        <v>11169</v>
      </c>
      <c r="B384" s="13" t="s">
        <v>43</v>
      </c>
      <c r="D384" s="3"/>
      <c r="E384" s="3"/>
      <c r="F384" s="3"/>
      <c r="G384" s="3"/>
      <c r="H384" s="3"/>
      <c r="I384" s="3"/>
    </row>
    <row r="385">
      <c r="A385" s="4" t="s">
        <v>11170</v>
      </c>
      <c r="B385" s="13" t="s">
        <v>43</v>
      </c>
      <c r="D385" s="3"/>
      <c r="E385" s="3"/>
      <c r="F385" s="3"/>
      <c r="G385" s="3"/>
      <c r="H385" s="3"/>
      <c r="I385" s="3"/>
    </row>
    <row r="386">
      <c r="A386" s="4" t="s">
        <v>11171</v>
      </c>
      <c r="B386" s="13" t="s">
        <v>43</v>
      </c>
      <c r="D386" s="3"/>
      <c r="E386" s="3"/>
      <c r="F386" s="3"/>
      <c r="G386" s="3"/>
      <c r="H386" s="3"/>
      <c r="I386" s="3"/>
    </row>
    <row r="387">
      <c r="A387" s="4" t="s">
        <v>11172</v>
      </c>
      <c r="B387" s="13" t="s">
        <v>43</v>
      </c>
      <c r="D387" s="3"/>
      <c r="E387" s="3"/>
      <c r="F387" s="3"/>
      <c r="G387" s="3"/>
      <c r="H387" s="3"/>
      <c r="I387" s="3"/>
    </row>
    <row r="388">
      <c r="A388" s="4" t="s">
        <v>11173</v>
      </c>
      <c r="B388" s="13" t="s">
        <v>43</v>
      </c>
      <c r="D388" s="3"/>
      <c r="E388" s="3"/>
      <c r="F388" s="3"/>
      <c r="G388" s="3"/>
      <c r="H388" s="3"/>
      <c r="I388" s="3"/>
    </row>
    <row r="389">
      <c r="A389" s="4" t="s">
        <v>11174</v>
      </c>
      <c r="B389" s="13" t="s">
        <v>43</v>
      </c>
      <c r="D389" s="3"/>
      <c r="E389" s="3"/>
      <c r="F389" s="3"/>
      <c r="G389" s="3"/>
      <c r="H389" s="3"/>
      <c r="I389" s="3"/>
    </row>
    <row r="390">
      <c r="A390" s="4" t="s">
        <v>11175</v>
      </c>
      <c r="B390" s="13" t="s">
        <v>43</v>
      </c>
      <c r="D390" s="3"/>
      <c r="E390" s="3"/>
      <c r="F390" s="3"/>
      <c r="G390" s="3"/>
      <c r="H390" s="3"/>
      <c r="I390" s="3"/>
    </row>
    <row r="391">
      <c r="A391" s="4" t="s">
        <v>11176</v>
      </c>
      <c r="B391" s="13" t="s">
        <v>43</v>
      </c>
      <c r="D391" s="3"/>
      <c r="E391" s="3"/>
      <c r="F391" s="3"/>
      <c r="G391" s="3"/>
      <c r="H391" s="3"/>
      <c r="I391" s="3"/>
    </row>
    <row r="392">
      <c r="A392" s="4" t="s">
        <v>11177</v>
      </c>
      <c r="B392" s="13" t="s">
        <v>43</v>
      </c>
      <c r="D392" s="3"/>
      <c r="E392" s="3"/>
      <c r="F392" s="3"/>
      <c r="G392" s="3"/>
      <c r="H392" s="3"/>
      <c r="I392" s="3"/>
    </row>
    <row r="393">
      <c r="A393" s="4" t="s">
        <v>11178</v>
      </c>
      <c r="B393" s="13" t="s">
        <v>43</v>
      </c>
      <c r="D393" s="3"/>
      <c r="E393" s="3"/>
      <c r="F393" s="3"/>
      <c r="G393" s="3"/>
      <c r="H393" s="3"/>
      <c r="I393" s="3"/>
    </row>
    <row r="394">
      <c r="A394" s="4" t="s">
        <v>11179</v>
      </c>
      <c r="B394" s="13" t="s">
        <v>43</v>
      </c>
      <c r="D394" s="3"/>
      <c r="E394" s="3"/>
      <c r="F394" s="3"/>
      <c r="G394" s="3"/>
      <c r="H394" s="3"/>
      <c r="I394" s="3"/>
    </row>
    <row r="395">
      <c r="A395" s="4" t="s">
        <v>11180</v>
      </c>
      <c r="B395" s="13" t="s">
        <v>48</v>
      </c>
      <c r="C395" s="4">
        <v>1.0</v>
      </c>
      <c r="D395" s="3"/>
      <c r="E395" s="3"/>
      <c r="F395" s="3"/>
      <c r="G395" s="4">
        <v>10.0</v>
      </c>
      <c r="H395" s="3"/>
      <c r="I395" s="3"/>
    </row>
    <row r="396">
      <c r="A396" s="4" t="s">
        <v>11181</v>
      </c>
      <c r="B396" s="13" t="s">
        <v>48</v>
      </c>
      <c r="C396" s="4">
        <v>1.0</v>
      </c>
      <c r="D396" s="3"/>
      <c r="E396" s="3"/>
      <c r="F396" s="3"/>
      <c r="G396" s="4">
        <v>10.0</v>
      </c>
      <c r="H396" s="3"/>
      <c r="I396" s="3"/>
    </row>
    <row r="397">
      <c r="A397" s="4" t="s">
        <v>11182</v>
      </c>
      <c r="B397" s="13" t="s">
        <v>48</v>
      </c>
      <c r="C397" s="4">
        <v>1.0</v>
      </c>
      <c r="D397" s="3"/>
      <c r="E397" s="3"/>
      <c r="F397" s="3"/>
      <c r="G397" s="4">
        <v>10.0</v>
      </c>
      <c r="H397" s="3"/>
      <c r="I397" s="3"/>
    </row>
    <row r="398">
      <c r="A398" s="4" t="s">
        <v>11183</v>
      </c>
      <c r="B398" s="13" t="s">
        <v>48</v>
      </c>
      <c r="C398" s="4">
        <v>1.0</v>
      </c>
      <c r="D398" s="3"/>
      <c r="E398" s="3"/>
      <c r="F398" s="3"/>
      <c r="G398" s="4">
        <v>10.0</v>
      </c>
      <c r="H398" s="3"/>
      <c r="I398" s="3"/>
    </row>
    <row r="399">
      <c r="A399" s="4" t="s">
        <v>11184</v>
      </c>
      <c r="B399" s="13" t="s">
        <v>48</v>
      </c>
      <c r="C399" s="4">
        <v>1.0</v>
      </c>
      <c r="D399" s="3"/>
      <c r="E399" s="3"/>
      <c r="F399" s="3"/>
      <c r="G399" s="4">
        <v>10.0</v>
      </c>
      <c r="H399" s="3"/>
      <c r="I399" s="3"/>
    </row>
    <row r="400">
      <c r="A400" s="4" t="s">
        <v>11185</v>
      </c>
      <c r="B400" s="13" t="s">
        <v>48</v>
      </c>
      <c r="C400" s="4">
        <v>2.0</v>
      </c>
      <c r="D400" s="3"/>
      <c r="E400" s="3"/>
      <c r="F400" s="3"/>
      <c r="G400" s="4">
        <v>10.0</v>
      </c>
      <c r="H400" s="3"/>
      <c r="I400" s="4">
        <v>15.0</v>
      </c>
    </row>
    <row r="401">
      <c r="A401" s="4" t="s">
        <v>11186</v>
      </c>
      <c r="B401" s="13" t="s">
        <v>48</v>
      </c>
      <c r="C401" s="4">
        <v>1.0</v>
      </c>
      <c r="D401" s="3"/>
      <c r="E401" s="3"/>
      <c r="F401" s="3"/>
      <c r="G401" s="4">
        <v>10.0</v>
      </c>
      <c r="H401" s="3"/>
      <c r="I401" s="3"/>
    </row>
    <row r="402">
      <c r="A402" s="4" t="s">
        <v>11187</v>
      </c>
      <c r="B402" s="13" t="s">
        <v>43</v>
      </c>
      <c r="D402" s="3"/>
      <c r="E402" s="3"/>
      <c r="F402" s="3"/>
      <c r="G402" s="3"/>
      <c r="H402" s="3"/>
      <c r="I402" s="3"/>
    </row>
    <row r="403">
      <c r="A403" s="4" t="s">
        <v>11188</v>
      </c>
      <c r="B403" s="13" t="s">
        <v>43</v>
      </c>
      <c r="D403" s="3"/>
      <c r="E403" s="3"/>
      <c r="F403" s="3"/>
      <c r="G403" s="3"/>
      <c r="H403" s="3"/>
      <c r="I403" s="3"/>
    </row>
    <row r="404">
      <c r="A404" s="4" t="s">
        <v>11189</v>
      </c>
      <c r="B404" s="13" t="s">
        <v>48</v>
      </c>
      <c r="C404" s="4">
        <v>2.0</v>
      </c>
      <c r="D404" s="3"/>
      <c r="E404" s="3"/>
      <c r="F404" s="3"/>
      <c r="G404" s="4">
        <v>10.0</v>
      </c>
      <c r="H404" s="3"/>
      <c r="I404" s="4">
        <v>15.0</v>
      </c>
    </row>
    <row r="405">
      <c r="A405" s="4" t="s">
        <v>11190</v>
      </c>
      <c r="B405" s="13" t="s">
        <v>48</v>
      </c>
      <c r="C405" s="4">
        <v>2.0</v>
      </c>
      <c r="D405" s="3"/>
      <c r="E405" s="3"/>
      <c r="F405" s="3"/>
      <c r="G405" s="4">
        <v>10.0</v>
      </c>
      <c r="H405" s="3"/>
      <c r="I405" s="4">
        <v>15.0</v>
      </c>
    </row>
    <row r="406">
      <c r="A406" s="4" t="s">
        <v>11191</v>
      </c>
      <c r="B406" s="13" t="s">
        <v>48</v>
      </c>
      <c r="C406" s="4">
        <v>2.0</v>
      </c>
      <c r="D406" s="3"/>
      <c r="E406" s="3"/>
      <c r="F406" s="3"/>
      <c r="G406" s="4">
        <v>10.0</v>
      </c>
      <c r="H406" s="3"/>
      <c r="I406" s="4">
        <v>15.0</v>
      </c>
    </row>
    <row r="407">
      <c r="A407" s="4" t="s">
        <v>11192</v>
      </c>
      <c r="B407" s="13" t="s">
        <v>48</v>
      </c>
      <c r="C407" s="4">
        <v>1.0</v>
      </c>
      <c r="D407" s="3"/>
      <c r="E407" s="3"/>
      <c r="F407" s="3"/>
      <c r="G407" s="3"/>
      <c r="H407" s="3"/>
      <c r="I407" s="4">
        <v>15.0</v>
      </c>
    </row>
    <row r="408">
      <c r="A408" s="4" t="s">
        <v>11193</v>
      </c>
      <c r="B408" s="13" t="s">
        <v>43</v>
      </c>
      <c r="D408" s="3"/>
      <c r="E408" s="3"/>
      <c r="F408" s="3"/>
      <c r="G408" s="3"/>
      <c r="H408" s="3"/>
      <c r="I408" s="3"/>
    </row>
    <row r="409">
      <c r="A409" s="4" t="s">
        <v>11194</v>
      </c>
      <c r="B409" s="13" t="s">
        <v>43</v>
      </c>
      <c r="D409" s="3"/>
      <c r="E409" s="3"/>
      <c r="F409" s="3"/>
      <c r="G409" s="3"/>
      <c r="H409" s="3"/>
      <c r="I409" s="3"/>
    </row>
    <row r="410">
      <c r="A410" s="4" t="s">
        <v>11195</v>
      </c>
      <c r="B410" s="13" t="s">
        <v>43</v>
      </c>
      <c r="D410" s="3"/>
      <c r="E410" s="3"/>
      <c r="F410" s="3"/>
      <c r="G410" s="3"/>
      <c r="H410" s="3"/>
      <c r="I410" s="3"/>
    </row>
    <row r="411">
      <c r="A411" s="4" t="s">
        <v>11196</v>
      </c>
      <c r="B411" s="13" t="s">
        <v>43</v>
      </c>
      <c r="D411" s="3"/>
      <c r="E411" s="3"/>
      <c r="F411" s="3"/>
      <c r="G411" s="3"/>
      <c r="H411" s="3"/>
      <c r="I411" s="3"/>
    </row>
    <row r="412">
      <c r="A412" s="4" t="s">
        <v>11197</v>
      </c>
      <c r="B412" s="13" t="s">
        <v>48</v>
      </c>
      <c r="C412" s="4">
        <v>3.0</v>
      </c>
      <c r="D412" s="3"/>
      <c r="E412" s="3"/>
      <c r="F412" s="4">
        <v>9.0</v>
      </c>
      <c r="G412" s="4">
        <v>10.0</v>
      </c>
      <c r="H412" s="3"/>
      <c r="I412" s="4">
        <v>15.0</v>
      </c>
      <c r="J412" s="4" t="s">
        <v>1757</v>
      </c>
    </row>
    <row r="413">
      <c r="A413" s="4" t="s">
        <v>11198</v>
      </c>
      <c r="B413" s="13" t="s">
        <v>48</v>
      </c>
      <c r="C413" s="4">
        <v>3.0</v>
      </c>
      <c r="D413" s="3"/>
      <c r="E413" s="3"/>
      <c r="F413" s="4">
        <v>9.0</v>
      </c>
      <c r="G413" s="4">
        <v>10.0</v>
      </c>
      <c r="H413" s="3"/>
      <c r="I413" s="4">
        <v>15.0</v>
      </c>
      <c r="J413" s="4" t="s">
        <v>1757</v>
      </c>
    </row>
    <row r="414">
      <c r="A414" s="4" t="s">
        <v>11199</v>
      </c>
      <c r="B414" s="13" t="s">
        <v>48</v>
      </c>
      <c r="C414" s="4">
        <v>3.0</v>
      </c>
      <c r="D414" s="3"/>
      <c r="E414" s="3"/>
      <c r="F414" s="4">
        <v>9.0</v>
      </c>
      <c r="G414" s="4">
        <v>10.0</v>
      </c>
      <c r="H414" s="3"/>
      <c r="I414" s="4">
        <v>15.0</v>
      </c>
      <c r="J414" s="4" t="s">
        <v>1757</v>
      </c>
      <c r="K414" s="4" t="s">
        <v>1757</v>
      </c>
    </row>
    <row r="415">
      <c r="A415" s="4" t="s">
        <v>11200</v>
      </c>
      <c r="B415" s="13" t="s">
        <v>48</v>
      </c>
      <c r="C415" s="4">
        <v>3.0</v>
      </c>
      <c r="D415" s="3"/>
      <c r="E415" s="3"/>
      <c r="F415" s="4">
        <v>9.0</v>
      </c>
      <c r="G415" s="4">
        <v>10.0</v>
      </c>
      <c r="H415" s="3"/>
      <c r="I415" s="4">
        <v>15.0</v>
      </c>
      <c r="J415" s="4" t="s">
        <v>1757</v>
      </c>
      <c r="K415" s="4" t="s">
        <v>1757</v>
      </c>
    </row>
    <row r="416">
      <c r="A416" s="4" t="s">
        <v>11201</v>
      </c>
      <c r="B416" s="13" t="s">
        <v>48</v>
      </c>
      <c r="C416" s="4">
        <v>3.0</v>
      </c>
      <c r="D416" s="3"/>
      <c r="E416" s="3"/>
      <c r="F416" s="4">
        <v>9.0</v>
      </c>
      <c r="G416" s="4">
        <v>10.0</v>
      </c>
      <c r="H416" s="3"/>
      <c r="I416" s="4">
        <v>15.0</v>
      </c>
      <c r="J416" s="4" t="s">
        <v>1757</v>
      </c>
      <c r="K416" s="4" t="s">
        <v>1757</v>
      </c>
    </row>
    <row r="417">
      <c r="A417" s="4" t="s">
        <v>11202</v>
      </c>
      <c r="B417" s="13" t="s">
        <v>48</v>
      </c>
      <c r="C417" s="4">
        <v>3.0</v>
      </c>
      <c r="D417" s="3"/>
      <c r="E417" s="3"/>
      <c r="F417" s="4">
        <v>9.0</v>
      </c>
      <c r="G417" s="4">
        <v>10.0</v>
      </c>
      <c r="H417" s="3"/>
      <c r="I417" s="4">
        <v>15.0</v>
      </c>
      <c r="J417" s="4" t="s">
        <v>1757</v>
      </c>
      <c r="K417" s="4" t="s">
        <v>1757</v>
      </c>
    </row>
    <row r="418">
      <c r="A418" s="4" t="s">
        <v>11203</v>
      </c>
      <c r="B418" s="13" t="s">
        <v>48</v>
      </c>
      <c r="C418" s="4">
        <v>2.0</v>
      </c>
      <c r="D418" s="3"/>
      <c r="E418" s="3"/>
      <c r="F418" s="4">
        <v>9.0</v>
      </c>
      <c r="G418" s="4">
        <v>10.0</v>
      </c>
      <c r="H418" s="3"/>
      <c r="I418" s="3"/>
    </row>
    <row r="419">
      <c r="A419" s="4" t="s">
        <v>11204</v>
      </c>
      <c r="B419" s="13" t="s">
        <v>48</v>
      </c>
      <c r="C419" s="4">
        <v>2.0</v>
      </c>
      <c r="D419" s="3"/>
      <c r="E419" s="3"/>
      <c r="F419" s="4">
        <v>9.0</v>
      </c>
      <c r="G419" s="4">
        <v>10.0</v>
      </c>
      <c r="H419" s="3"/>
      <c r="I419" s="3"/>
    </row>
    <row r="420">
      <c r="A420" s="4" t="s">
        <v>11205</v>
      </c>
      <c r="B420" s="13" t="s">
        <v>43</v>
      </c>
      <c r="D420" s="3"/>
      <c r="E420" s="3"/>
      <c r="F420" s="3"/>
      <c r="G420" s="3"/>
      <c r="H420" s="3"/>
      <c r="I420" s="3"/>
    </row>
    <row r="421">
      <c r="A421" s="4" t="s">
        <v>11206</v>
      </c>
      <c r="B421" s="13" t="s">
        <v>43</v>
      </c>
      <c r="D421" s="3"/>
      <c r="E421" s="3"/>
      <c r="F421" s="3"/>
      <c r="G421" s="3"/>
      <c r="H421" s="3"/>
      <c r="I421" s="3"/>
    </row>
    <row r="422">
      <c r="A422" s="4" t="s">
        <v>11207</v>
      </c>
      <c r="B422" s="13" t="s">
        <v>43</v>
      </c>
      <c r="D422" s="3"/>
      <c r="E422" s="3"/>
      <c r="F422" s="3"/>
      <c r="G422" s="3"/>
      <c r="H422" s="3"/>
      <c r="I422" s="3"/>
    </row>
    <row r="423">
      <c r="A423" s="4" t="s">
        <v>11208</v>
      </c>
      <c r="B423" s="13" t="s">
        <v>43</v>
      </c>
      <c r="D423" s="3"/>
      <c r="E423" s="3"/>
      <c r="F423" s="3"/>
      <c r="G423" s="3"/>
      <c r="H423" s="3"/>
      <c r="I423" s="3"/>
    </row>
    <row r="424">
      <c r="A424" s="4" t="s">
        <v>11209</v>
      </c>
      <c r="B424" s="13" t="s">
        <v>43</v>
      </c>
      <c r="D424" s="3"/>
      <c r="E424" s="3"/>
      <c r="F424" s="3"/>
      <c r="G424" s="3"/>
      <c r="H424" s="3"/>
      <c r="I424" s="3"/>
    </row>
    <row r="425">
      <c r="A425" s="4" t="s">
        <v>11210</v>
      </c>
      <c r="B425" s="13" t="s">
        <v>43</v>
      </c>
      <c r="D425" s="3"/>
      <c r="E425" s="3"/>
      <c r="F425" s="3"/>
      <c r="G425" s="3"/>
      <c r="H425" s="3"/>
      <c r="I425" s="3"/>
    </row>
    <row r="426">
      <c r="A426" s="4" t="s">
        <v>11211</v>
      </c>
      <c r="B426" s="13" t="s">
        <v>43</v>
      </c>
      <c r="D426" s="3"/>
      <c r="E426" s="3"/>
      <c r="F426" s="3"/>
      <c r="G426" s="3"/>
      <c r="H426" s="3"/>
      <c r="I426" s="3"/>
    </row>
    <row r="427">
      <c r="A427" s="4" t="s">
        <v>11212</v>
      </c>
      <c r="B427" s="13" t="s">
        <v>43</v>
      </c>
      <c r="D427" s="3"/>
      <c r="E427" s="3"/>
      <c r="F427" s="3"/>
      <c r="G427" s="3"/>
      <c r="H427" s="3"/>
      <c r="I427" s="3"/>
    </row>
    <row r="428">
      <c r="A428" s="4" t="s">
        <v>11213</v>
      </c>
      <c r="B428" s="13" t="s">
        <v>48</v>
      </c>
      <c r="C428" s="4">
        <v>1.0</v>
      </c>
      <c r="D428" s="3"/>
      <c r="E428" s="4">
        <v>2.0</v>
      </c>
      <c r="F428" s="3"/>
      <c r="G428" s="3"/>
      <c r="H428" s="3"/>
      <c r="I428" s="3"/>
    </row>
    <row r="429">
      <c r="A429" s="4" t="s">
        <v>11214</v>
      </c>
      <c r="B429" s="13" t="s">
        <v>48</v>
      </c>
      <c r="C429" s="4">
        <v>2.0</v>
      </c>
      <c r="D429" s="3"/>
      <c r="E429" s="4">
        <v>2.0</v>
      </c>
      <c r="F429" s="4">
        <v>9.0</v>
      </c>
      <c r="G429" s="3"/>
      <c r="H429" s="3"/>
      <c r="I429" s="3"/>
    </row>
    <row r="430">
      <c r="A430" s="4" t="s">
        <v>11215</v>
      </c>
      <c r="B430" s="13" t="s">
        <v>48</v>
      </c>
      <c r="C430" s="4">
        <v>2.0</v>
      </c>
      <c r="D430" s="3"/>
      <c r="E430" s="4">
        <v>2.0</v>
      </c>
      <c r="F430" s="4">
        <v>9.0</v>
      </c>
      <c r="G430" s="3"/>
      <c r="H430" s="3"/>
      <c r="I430" s="3"/>
    </row>
    <row r="431">
      <c r="A431" s="4" t="s">
        <v>11216</v>
      </c>
      <c r="B431" s="13" t="s">
        <v>48</v>
      </c>
      <c r="C431" s="4">
        <v>3.0</v>
      </c>
      <c r="D431" s="3"/>
      <c r="E431" s="4">
        <v>2.0</v>
      </c>
      <c r="F431" s="4">
        <v>9.0</v>
      </c>
      <c r="G431" s="3"/>
      <c r="H431" s="4">
        <v>13.0</v>
      </c>
      <c r="I431" s="3"/>
    </row>
    <row r="432">
      <c r="A432" s="4" t="s">
        <v>11217</v>
      </c>
      <c r="B432" s="13" t="s">
        <v>48</v>
      </c>
      <c r="C432" s="4">
        <v>3.0</v>
      </c>
      <c r="D432" s="3"/>
      <c r="E432" s="4">
        <v>2.0</v>
      </c>
      <c r="F432" s="4">
        <v>9.0</v>
      </c>
      <c r="G432" s="3"/>
      <c r="H432" s="4">
        <v>13.0</v>
      </c>
      <c r="I432" s="3"/>
    </row>
    <row r="433">
      <c r="A433" s="4" t="s">
        <v>11218</v>
      </c>
      <c r="B433" s="13" t="s">
        <v>48</v>
      </c>
      <c r="C433" s="4">
        <v>3.0</v>
      </c>
      <c r="D433" s="3"/>
      <c r="E433" s="4">
        <v>2.0</v>
      </c>
      <c r="F433" s="4">
        <v>9.0</v>
      </c>
      <c r="G433" s="3"/>
      <c r="H433" s="3"/>
      <c r="I433" s="3"/>
    </row>
    <row r="434">
      <c r="A434" s="4" t="s">
        <v>11219</v>
      </c>
      <c r="B434" s="13" t="s">
        <v>48</v>
      </c>
      <c r="C434" s="4">
        <v>3.0</v>
      </c>
      <c r="D434" s="3"/>
      <c r="E434" s="4">
        <v>2.0</v>
      </c>
      <c r="F434" s="4">
        <v>9.0</v>
      </c>
      <c r="G434" s="3"/>
      <c r="H434" s="4">
        <v>13.0</v>
      </c>
      <c r="I434" s="3"/>
    </row>
    <row r="435">
      <c r="A435" s="4" t="s">
        <v>11220</v>
      </c>
      <c r="B435" s="13" t="s">
        <v>48</v>
      </c>
      <c r="C435" s="4">
        <v>3.0</v>
      </c>
      <c r="D435" s="3"/>
      <c r="E435" s="4">
        <v>2.0</v>
      </c>
      <c r="F435" s="4">
        <v>9.0</v>
      </c>
      <c r="G435" s="3"/>
      <c r="H435" s="4">
        <v>13.0</v>
      </c>
      <c r="I435" s="3"/>
    </row>
    <row r="436">
      <c r="A436" s="4" t="s">
        <v>11221</v>
      </c>
      <c r="B436" s="13" t="s">
        <v>48</v>
      </c>
      <c r="C436" s="4">
        <v>3.0</v>
      </c>
      <c r="D436" s="3"/>
      <c r="E436" s="4">
        <v>2.0</v>
      </c>
      <c r="F436" s="4">
        <v>9.0</v>
      </c>
      <c r="G436" s="3"/>
      <c r="H436" s="4">
        <v>13.0</v>
      </c>
      <c r="I436" s="3"/>
    </row>
    <row r="437">
      <c r="A437" s="4" t="s">
        <v>11222</v>
      </c>
      <c r="B437" s="13" t="s">
        <v>48</v>
      </c>
      <c r="C437" s="4">
        <v>3.0</v>
      </c>
      <c r="D437" s="3"/>
      <c r="E437" s="4">
        <v>2.0</v>
      </c>
      <c r="F437" s="4">
        <v>9.0</v>
      </c>
      <c r="G437" s="3"/>
      <c r="H437" s="4">
        <v>13.0</v>
      </c>
      <c r="I437" s="3"/>
    </row>
    <row r="438">
      <c r="A438" s="4" t="s">
        <v>11223</v>
      </c>
      <c r="B438" s="13" t="s">
        <v>48</v>
      </c>
      <c r="C438" s="4">
        <v>3.0</v>
      </c>
      <c r="D438" s="3"/>
      <c r="E438" s="4">
        <v>2.0</v>
      </c>
      <c r="F438" s="4">
        <v>9.0</v>
      </c>
      <c r="G438" s="3"/>
      <c r="H438" s="4">
        <v>13.0</v>
      </c>
      <c r="I438" s="3"/>
      <c r="J438" s="4" t="s">
        <v>1757</v>
      </c>
    </row>
    <row r="439">
      <c r="A439" s="4" t="s">
        <v>11224</v>
      </c>
      <c r="B439" s="13" t="s">
        <v>48</v>
      </c>
      <c r="C439" s="4">
        <v>2.0</v>
      </c>
      <c r="D439" s="3"/>
      <c r="E439" s="4">
        <v>2.0</v>
      </c>
      <c r="F439" s="3"/>
      <c r="G439" s="3"/>
      <c r="H439" s="4">
        <v>13.0</v>
      </c>
      <c r="I439" s="3"/>
      <c r="J439" s="4" t="s">
        <v>1757</v>
      </c>
    </row>
    <row r="440">
      <c r="A440" s="4" t="s">
        <v>11225</v>
      </c>
      <c r="B440" s="13" t="s">
        <v>48</v>
      </c>
      <c r="C440" s="4">
        <v>2.0</v>
      </c>
      <c r="D440" s="3"/>
      <c r="E440" s="4">
        <v>2.0</v>
      </c>
      <c r="F440" s="3"/>
      <c r="G440" s="3"/>
      <c r="H440" s="4">
        <v>13.0</v>
      </c>
      <c r="I440" s="3"/>
      <c r="J440" s="4" t="s">
        <v>1757</v>
      </c>
    </row>
    <row r="441">
      <c r="A441" s="4" t="s">
        <v>11226</v>
      </c>
      <c r="B441" s="13" t="s">
        <v>48</v>
      </c>
      <c r="C441" s="4">
        <v>2.0</v>
      </c>
      <c r="D441" s="3"/>
      <c r="E441" s="4">
        <v>2.0</v>
      </c>
      <c r="F441" s="3"/>
      <c r="G441" s="3"/>
      <c r="H441" s="4">
        <v>13.0</v>
      </c>
      <c r="I441" s="3"/>
      <c r="J441" s="4" t="s">
        <v>1757</v>
      </c>
    </row>
    <row r="442">
      <c r="A442" s="4" t="s">
        <v>11227</v>
      </c>
      <c r="B442" s="13" t="s">
        <v>48</v>
      </c>
      <c r="C442" s="4">
        <v>2.0</v>
      </c>
      <c r="D442" s="3"/>
      <c r="E442" s="4">
        <v>2.0</v>
      </c>
      <c r="F442" s="3"/>
      <c r="G442" s="3"/>
      <c r="H442" s="4">
        <v>13.0</v>
      </c>
      <c r="I442" s="3"/>
      <c r="J442" s="4" t="s">
        <v>1757</v>
      </c>
    </row>
    <row r="443">
      <c r="A443" s="4" t="s">
        <v>11228</v>
      </c>
      <c r="B443" s="13" t="s">
        <v>48</v>
      </c>
      <c r="C443" s="4">
        <v>2.0</v>
      </c>
      <c r="D443" s="3"/>
      <c r="E443" s="4">
        <v>2.0</v>
      </c>
      <c r="F443" s="3"/>
      <c r="G443" s="3"/>
      <c r="H443" s="4">
        <v>13.0</v>
      </c>
      <c r="I443" s="3"/>
      <c r="J443" s="4" t="s">
        <v>1757</v>
      </c>
    </row>
    <row r="444">
      <c r="A444" s="4" t="s">
        <v>11229</v>
      </c>
      <c r="B444" s="13" t="s">
        <v>48</v>
      </c>
      <c r="C444" s="4">
        <v>2.0</v>
      </c>
      <c r="D444" s="3"/>
      <c r="E444" s="4">
        <v>2.0</v>
      </c>
      <c r="F444" s="3"/>
      <c r="G444" s="3"/>
      <c r="H444" s="4">
        <v>13.0</v>
      </c>
      <c r="I444" s="3"/>
      <c r="J444" s="4" t="s">
        <v>1757</v>
      </c>
    </row>
    <row r="445">
      <c r="A445" s="4" t="s">
        <v>11230</v>
      </c>
      <c r="B445" s="13" t="s">
        <v>48</v>
      </c>
      <c r="C445" s="4">
        <v>2.0</v>
      </c>
      <c r="D445" s="3"/>
      <c r="E445" s="4">
        <v>2.0</v>
      </c>
      <c r="F445" s="3"/>
      <c r="G445" s="3"/>
      <c r="H445" s="4">
        <v>13.0</v>
      </c>
      <c r="I445" s="3"/>
      <c r="J445" s="4" t="s">
        <v>1757</v>
      </c>
    </row>
    <row r="446">
      <c r="A446" s="4" t="s">
        <v>11231</v>
      </c>
      <c r="B446" s="13" t="s">
        <v>48</v>
      </c>
      <c r="C446" s="4">
        <v>1.0</v>
      </c>
      <c r="D446" s="3"/>
      <c r="E446" s="4">
        <v>2.0</v>
      </c>
      <c r="F446" s="3"/>
      <c r="G446" s="3"/>
      <c r="H446" s="3"/>
      <c r="I446" s="3"/>
      <c r="J446" s="4" t="s">
        <v>1757</v>
      </c>
    </row>
    <row r="447">
      <c r="A447" s="4" t="s">
        <v>11232</v>
      </c>
      <c r="B447" s="13" t="s">
        <v>43</v>
      </c>
      <c r="D447" s="3"/>
      <c r="E447" s="3"/>
      <c r="F447" s="3"/>
      <c r="G447" s="3"/>
      <c r="H447" s="3"/>
      <c r="I447" s="3"/>
      <c r="J447" s="4" t="s">
        <v>1757</v>
      </c>
    </row>
    <row r="448">
      <c r="A448" s="4" t="s">
        <v>11233</v>
      </c>
      <c r="B448" s="13" t="s">
        <v>43</v>
      </c>
      <c r="D448" s="3"/>
      <c r="E448" s="3"/>
      <c r="F448" s="3"/>
      <c r="G448" s="3"/>
      <c r="H448" s="3"/>
      <c r="I448" s="3"/>
      <c r="J448" s="4" t="s">
        <v>1757</v>
      </c>
      <c r="K448" s="4" t="s">
        <v>1757</v>
      </c>
    </row>
    <row r="449">
      <c r="A449" s="4" t="s">
        <v>11234</v>
      </c>
      <c r="B449" s="13" t="s">
        <v>43</v>
      </c>
      <c r="D449" s="3"/>
      <c r="E449" s="3"/>
      <c r="F449" s="3"/>
      <c r="G449" s="3"/>
      <c r="H449" s="3"/>
      <c r="I449" s="3"/>
      <c r="J449" s="4" t="s">
        <v>1757</v>
      </c>
      <c r="K449" s="4" t="s">
        <v>1757</v>
      </c>
    </row>
    <row r="450">
      <c r="A450" s="4" t="s">
        <v>11235</v>
      </c>
      <c r="B450" s="13" t="s">
        <v>43</v>
      </c>
      <c r="D450" s="3"/>
      <c r="E450" s="3"/>
      <c r="F450" s="3"/>
      <c r="G450" s="3"/>
      <c r="H450" s="3"/>
      <c r="I450" s="3"/>
      <c r="J450" s="4" t="s">
        <v>1757</v>
      </c>
      <c r="K450" s="4" t="s">
        <v>1757</v>
      </c>
    </row>
    <row r="451">
      <c r="A451" s="4" t="s">
        <v>11236</v>
      </c>
      <c r="B451" s="13" t="s">
        <v>43</v>
      </c>
      <c r="D451" s="3"/>
      <c r="E451" s="3"/>
      <c r="F451" s="3"/>
      <c r="G451" s="3"/>
      <c r="H451" s="3"/>
      <c r="I451" s="3"/>
      <c r="J451" s="4" t="s">
        <v>1757</v>
      </c>
      <c r="K451" s="4" t="s">
        <v>1757</v>
      </c>
    </row>
    <row r="452">
      <c r="A452" s="4" t="s">
        <v>11237</v>
      </c>
      <c r="B452" s="13" t="s">
        <v>43</v>
      </c>
      <c r="D452" s="3"/>
      <c r="E452" s="3"/>
      <c r="F452" s="3"/>
      <c r="G452" s="3"/>
      <c r="H452" s="3"/>
      <c r="I452" s="3"/>
      <c r="J452" s="4" t="s">
        <v>1757</v>
      </c>
      <c r="K452" s="4" t="s">
        <v>1757</v>
      </c>
    </row>
    <row r="453">
      <c r="A453" s="4" t="s">
        <v>11238</v>
      </c>
      <c r="B453" s="13" t="s">
        <v>43</v>
      </c>
      <c r="D453" s="3"/>
      <c r="E453" s="3"/>
      <c r="F453" s="3"/>
      <c r="G453" s="3"/>
      <c r="H453" s="3"/>
      <c r="I453" s="3"/>
      <c r="J453" s="4" t="s">
        <v>1757</v>
      </c>
      <c r="K453" s="4" t="s">
        <v>1757</v>
      </c>
    </row>
    <row r="454">
      <c r="A454" s="4" t="s">
        <v>11239</v>
      </c>
      <c r="B454" s="13" t="s">
        <v>43</v>
      </c>
      <c r="D454" s="3"/>
      <c r="E454" s="3"/>
      <c r="F454" s="3"/>
      <c r="G454" s="3"/>
      <c r="H454" s="3"/>
      <c r="I454" s="3"/>
      <c r="J454" s="4" t="s">
        <v>1757</v>
      </c>
    </row>
    <row r="455">
      <c r="A455" s="4" t="s">
        <v>11240</v>
      </c>
      <c r="B455" s="13" t="s">
        <v>43</v>
      </c>
      <c r="D455" s="3"/>
      <c r="E455" s="3"/>
      <c r="F455" s="3"/>
      <c r="G455" s="3"/>
      <c r="H455" s="3"/>
      <c r="I455" s="3"/>
      <c r="J455" s="4" t="s">
        <v>1757</v>
      </c>
    </row>
    <row r="456">
      <c r="A456" s="4" t="s">
        <v>11241</v>
      </c>
      <c r="B456" s="13" t="s">
        <v>43</v>
      </c>
      <c r="D456" s="3"/>
      <c r="E456" s="3"/>
      <c r="F456" s="3"/>
      <c r="G456" s="3"/>
      <c r="H456" s="3"/>
      <c r="I456" s="3"/>
      <c r="J456" s="4" t="s">
        <v>1757</v>
      </c>
    </row>
    <row r="457">
      <c r="A457" s="4" t="s">
        <v>11242</v>
      </c>
      <c r="B457" s="13" t="s">
        <v>43</v>
      </c>
      <c r="D457" s="3"/>
      <c r="E457" s="3"/>
      <c r="F457" s="3"/>
      <c r="G457" s="3"/>
      <c r="H457" s="3"/>
      <c r="I457" s="3"/>
      <c r="J457" s="4" t="s">
        <v>1757</v>
      </c>
    </row>
    <row r="458">
      <c r="A458" s="4" t="s">
        <v>11243</v>
      </c>
      <c r="B458" s="13" t="s">
        <v>43</v>
      </c>
      <c r="D458" s="3"/>
      <c r="E458" s="3"/>
      <c r="F458" s="3"/>
      <c r="G458" s="3"/>
      <c r="H458" s="3"/>
      <c r="I458" s="3"/>
      <c r="J458" s="4" t="s">
        <v>1757</v>
      </c>
    </row>
    <row r="459">
      <c r="A459" s="4" t="s">
        <v>11244</v>
      </c>
      <c r="B459" s="13" t="s">
        <v>43</v>
      </c>
      <c r="D459" s="3"/>
      <c r="E459" s="3"/>
      <c r="F459" s="3"/>
      <c r="G459" s="3"/>
      <c r="H459" s="3"/>
      <c r="I459" s="3"/>
      <c r="J459" s="4" t="s">
        <v>1757</v>
      </c>
    </row>
    <row r="460">
      <c r="A460" s="4" t="s">
        <v>11245</v>
      </c>
      <c r="B460" s="13" t="s">
        <v>43</v>
      </c>
      <c r="D460" s="3"/>
      <c r="E460" s="3"/>
      <c r="F460" s="3"/>
      <c r="G460" s="3"/>
      <c r="H460" s="3"/>
      <c r="I460" s="3"/>
      <c r="J460" s="4" t="s">
        <v>1757</v>
      </c>
    </row>
    <row r="461">
      <c r="A461" s="4" t="s">
        <v>11246</v>
      </c>
      <c r="B461" s="13" t="s">
        <v>43</v>
      </c>
      <c r="D461" s="3"/>
      <c r="E461" s="3"/>
      <c r="F461" s="3"/>
      <c r="G461" s="3"/>
      <c r="H461" s="3"/>
      <c r="I461" s="3"/>
      <c r="J461" s="4" t="s">
        <v>1757</v>
      </c>
    </row>
    <row r="462">
      <c r="A462" s="4" t="s">
        <v>11247</v>
      </c>
      <c r="B462" s="13" t="s">
        <v>43</v>
      </c>
      <c r="D462" s="3"/>
      <c r="E462" s="3"/>
      <c r="F462" s="3"/>
      <c r="G462" s="3"/>
      <c r="H462" s="3"/>
      <c r="I462" s="3"/>
      <c r="J462" s="4" t="s">
        <v>1757</v>
      </c>
    </row>
    <row r="463">
      <c r="A463" s="4" t="s">
        <v>11248</v>
      </c>
      <c r="B463" s="13" t="s">
        <v>43</v>
      </c>
      <c r="D463" s="3"/>
      <c r="E463" s="3"/>
      <c r="F463" s="3"/>
      <c r="G463" s="3"/>
      <c r="H463" s="3"/>
      <c r="I463" s="3"/>
      <c r="J463" s="4" t="s">
        <v>1757</v>
      </c>
    </row>
    <row r="464">
      <c r="A464" s="4" t="s">
        <v>11249</v>
      </c>
      <c r="B464" s="13" t="s">
        <v>43</v>
      </c>
      <c r="D464" s="3"/>
      <c r="E464" s="3"/>
      <c r="F464" s="3"/>
      <c r="G464" s="3"/>
      <c r="H464" s="3"/>
      <c r="I464" s="3"/>
    </row>
    <row r="465">
      <c r="A465" s="4" t="s">
        <v>11250</v>
      </c>
      <c r="B465" s="13" t="s">
        <v>43</v>
      </c>
      <c r="D465" s="3"/>
      <c r="E465" s="3"/>
      <c r="F465" s="3"/>
      <c r="G465" s="3"/>
      <c r="H465" s="3"/>
      <c r="I465" s="3"/>
    </row>
    <row r="466">
      <c r="A466" s="4" t="s">
        <v>11251</v>
      </c>
      <c r="B466" s="13" t="s">
        <v>43</v>
      </c>
      <c r="D466" s="3"/>
      <c r="E466" s="3"/>
      <c r="F466" s="3"/>
      <c r="G466" s="3"/>
      <c r="H466" s="3"/>
      <c r="I466" s="3"/>
    </row>
    <row r="467">
      <c r="A467" s="4" t="s">
        <v>11252</v>
      </c>
      <c r="B467" s="13" t="s">
        <v>43</v>
      </c>
      <c r="D467" s="3"/>
      <c r="E467" s="3"/>
      <c r="F467" s="3"/>
      <c r="G467" s="3"/>
      <c r="H467" s="3"/>
      <c r="I467" s="3"/>
    </row>
    <row r="468">
      <c r="A468" s="4" t="s">
        <v>11253</v>
      </c>
      <c r="B468" s="13" t="s">
        <v>43</v>
      </c>
      <c r="D468" s="3"/>
      <c r="E468" s="3"/>
      <c r="F468" s="3"/>
      <c r="G468" s="3"/>
      <c r="H468" s="3"/>
      <c r="I468" s="3"/>
    </row>
    <row r="469">
      <c r="A469" s="4" t="s">
        <v>11254</v>
      </c>
      <c r="B469" s="13" t="s">
        <v>43</v>
      </c>
      <c r="D469" s="3"/>
      <c r="E469" s="3"/>
      <c r="F469" s="3"/>
      <c r="G469" s="3"/>
      <c r="H469" s="3"/>
      <c r="I469" s="3"/>
    </row>
    <row r="470">
      <c r="A470" s="4" t="s">
        <v>11255</v>
      </c>
      <c r="B470" s="13" t="s">
        <v>43</v>
      </c>
      <c r="D470" s="3"/>
      <c r="E470" s="3"/>
      <c r="F470" s="3"/>
      <c r="G470" s="3"/>
      <c r="H470" s="3"/>
      <c r="I470" s="3"/>
    </row>
    <row r="471">
      <c r="A471" s="4" t="s">
        <v>11256</v>
      </c>
      <c r="B471" s="13" t="s">
        <v>43</v>
      </c>
      <c r="D471" s="3"/>
      <c r="E471" s="3"/>
      <c r="F471" s="3"/>
      <c r="G471" s="3"/>
      <c r="H471" s="3"/>
      <c r="I471" s="3"/>
    </row>
    <row r="472">
      <c r="A472" s="4" t="s">
        <v>11257</v>
      </c>
      <c r="B472" s="13" t="s">
        <v>43</v>
      </c>
      <c r="D472" s="3"/>
      <c r="E472" s="3"/>
      <c r="F472" s="3"/>
      <c r="G472" s="3"/>
      <c r="H472" s="3"/>
      <c r="I472" s="3"/>
    </row>
    <row r="473">
      <c r="A473" s="4" t="s">
        <v>11258</v>
      </c>
      <c r="B473" s="13" t="s">
        <v>43</v>
      </c>
      <c r="D473" s="3"/>
      <c r="E473" s="3"/>
      <c r="F473" s="3"/>
      <c r="G473" s="3"/>
      <c r="H473" s="3"/>
      <c r="I473" s="3"/>
    </row>
    <row r="474">
      <c r="A474" s="4" t="s">
        <v>11259</v>
      </c>
      <c r="B474" s="13" t="s">
        <v>43</v>
      </c>
      <c r="D474" s="3"/>
      <c r="E474" s="3"/>
      <c r="F474" s="3"/>
      <c r="G474" s="3"/>
      <c r="H474" s="3"/>
      <c r="I474" s="3"/>
    </row>
    <row r="475">
      <c r="A475" s="4" t="s">
        <v>11260</v>
      </c>
      <c r="B475" s="13" t="s">
        <v>43</v>
      </c>
      <c r="D475" s="3"/>
      <c r="E475" s="3"/>
      <c r="F475" s="3"/>
      <c r="G475" s="3"/>
      <c r="H475" s="3"/>
      <c r="I475" s="3"/>
    </row>
    <row r="476">
      <c r="A476" s="4" t="s">
        <v>11261</v>
      </c>
      <c r="B476" s="13" t="s">
        <v>43</v>
      </c>
      <c r="D476" s="3"/>
      <c r="E476" s="3"/>
      <c r="F476" s="3"/>
      <c r="G476" s="3"/>
      <c r="H476" s="3"/>
      <c r="I476" s="3"/>
    </row>
    <row r="477">
      <c r="A477" s="4" t="s">
        <v>11262</v>
      </c>
      <c r="B477" s="13" t="s">
        <v>43</v>
      </c>
      <c r="D477" s="3"/>
      <c r="E477" s="3"/>
      <c r="F477" s="3"/>
      <c r="G477" s="3"/>
      <c r="H477" s="3"/>
      <c r="I477" s="3"/>
    </row>
    <row r="478">
      <c r="A478" s="4" t="s">
        <v>11263</v>
      </c>
      <c r="B478" s="13" t="s">
        <v>43</v>
      </c>
      <c r="D478" s="3"/>
      <c r="E478" s="3"/>
      <c r="F478" s="3"/>
      <c r="G478" s="3"/>
      <c r="H478" s="3"/>
      <c r="I478" s="3"/>
    </row>
    <row r="479">
      <c r="A479" s="4" t="s">
        <v>11264</v>
      </c>
      <c r="B479" s="13" t="s">
        <v>43</v>
      </c>
      <c r="D479" s="3"/>
      <c r="E479" s="3"/>
      <c r="F479" s="3"/>
      <c r="G479" s="3"/>
      <c r="H479" s="3"/>
      <c r="I479" s="3"/>
    </row>
    <row r="480">
      <c r="A480" s="4" t="s">
        <v>11265</v>
      </c>
      <c r="B480" s="13" t="s">
        <v>43</v>
      </c>
      <c r="D480" s="3"/>
      <c r="E480" s="3"/>
      <c r="F480" s="3"/>
      <c r="G480" s="3"/>
      <c r="H480" s="3"/>
      <c r="I480" s="3"/>
    </row>
    <row r="481">
      <c r="A481" s="4" t="s">
        <v>11266</v>
      </c>
      <c r="B481" s="13" t="s">
        <v>43</v>
      </c>
      <c r="D481" s="3"/>
      <c r="E481" s="3"/>
      <c r="F481" s="3"/>
      <c r="G481" s="3"/>
      <c r="H481" s="3"/>
      <c r="I481" s="3"/>
    </row>
    <row r="482">
      <c r="A482" s="4" t="s">
        <v>11267</v>
      </c>
      <c r="B482" s="13" t="s">
        <v>43</v>
      </c>
      <c r="D482" s="3"/>
      <c r="E482" s="3"/>
      <c r="F482" s="3"/>
      <c r="G482" s="3"/>
      <c r="H482" s="3"/>
      <c r="I482" s="3"/>
    </row>
    <row r="483">
      <c r="A483" s="4" t="s">
        <v>11268</v>
      </c>
      <c r="B483" s="13" t="s">
        <v>43</v>
      </c>
      <c r="D483" s="3"/>
      <c r="E483" s="3"/>
      <c r="F483" s="3"/>
      <c r="G483" s="3"/>
      <c r="H483" s="3"/>
      <c r="I483" s="3"/>
    </row>
    <row r="484">
      <c r="A484" s="4" t="s">
        <v>11269</v>
      </c>
      <c r="B484" s="13" t="s">
        <v>43</v>
      </c>
      <c r="D484" s="3"/>
      <c r="E484" s="3"/>
      <c r="F484" s="3"/>
      <c r="G484" s="3"/>
      <c r="H484" s="3"/>
      <c r="I484" s="3"/>
    </row>
    <row r="485">
      <c r="A485" s="4" t="s">
        <v>11270</v>
      </c>
      <c r="B485" s="13" t="s">
        <v>43</v>
      </c>
      <c r="D485" s="3"/>
      <c r="E485" s="3"/>
      <c r="F485" s="3"/>
      <c r="G485" s="3"/>
      <c r="H485" s="3"/>
      <c r="I485" s="3"/>
    </row>
    <row r="486">
      <c r="A486" s="4" t="s">
        <v>11271</v>
      </c>
      <c r="B486" s="13" t="s">
        <v>43</v>
      </c>
      <c r="D486" s="3"/>
      <c r="E486" s="3"/>
      <c r="F486" s="3"/>
      <c r="G486" s="3"/>
      <c r="H486" s="3"/>
      <c r="I486" s="3"/>
    </row>
    <row r="487">
      <c r="A487" s="4" t="s">
        <v>11272</v>
      </c>
      <c r="B487" s="13" t="s">
        <v>43</v>
      </c>
      <c r="D487" s="3"/>
      <c r="E487" s="3"/>
      <c r="F487" s="3"/>
      <c r="G487" s="3"/>
      <c r="H487" s="3"/>
      <c r="I487" s="3"/>
    </row>
    <row r="488">
      <c r="A488" s="4" t="s">
        <v>11273</v>
      </c>
      <c r="B488" s="13" t="s">
        <v>43</v>
      </c>
      <c r="D488" s="3"/>
      <c r="E488" s="3"/>
      <c r="F488" s="3"/>
      <c r="G488" s="3"/>
      <c r="H488" s="3"/>
      <c r="I488" s="3"/>
    </row>
    <row r="489">
      <c r="A489" s="4" t="s">
        <v>11274</v>
      </c>
      <c r="B489" s="13" t="s">
        <v>43</v>
      </c>
      <c r="D489" s="3"/>
      <c r="E489" s="3"/>
      <c r="F489" s="3"/>
      <c r="G489" s="3"/>
      <c r="H489" s="3"/>
      <c r="I489" s="3"/>
    </row>
    <row r="490">
      <c r="A490" s="4" t="s">
        <v>11275</v>
      </c>
      <c r="B490" s="13" t="s">
        <v>43</v>
      </c>
      <c r="D490" s="3"/>
      <c r="E490" s="3"/>
      <c r="F490" s="3"/>
      <c r="G490" s="3"/>
      <c r="H490" s="3"/>
      <c r="I490" s="3"/>
      <c r="J490" s="4" t="s">
        <v>1757</v>
      </c>
    </row>
    <row r="491">
      <c r="A491" s="4" t="s">
        <v>11276</v>
      </c>
      <c r="B491" s="13" t="s">
        <v>48</v>
      </c>
      <c r="C491" s="4">
        <v>1.0</v>
      </c>
      <c r="D491" s="3"/>
      <c r="E491" s="3"/>
      <c r="F491" s="3"/>
      <c r="G491" s="3"/>
      <c r="H491" s="4">
        <v>13.0</v>
      </c>
      <c r="I491" s="3"/>
      <c r="J491" s="4" t="s">
        <v>1757</v>
      </c>
    </row>
    <row r="492">
      <c r="A492" s="4" t="s">
        <v>11277</v>
      </c>
      <c r="B492" s="13" t="s">
        <v>48</v>
      </c>
      <c r="C492" s="4">
        <v>2.0</v>
      </c>
      <c r="D492" s="3"/>
      <c r="E492" s="4">
        <v>2.0</v>
      </c>
      <c r="F492" s="3"/>
      <c r="G492" s="3"/>
      <c r="H492" s="4">
        <v>13.0</v>
      </c>
      <c r="I492" s="3"/>
      <c r="J492" s="4" t="s">
        <v>1757</v>
      </c>
    </row>
    <row r="493">
      <c r="A493" s="4" t="s">
        <v>11278</v>
      </c>
      <c r="B493" s="13" t="s">
        <v>48</v>
      </c>
      <c r="C493" s="4">
        <v>1.0</v>
      </c>
      <c r="D493" s="3"/>
      <c r="E493" s="3"/>
      <c r="F493" s="3"/>
      <c r="G493" s="3"/>
      <c r="H493" s="4">
        <v>13.0</v>
      </c>
      <c r="I493" s="3"/>
      <c r="J493" s="4" t="s">
        <v>1757</v>
      </c>
    </row>
    <row r="494">
      <c r="A494" s="4" t="s">
        <v>11279</v>
      </c>
      <c r="B494" s="13" t="s">
        <v>48</v>
      </c>
      <c r="C494" s="4">
        <v>1.0</v>
      </c>
      <c r="D494" s="3"/>
      <c r="E494" s="3"/>
      <c r="F494" s="3"/>
      <c r="G494" s="3"/>
      <c r="H494" s="4">
        <v>13.0</v>
      </c>
      <c r="I494" s="3"/>
      <c r="J494" s="4" t="s">
        <v>1757</v>
      </c>
    </row>
    <row r="495">
      <c r="A495" s="4" t="s">
        <v>11280</v>
      </c>
      <c r="B495" s="13" t="s">
        <v>48</v>
      </c>
      <c r="C495" s="4">
        <v>1.0</v>
      </c>
      <c r="D495" s="3"/>
      <c r="E495" s="3"/>
      <c r="F495" s="3"/>
      <c r="G495" s="3"/>
      <c r="H495" s="4">
        <v>13.0</v>
      </c>
      <c r="I495" s="3"/>
      <c r="J495" s="4" t="s">
        <v>1757</v>
      </c>
    </row>
    <row r="496">
      <c r="A496" s="4" t="s">
        <v>11281</v>
      </c>
      <c r="B496" s="13" t="s">
        <v>48</v>
      </c>
      <c r="C496" s="4">
        <v>2.0</v>
      </c>
      <c r="D496" s="3"/>
      <c r="E496" s="4">
        <v>2.0</v>
      </c>
      <c r="F496" s="3"/>
      <c r="G496" s="3"/>
      <c r="H496" s="4">
        <v>13.0</v>
      </c>
      <c r="I496" s="3"/>
      <c r="J496" s="4" t="s">
        <v>1757</v>
      </c>
    </row>
    <row r="497">
      <c r="A497" s="4" t="s">
        <v>11282</v>
      </c>
      <c r="B497" s="13" t="s">
        <v>48</v>
      </c>
      <c r="C497" s="4">
        <v>2.0</v>
      </c>
      <c r="D497" s="3"/>
      <c r="E497" s="4">
        <v>2.0</v>
      </c>
      <c r="F497" s="3"/>
      <c r="G497" s="3"/>
      <c r="H497" s="4">
        <v>13.0</v>
      </c>
      <c r="I497" s="3"/>
      <c r="J497" s="4" t="s">
        <v>1757</v>
      </c>
    </row>
    <row r="498">
      <c r="A498" s="4" t="s">
        <v>11283</v>
      </c>
      <c r="B498" s="13" t="s">
        <v>48</v>
      </c>
      <c r="C498" s="4">
        <v>2.0</v>
      </c>
      <c r="D498" s="3"/>
      <c r="E498" s="4">
        <v>2.0</v>
      </c>
      <c r="F498" s="3"/>
      <c r="G498" s="3"/>
      <c r="H498" s="4">
        <v>13.0</v>
      </c>
      <c r="I498" s="3"/>
    </row>
    <row r="499">
      <c r="A499" s="4" t="s">
        <v>11284</v>
      </c>
      <c r="B499" s="13" t="s">
        <v>48</v>
      </c>
      <c r="C499" s="4">
        <v>1.0</v>
      </c>
      <c r="D499" s="3"/>
      <c r="E499" s="4">
        <v>2.0</v>
      </c>
      <c r="F499" s="3"/>
      <c r="G499" s="3"/>
      <c r="H499" s="3"/>
      <c r="I499" s="3"/>
    </row>
    <row r="500">
      <c r="A500" s="4" t="s">
        <v>11285</v>
      </c>
      <c r="B500" s="13" t="s">
        <v>48</v>
      </c>
      <c r="C500" s="4">
        <v>1.0</v>
      </c>
      <c r="D500" s="3"/>
      <c r="E500" s="4">
        <v>2.0</v>
      </c>
      <c r="F500" s="3"/>
      <c r="G500" s="3"/>
      <c r="H500" s="3"/>
      <c r="I500" s="3"/>
    </row>
    <row r="501">
      <c r="A501" s="4" t="s">
        <v>11286</v>
      </c>
      <c r="B501" s="13" t="s">
        <v>48</v>
      </c>
      <c r="C501" s="4">
        <v>1.0</v>
      </c>
      <c r="D501" s="3"/>
      <c r="E501" s="4">
        <v>2.0</v>
      </c>
      <c r="F501" s="3"/>
      <c r="G501" s="3"/>
      <c r="H501" s="3"/>
      <c r="I501" s="3"/>
    </row>
    <row r="502">
      <c r="A502" s="4" t="s">
        <v>11287</v>
      </c>
      <c r="B502" s="13" t="s">
        <v>48</v>
      </c>
      <c r="C502" s="4">
        <v>1.0</v>
      </c>
      <c r="D502" s="3"/>
      <c r="E502" s="4">
        <v>2.0</v>
      </c>
      <c r="F502" s="3"/>
      <c r="G502" s="3"/>
      <c r="H502" s="3"/>
      <c r="I502" s="3"/>
    </row>
    <row r="503">
      <c r="A503" s="4" t="s">
        <v>11288</v>
      </c>
      <c r="B503" s="13" t="s">
        <v>48</v>
      </c>
      <c r="C503" s="4">
        <v>1.0</v>
      </c>
      <c r="D503" s="3"/>
      <c r="E503" s="4">
        <v>2.0</v>
      </c>
      <c r="F503" s="3"/>
      <c r="G503" s="3"/>
      <c r="H503" s="3"/>
      <c r="I503" s="3"/>
    </row>
    <row r="504">
      <c r="A504" s="4" t="s">
        <v>11289</v>
      </c>
      <c r="B504" s="13" t="s">
        <v>48</v>
      </c>
      <c r="C504" s="4">
        <v>3.0</v>
      </c>
      <c r="D504" s="3"/>
      <c r="E504" s="4">
        <v>2.0</v>
      </c>
      <c r="F504" s="4">
        <v>9.0</v>
      </c>
      <c r="G504" s="3"/>
      <c r="H504" s="4">
        <v>13.0</v>
      </c>
      <c r="I504" s="3"/>
    </row>
    <row r="505">
      <c r="A505" s="4" t="s">
        <v>11290</v>
      </c>
      <c r="B505" s="13" t="s">
        <v>48</v>
      </c>
      <c r="C505" s="4">
        <v>3.0</v>
      </c>
      <c r="D505" s="3"/>
      <c r="E505" s="4">
        <v>2.0</v>
      </c>
      <c r="F505" s="4">
        <v>9.0</v>
      </c>
      <c r="G505" s="3"/>
      <c r="H505" s="4">
        <v>13.0</v>
      </c>
      <c r="I505" s="3"/>
      <c r="J505" s="4" t="s">
        <v>1757</v>
      </c>
    </row>
    <row r="506">
      <c r="A506" s="4" t="s">
        <v>11291</v>
      </c>
      <c r="B506" s="13" t="s">
        <v>48</v>
      </c>
      <c r="C506" s="4">
        <v>3.0</v>
      </c>
      <c r="D506" s="3"/>
      <c r="E506" s="4">
        <v>2.0</v>
      </c>
      <c r="F506" s="4">
        <v>9.0</v>
      </c>
      <c r="G506" s="3"/>
      <c r="H506" s="4">
        <v>13.0</v>
      </c>
      <c r="I506" s="3"/>
      <c r="J506" s="4" t="s">
        <v>1757</v>
      </c>
    </row>
    <row r="507">
      <c r="A507" s="4" t="s">
        <v>11292</v>
      </c>
      <c r="B507" s="13" t="s">
        <v>48</v>
      </c>
      <c r="C507" s="4">
        <v>3.0</v>
      </c>
      <c r="D507" s="3"/>
      <c r="E507" s="4">
        <v>2.0</v>
      </c>
      <c r="F507" s="4">
        <v>9.0</v>
      </c>
      <c r="G507" s="3"/>
      <c r="H507" s="4">
        <v>13.0</v>
      </c>
      <c r="I507" s="3"/>
      <c r="J507" s="4" t="s">
        <v>1757</v>
      </c>
    </row>
    <row r="508">
      <c r="A508" s="4" t="s">
        <v>11293</v>
      </c>
      <c r="B508" s="13" t="s">
        <v>48</v>
      </c>
      <c r="C508" s="4">
        <v>3.0</v>
      </c>
      <c r="D508" s="3"/>
      <c r="E508" s="4">
        <v>2.0</v>
      </c>
      <c r="F508" s="4">
        <v>9.0</v>
      </c>
      <c r="G508" s="3"/>
      <c r="H508" s="4">
        <v>13.0</v>
      </c>
      <c r="I508" s="3"/>
    </row>
    <row r="509">
      <c r="A509" s="4" t="s">
        <v>11294</v>
      </c>
      <c r="B509" s="13" t="s">
        <v>48</v>
      </c>
      <c r="C509" s="4">
        <v>3.0</v>
      </c>
      <c r="D509" s="3"/>
      <c r="E509" s="4">
        <v>2.0</v>
      </c>
      <c r="F509" s="4">
        <v>9.0</v>
      </c>
      <c r="G509" s="3"/>
      <c r="H509" s="4">
        <v>13.0</v>
      </c>
      <c r="I509" s="3"/>
    </row>
    <row r="510">
      <c r="A510" s="4" t="s">
        <v>11295</v>
      </c>
      <c r="B510" s="13" t="s">
        <v>48</v>
      </c>
      <c r="C510" s="4">
        <v>1.0</v>
      </c>
      <c r="D510" s="3"/>
      <c r="E510" s="4">
        <v>2.0</v>
      </c>
      <c r="F510" s="3"/>
      <c r="G510" s="3"/>
      <c r="H510" s="3"/>
      <c r="I510" s="3"/>
    </row>
    <row r="511">
      <c r="A511" s="4" t="s">
        <v>11296</v>
      </c>
      <c r="B511" s="13" t="s">
        <v>48</v>
      </c>
      <c r="C511" s="4">
        <v>1.0</v>
      </c>
      <c r="D511" s="3"/>
      <c r="E511" s="4">
        <v>2.0</v>
      </c>
      <c r="F511" s="3"/>
      <c r="G511" s="3"/>
      <c r="H511" s="3"/>
      <c r="I511" s="3"/>
    </row>
    <row r="512">
      <c r="A512" s="4" t="s">
        <v>11297</v>
      </c>
      <c r="B512" s="13" t="s">
        <v>48</v>
      </c>
      <c r="C512" s="4">
        <v>1.0</v>
      </c>
      <c r="D512" s="3"/>
      <c r="E512" s="4">
        <v>2.0</v>
      </c>
      <c r="F512" s="3"/>
      <c r="G512" s="3"/>
      <c r="H512" s="3"/>
      <c r="I512" s="3"/>
    </row>
    <row r="513">
      <c r="A513" s="4" t="s">
        <v>11298</v>
      </c>
      <c r="B513" s="13" t="s">
        <v>48</v>
      </c>
      <c r="C513" s="4">
        <v>3.0</v>
      </c>
      <c r="D513" s="3"/>
      <c r="E513" s="4">
        <v>2.0</v>
      </c>
      <c r="F513" s="4">
        <v>9.0</v>
      </c>
      <c r="G513" s="3"/>
      <c r="H513" s="4">
        <v>13.0</v>
      </c>
      <c r="I513" s="3"/>
      <c r="J513" s="4" t="s">
        <v>1757</v>
      </c>
    </row>
    <row r="514">
      <c r="A514" s="4" t="s">
        <v>11299</v>
      </c>
      <c r="B514" s="13" t="s">
        <v>48</v>
      </c>
      <c r="C514" s="4">
        <v>3.0</v>
      </c>
      <c r="D514" s="3"/>
      <c r="E514" s="4">
        <v>2.0</v>
      </c>
      <c r="F514" s="4">
        <v>9.0</v>
      </c>
      <c r="G514" s="3"/>
      <c r="H514" s="4">
        <v>13.0</v>
      </c>
      <c r="I514" s="3"/>
      <c r="J514" s="4" t="s">
        <v>1757</v>
      </c>
      <c r="K514" s="4" t="s">
        <v>1757</v>
      </c>
    </row>
    <row r="515">
      <c r="A515" s="4" t="s">
        <v>11300</v>
      </c>
      <c r="B515" s="13" t="s">
        <v>48</v>
      </c>
      <c r="C515" s="4">
        <v>4.0</v>
      </c>
      <c r="D515" s="3"/>
      <c r="E515" s="4">
        <v>2.0</v>
      </c>
      <c r="F515" s="4">
        <v>9.0</v>
      </c>
      <c r="G515" s="3"/>
      <c r="H515" s="4">
        <v>13.0</v>
      </c>
      <c r="I515" s="4">
        <v>15.0</v>
      </c>
      <c r="J515" s="4" t="s">
        <v>1757</v>
      </c>
      <c r="K515" s="4" t="s">
        <v>1757</v>
      </c>
    </row>
    <row r="516">
      <c r="A516" s="4" t="s">
        <v>11301</v>
      </c>
      <c r="B516" s="13" t="s">
        <v>48</v>
      </c>
      <c r="C516" s="4">
        <v>4.0</v>
      </c>
      <c r="D516" s="3"/>
      <c r="E516" s="4">
        <v>2.0</v>
      </c>
      <c r="F516" s="4">
        <v>9.0</v>
      </c>
      <c r="G516" s="3"/>
      <c r="H516" s="4">
        <v>13.0</v>
      </c>
      <c r="I516" s="4">
        <v>15.0</v>
      </c>
      <c r="J516" s="4" t="s">
        <v>1757</v>
      </c>
      <c r="K516" s="4" t="s">
        <v>1757</v>
      </c>
    </row>
    <row r="517">
      <c r="A517" s="4" t="s">
        <v>11302</v>
      </c>
      <c r="B517" s="13" t="s">
        <v>48</v>
      </c>
      <c r="C517" s="4">
        <v>4.0</v>
      </c>
      <c r="D517" s="3"/>
      <c r="E517" s="4">
        <v>2.0</v>
      </c>
      <c r="F517" s="4">
        <v>9.0</v>
      </c>
      <c r="G517" s="3"/>
      <c r="H517" s="4">
        <v>13.0</v>
      </c>
      <c r="I517" s="4">
        <v>15.0</v>
      </c>
      <c r="J517" s="4" t="s">
        <v>1757</v>
      </c>
      <c r="K517" s="4" t="s">
        <v>1757</v>
      </c>
    </row>
    <row r="518">
      <c r="A518" s="4" t="s">
        <v>11303</v>
      </c>
      <c r="B518" s="13" t="s">
        <v>48</v>
      </c>
      <c r="C518" s="4">
        <v>3.0</v>
      </c>
      <c r="D518" s="3"/>
      <c r="E518" s="4">
        <v>2.0</v>
      </c>
      <c r="F518" s="4">
        <v>9.0</v>
      </c>
      <c r="G518" s="3"/>
      <c r="H518" s="4">
        <v>13.0</v>
      </c>
      <c r="I518" s="3"/>
      <c r="J518" s="4" t="s">
        <v>1757</v>
      </c>
      <c r="K518" s="4" t="s">
        <v>1757</v>
      </c>
    </row>
    <row r="519">
      <c r="A519" s="4" t="s">
        <v>11304</v>
      </c>
      <c r="B519" s="13" t="s">
        <v>48</v>
      </c>
      <c r="C519" s="4">
        <v>3.0</v>
      </c>
      <c r="D519" s="3"/>
      <c r="E519" s="4">
        <v>2.0</v>
      </c>
      <c r="F519" s="4">
        <v>9.0</v>
      </c>
      <c r="G519" s="3"/>
      <c r="H519" s="4">
        <v>13.0</v>
      </c>
      <c r="I519" s="3"/>
      <c r="J519" s="4" t="s">
        <v>1757</v>
      </c>
    </row>
    <row r="520">
      <c r="A520" s="4" t="s">
        <v>11305</v>
      </c>
      <c r="B520" s="13" t="s">
        <v>48</v>
      </c>
      <c r="C520" s="4">
        <v>3.0</v>
      </c>
      <c r="D520" s="3"/>
      <c r="E520" s="4">
        <v>2.0</v>
      </c>
      <c r="F520" s="4">
        <v>9.0</v>
      </c>
      <c r="G520" s="3"/>
      <c r="H520" s="4">
        <v>13.0</v>
      </c>
      <c r="I520" s="3"/>
    </row>
    <row r="521">
      <c r="A521" s="4" t="s">
        <v>11306</v>
      </c>
      <c r="B521" s="13" t="s">
        <v>48</v>
      </c>
      <c r="C521" s="4">
        <v>1.0</v>
      </c>
      <c r="D521" s="3"/>
      <c r="E521" s="4">
        <v>2.0</v>
      </c>
      <c r="F521" s="3"/>
      <c r="G521" s="3"/>
      <c r="H521" s="3"/>
      <c r="I521" s="3"/>
    </row>
    <row r="522">
      <c r="A522" s="4" t="s">
        <v>11307</v>
      </c>
      <c r="B522" s="13" t="s">
        <v>48</v>
      </c>
      <c r="C522" s="4">
        <v>1.0</v>
      </c>
      <c r="D522" s="3"/>
      <c r="E522" s="4">
        <v>2.0</v>
      </c>
      <c r="F522" s="3"/>
      <c r="G522" s="3"/>
      <c r="H522" s="3"/>
      <c r="I522" s="3"/>
    </row>
    <row r="523">
      <c r="A523" s="4" t="s">
        <v>11308</v>
      </c>
      <c r="B523" s="13" t="s">
        <v>43</v>
      </c>
      <c r="D523" s="3"/>
      <c r="E523" s="3"/>
      <c r="F523" s="3"/>
      <c r="G523" s="3"/>
      <c r="H523" s="3"/>
      <c r="I523" s="3"/>
    </row>
    <row r="524">
      <c r="A524" s="4" t="s">
        <v>11309</v>
      </c>
      <c r="B524" s="13" t="s">
        <v>48</v>
      </c>
      <c r="C524" s="4">
        <v>1.0</v>
      </c>
      <c r="D524" s="3"/>
      <c r="E524" s="4">
        <v>2.0</v>
      </c>
      <c r="F524" s="3"/>
      <c r="G524" s="3"/>
      <c r="H524" s="3"/>
      <c r="I524" s="3"/>
    </row>
    <row r="525">
      <c r="A525" s="4" t="s">
        <v>11310</v>
      </c>
      <c r="B525" s="13" t="s">
        <v>48</v>
      </c>
      <c r="C525" s="4">
        <v>2.0</v>
      </c>
      <c r="D525" s="3"/>
      <c r="E525" s="4">
        <v>2.0</v>
      </c>
      <c r="F525" s="4">
        <v>9.0</v>
      </c>
      <c r="G525" s="3"/>
      <c r="H525" s="3"/>
      <c r="I525" s="3"/>
    </row>
    <row r="526">
      <c r="A526" s="4" t="s">
        <v>11311</v>
      </c>
      <c r="B526" s="13" t="s">
        <v>48</v>
      </c>
      <c r="C526" s="4">
        <v>2.0</v>
      </c>
      <c r="D526" s="3"/>
      <c r="E526" s="4">
        <v>2.0</v>
      </c>
      <c r="F526" s="4">
        <v>9.0</v>
      </c>
      <c r="G526" s="3"/>
      <c r="H526" s="3"/>
      <c r="I526" s="3"/>
    </row>
    <row r="527">
      <c r="A527" s="4" t="s">
        <v>11312</v>
      </c>
      <c r="B527" s="13" t="s">
        <v>48</v>
      </c>
      <c r="C527" s="4">
        <v>3.0</v>
      </c>
      <c r="D527" s="3"/>
      <c r="E527" s="4">
        <v>2.0</v>
      </c>
      <c r="F527" s="4">
        <v>9.0</v>
      </c>
      <c r="G527" s="4">
        <v>10.0</v>
      </c>
      <c r="H527" s="3"/>
      <c r="I527" s="3"/>
    </row>
    <row r="528">
      <c r="A528" s="4" t="s">
        <v>11313</v>
      </c>
      <c r="B528" s="13" t="s">
        <v>48</v>
      </c>
      <c r="C528" s="4">
        <v>2.0</v>
      </c>
      <c r="D528" s="3"/>
      <c r="E528" s="4">
        <v>2.0</v>
      </c>
      <c r="F528" s="4">
        <v>9.0</v>
      </c>
      <c r="G528" s="3"/>
      <c r="H528" s="3"/>
      <c r="I528" s="3"/>
    </row>
    <row r="529">
      <c r="A529" s="4" t="s">
        <v>11314</v>
      </c>
      <c r="B529" s="13" t="s">
        <v>43</v>
      </c>
      <c r="D529" s="3"/>
      <c r="E529" s="3"/>
      <c r="F529" s="3"/>
      <c r="G529" s="3"/>
      <c r="H529" s="3"/>
      <c r="I529" s="3"/>
    </row>
    <row r="530">
      <c r="A530" s="4" t="s">
        <v>11315</v>
      </c>
      <c r="B530" s="13" t="s">
        <v>43</v>
      </c>
      <c r="D530" s="3"/>
      <c r="E530" s="3"/>
      <c r="F530" s="3"/>
      <c r="G530" s="3"/>
      <c r="H530" s="3"/>
      <c r="I530" s="3"/>
    </row>
    <row r="531">
      <c r="A531" s="4" t="s">
        <v>11316</v>
      </c>
      <c r="B531" s="13" t="s">
        <v>43</v>
      </c>
      <c r="D531" s="3"/>
      <c r="E531" s="3"/>
      <c r="F531" s="3"/>
      <c r="G531" s="3"/>
      <c r="H531" s="3"/>
      <c r="I531" s="3"/>
    </row>
    <row r="532">
      <c r="A532" s="4" t="s">
        <v>11317</v>
      </c>
      <c r="B532" s="13" t="s">
        <v>43</v>
      </c>
      <c r="D532" s="3"/>
      <c r="E532" s="3"/>
      <c r="F532" s="3"/>
      <c r="G532" s="3"/>
      <c r="H532" s="3"/>
      <c r="I532" s="3"/>
    </row>
    <row r="533">
      <c r="A533" s="4" t="s">
        <v>11318</v>
      </c>
      <c r="B533" s="13" t="s">
        <v>43</v>
      </c>
      <c r="D533" s="3"/>
      <c r="E533" s="3"/>
      <c r="F533" s="3"/>
      <c r="G533" s="3"/>
      <c r="H533" s="3"/>
      <c r="I533" s="3"/>
    </row>
    <row r="534">
      <c r="A534" s="4" t="s">
        <v>11319</v>
      </c>
      <c r="B534" s="13" t="s">
        <v>43</v>
      </c>
      <c r="D534" s="3"/>
      <c r="E534" s="3"/>
      <c r="F534" s="3"/>
      <c r="G534" s="3"/>
      <c r="H534" s="3"/>
      <c r="I534" s="3"/>
    </row>
    <row r="535">
      <c r="A535" s="4" t="s">
        <v>11320</v>
      </c>
      <c r="B535" s="13" t="s">
        <v>43</v>
      </c>
      <c r="D535" s="3"/>
      <c r="E535" s="3"/>
      <c r="F535" s="3"/>
      <c r="G535" s="3"/>
      <c r="H535" s="3"/>
      <c r="I535" s="3"/>
    </row>
    <row r="536">
      <c r="A536" s="4" t="s">
        <v>11321</v>
      </c>
      <c r="B536" s="13" t="s">
        <v>48</v>
      </c>
      <c r="C536" s="4">
        <v>2.0</v>
      </c>
      <c r="D536" s="3"/>
      <c r="E536" s="3"/>
      <c r="F536" s="4">
        <v>9.0</v>
      </c>
      <c r="G536" s="4">
        <v>10.0</v>
      </c>
      <c r="H536" s="3"/>
      <c r="I536" s="3"/>
      <c r="J536" s="4" t="s">
        <v>1757</v>
      </c>
    </row>
    <row r="537">
      <c r="A537" s="4" t="s">
        <v>11322</v>
      </c>
      <c r="B537" s="13" t="s">
        <v>48</v>
      </c>
      <c r="C537" s="4">
        <v>2.0</v>
      </c>
      <c r="D537" s="3"/>
      <c r="E537" s="3"/>
      <c r="F537" s="4">
        <v>9.0</v>
      </c>
      <c r="G537" s="4">
        <v>10.0</v>
      </c>
      <c r="H537" s="3"/>
      <c r="I537" s="3"/>
      <c r="J537" s="4" t="s">
        <v>1757</v>
      </c>
    </row>
    <row r="538">
      <c r="A538" s="4" t="s">
        <v>11323</v>
      </c>
      <c r="B538" s="13" t="s">
        <v>48</v>
      </c>
      <c r="C538" s="4">
        <v>1.0</v>
      </c>
      <c r="D538" s="3"/>
      <c r="E538" s="3"/>
      <c r="F538" s="3"/>
      <c r="G538" s="4">
        <v>10.0</v>
      </c>
      <c r="H538" s="3"/>
      <c r="I538" s="3"/>
      <c r="J538" s="4" t="s">
        <v>1757</v>
      </c>
    </row>
    <row r="539">
      <c r="A539" s="4" t="s">
        <v>11324</v>
      </c>
      <c r="B539" s="13" t="s">
        <v>43</v>
      </c>
      <c r="D539" s="3"/>
      <c r="E539" s="3"/>
      <c r="F539" s="3"/>
      <c r="G539" s="3"/>
      <c r="H539" s="3"/>
      <c r="I539" s="3"/>
    </row>
    <row r="540">
      <c r="A540" s="4" t="s">
        <v>11325</v>
      </c>
      <c r="B540" s="13" t="s">
        <v>43</v>
      </c>
      <c r="D540" s="3"/>
      <c r="E540" s="3"/>
      <c r="F540" s="3"/>
      <c r="G540" s="3"/>
      <c r="H540" s="3"/>
      <c r="I540" s="3"/>
    </row>
    <row r="541">
      <c r="A541" s="4" t="s">
        <v>11326</v>
      </c>
      <c r="B541" s="13" t="s">
        <v>48</v>
      </c>
      <c r="C541" s="4">
        <v>1.0</v>
      </c>
      <c r="D541" s="3"/>
      <c r="E541" s="3"/>
      <c r="F541" s="3"/>
      <c r="G541" s="4">
        <v>10.0</v>
      </c>
      <c r="H541" s="3"/>
      <c r="I541" s="3"/>
    </row>
    <row r="542">
      <c r="A542" s="4" t="s">
        <v>11327</v>
      </c>
      <c r="B542" s="13" t="s">
        <v>48</v>
      </c>
      <c r="C542" s="4">
        <v>1.0</v>
      </c>
      <c r="D542" s="3"/>
      <c r="E542" s="3"/>
      <c r="F542" s="3"/>
      <c r="G542" s="4">
        <v>10.0</v>
      </c>
      <c r="H542" s="3"/>
      <c r="I542" s="3"/>
    </row>
    <row r="543">
      <c r="A543" s="4" t="s">
        <v>11328</v>
      </c>
      <c r="B543" s="13" t="s">
        <v>48</v>
      </c>
      <c r="C543" s="4">
        <v>1.0</v>
      </c>
      <c r="D543" s="3"/>
      <c r="E543" s="3"/>
      <c r="F543" s="3"/>
      <c r="G543" s="4">
        <v>10.0</v>
      </c>
      <c r="H543" s="3"/>
      <c r="I543" s="3"/>
    </row>
    <row r="544">
      <c r="A544" s="4" t="s">
        <v>11329</v>
      </c>
      <c r="B544" s="13" t="s">
        <v>48</v>
      </c>
      <c r="C544" s="4">
        <v>1.0</v>
      </c>
      <c r="D544" s="3"/>
      <c r="E544" s="3"/>
      <c r="F544" s="3"/>
      <c r="G544" s="4">
        <v>10.0</v>
      </c>
      <c r="H544" s="3"/>
      <c r="I544" s="3"/>
    </row>
    <row r="545">
      <c r="A545" s="4" t="s">
        <v>11330</v>
      </c>
      <c r="B545" s="13" t="s">
        <v>48</v>
      </c>
      <c r="C545" s="4">
        <v>1.0</v>
      </c>
      <c r="D545" s="3"/>
      <c r="E545" s="3"/>
      <c r="F545" s="3"/>
      <c r="G545" s="4">
        <v>10.0</v>
      </c>
      <c r="H545" s="3"/>
      <c r="I545" s="3"/>
    </row>
    <row r="546">
      <c r="A546" s="4" t="s">
        <v>11331</v>
      </c>
      <c r="B546" s="13" t="s">
        <v>48</v>
      </c>
      <c r="C546" s="4">
        <v>1.0</v>
      </c>
      <c r="D546" s="3"/>
      <c r="E546" s="3"/>
      <c r="F546" s="3"/>
      <c r="G546" s="4">
        <v>10.0</v>
      </c>
      <c r="H546" s="3"/>
      <c r="I546" s="3"/>
    </row>
    <row r="547">
      <c r="A547" s="4" t="s">
        <v>11332</v>
      </c>
      <c r="B547" s="13" t="s">
        <v>48</v>
      </c>
      <c r="C547" s="4">
        <v>1.0</v>
      </c>
      <c r="D547" s="3"/>
      <c r="E547" s="3"/>
      <c r="F547" s="3"/>
      <c r="G547" s="4">
        <v>10.0</v>
      </c>
      <c r="H547" s="3"/>
      <c r="I547" s="3"/>
    </row>
    <row r="548">
      <c r="A548" s="4" t="s">
        <v>11333</v>
      </c>
      <c r="B548" s="13" t="s">
        <v>43</v>
      </c>
      <c r="D548" s="3"/>
      <c r="E548" s="3"/>
      <c r="F548" s="3"/>
      <c r="G548" s="3"/>
      <c r="H548" s="3"/>
      <c r="I548" s="3"/>
    </row>
    <row r="549">
      <c r="A549" s="4" t="s">
        <v>11334</v>
      </c>
      <c r="B549" s="13" t="s">
        <v>43</v>
      </c>
      <c r="D549" s="3"/>
      <c r="E549" s="3"/>
      <c r="F549" s="3"/>
      <c r="G549" s="3"/>
      <c r="H549" s="3"/>
      <c r="I549" s="3"/>
    </row>
    <row r="550">
      <c r="A550" s="4" t="s">
        <v>11335</v>
      </c>
      <c r="B550" s="13" t="s">
        <v>43</v>
      </c>
      <c r="D550" s="3"/>
      <c r="E550" s="3"/>
      <c r="F550" s="3"/>
      <c r="G550" s="3"/>
      <c r="H550" s="3"/>
      <c r="I550" s="3"/>
    </row>
    <row r="551">
      <c r="A551" s="4" t="s">
        <v>11336</v>
      </c>
      <c r="B551" s="13" t="s">
        <v>43</v>
      </c>
      <c r="D551" s="3"/>
      <c r="E551" s="3"/>
      <c r="F551" s="3"/>
      <c r="G551" s="3"/>
      <c r="H551" s="3"/>
      <c r="I551" s="3"/>
    </row>
    <row r="552">
      <c r="A552" s="4" t="s">
        <v>11337</v>
      </c>
      <c r="B552" s="13" t="s">
        <v>43</v>
      </c>
      <c r="D552" s="3"/>
      <c r="E552" s="3"/>
      <c r="F552" s="3"/>
      <c r="G552" s="3"/>
      <c r="H552" s="3"/>
      <c r="I552" s="3"/>
    </row>
    <row r="553">
      <c r="A553" s="4" t="s">
        <v>11338</v>
      </c>
      <c r="B553" s="13" t="s">
        <v>43</v>
      </c>
      <c r="D553" s="3"/>
      <c r="E553" s="3"/>
      <c r="F553" s="3"/>
      <c r="G553" s="3"/>
      <c r="H553" s="3"/>
      <c r="I553" s="3"/>
    </row>
    <row r="554">
      <c r="A554" s="4" t="s">
        <v>11339</v>
      </c>
      <c r="B554" s="13" t="s">
        <v>43</v>
      </c>
      <c r="D554" s="3"/>
      <c r="E554" s="3"/>
      <c r="F554" s="3"/>
      <c r="G554" s="3"/>
      <c r="H554" s="3"/>
      <c r="I554" s="3"/>
    </row>
    <row r="555">
      <c r="A555" s="4" t="s">
        <v>11340</v>
      </c>
      <c r="B555" s="13" t="s">
        <v>43</v>
      </c>
      <c r="D555" s="3"/>
      <c r="E555" s="3"/>
      <c r="F555" s="3"/>
      <c r="G555" s="3"/>
      <c r="H555" s="3"/>
      <c r="I555" s="3"/>
    </row>
    <row r="556">
      <c r="A556" s="4" t="s">
        <v>11341</v>
      </c>
      <c r="B556" s="13" t="s">
        <v>43</v>
      </c>
      <c r="D556" s="3"/>
      <c r="E556" s="3"/>
      <c r="F556" s="3"/>
      <c r="G556" s="3"/>
      <c r="H556" s="3"/>
      <c r="I556" s="3"/>
    </row>
    <row r="557">
      <c r="A557" s="4" t="s">
        <v>11342</v>
      </c>
      <c r="B557" s="13" t="s">
        <v>43</v>
      </c>
      <c r="D557" s="3"/>
      <c r="E557" s="3"/>
      <c r="F557" s="3"/>
      <c r="G557" s="3"/>
      <c r="H557" s="3"/>
      <c r="I557" s="3"/>
    </row>
    <row r="558">
      <c r="A558" s="4" t="s">
        <v>11343</v>
      </c>
      <c r="B558" s="13" t="s">
        <v>43</v>
      </c>
      <c r="D558" s="3"/>
      <c r="E558" s="3"/>
      <c r="F558" s="3"/>
      <c r="G558" s="3"/>
      <c r="H558" s="3"/>
      <c r="I558" s="3"/>
    </row>
    <row r="559">
      <c r="A559" s="4" t="s">
        <v>11344</v>
      </c>
      <c r="B559" s="13" t="s">
        <v>48</v>
      </c>
      <c r="C559" s="4">
        <v>2.0</v>
      </c>
      <c r="D559" s="4">
        <v>1.0</v>
      </c>
      <c r="E559" s="3"/>
      <c r="F559" s="3"/>
      <c r="G559" s="3"/>
      <c r="H559" s="3"/>
      <c r="I559" s="4">
        <v>15.0</v>
      </c>
    </row>
    <row r="560">
      <c r="A560" s="4" t="s">
        <v>11345</v>
      </c>
      <c r="B560" s="13" t="s">
        <v>48</v>
      </c>
      <c r="C560" s="4">
        <v>3.0</v>
      </c>
      <c r="D560" s="4">
        <v>1.0</v>
      </c>
      <c r="E560" s="3"/>
      <c r="F560" s="3"/>
      <c r="G560" s="3"/>
      <c r="H560" s="4">
        <v>13.0</v>
      </c>
      <c r="I560" s="4">
        <v>15.0</v>
      </c>
      <c r="J560" s="4" t="s">
        <v>1757</v>
      </c>
      <c r="K560" s="4" t="s">
        <v>1757</v>
      </c>
    </row>
    <row r="561">
      <c r="A561" s="4" t="s">
        <v>11346</v>
      </c>
      <c r="B561" s="13" t="s">
        <v>48</v>
      </c>
      <c r="C561" s="4">
        <v>4.0</v>
      </c>
      <c r="D561" s="4">
        <v>1.0</v>
      </c>
      <c r="E561" s="3"/>
      <c r="F561" s="4">
        <v>9.0</v>
      </c>
      <c r="G561" s="3"/>
      <c r="H561" s="4">
        <v>13.0</v>
      </c>
      <c r="I561" s="4">
        <v>15.0</v>
      </c>
      <c r="J561" s="4" t="s">
        <v>1757</v>
      </c>
      <c r="K561" s="4" t="s">
        <v>1757</v>
      </c>
    </row>
    <row r="562">
      <c r="A562" s="4" t="s">
        <v>11347</v>
      </c>
      <c r="B562" s="13" t="s">
        <v>48</v>
      </c>
      <c r="C562" s="4">
        <v>5.0</v>
      </c>
      <c r="D562" s="4">
        <v>1.0</v>
      </c>
      <c r="E562" s="4">
        <v>2.0</v>
      </c>
      <c r="F562" s="4">
        <v>9.0</v>
      </c>
      <c r="G562" s="3"/>
      <c r="H562" s="4">
        <v>13.0</v>
      </c>
      <c r="I562" s="4">
        <v>15.0</v>
      </c>
      <c r="J562" s="4" t="s">
        <v>1757</v>
      </c>
      <c r="K562" s="4" t="s">
        <v>1757</v>
      </c>
    </row>
    <row r="563">
      <c r="A563" s="4" t="s">
        <v>11348</v>
      </c>
      <c r="B563" s="13" t="s">
        <v>48</v>
      </c>
      <c r="C563" s="4">
        <v>5.0</v>
      </c>
      <c r="D563" s="4">
        <v>1.0</v>
      </c>
      <c r="E563" s="4">
        <v>2.0</v>
      </c>
      <c r="F563" s="4">
        <v>9.0</v>
      </c>
      <c r="G563" s="3"/>
      <c r="H563" s="4">
        <v>13.0</v>
      </c>
      <c r="I563" s="4">
        <v>15.0</v>
      </c>
      <c r="J563" s="4" t="s">
        <v>1757</v>
      </c>
      <c r="K563" s="4" t="s">
        <v>1757</v>
      </c>
    </row>
    <row r="564">
      <c r="A564" s="4" t="s">
        <v>11349</v>
      </c>
      <c r="B564" s="13" t="s">
        <v>48</v>
      </c>
      <c r="C564" s="4">
        <v>5.0</v>
      </c>
      <c r="D564" s="4">
        <v>1.0</v>
      </c>
      <c r="E564" s="4">
        <v>2.0</v>
      </c>
      <c r="F564" s="4">
        <v>9.0</v>
      </c>
      <c r="G564" s="3"/>
      <c r="H564" s="4">
        <v>13.0</v>
      </c>
      <c r="I564" s="4">
        <v>15.0</v>
      </c>
      <c r="J564" s="4" t="s">
        <v>1757</v>
      </c>
      <c r="K564" s="4" t="s">
        <v>1757</v>
      </c>
    </row>
    <row r="565">
      <c r="A565" s="4" t="s">
        <v>11350</v>
      </c>
      <c r="B565" s="13" t="s">
        <v>48</v>
      </c>
      <c r="C565" s="4">
        <v>5.0</v>
      </c>
      <c r="D565" s="4">
        <v>1.0</v>
      </c>
      <c r="E565" s="4">
        <v>2.0</v>
      </c>
      <c r="F565" s="4">
        <v>9.0</v>
      </c>
      <c r="G565" s="3"/>
      <c r="H565" s="4">
        <v>13.0</v>
      </c>
      <c r="I565" s="4">
        <v>15.0</v>
      </c>
      <c r="J565" s="4" t="s">
        <v>1757</v>
      </c>
      <c r="K565" s="4" t="s">
        <v>1757</v>
      </c>
    </row>
    <row r="566">
      <c r="A566" s="4" t="s">
        <v>11351</v>
      </c>
      <c r="B566" s="13" t="s">
        <v>48</v>
      </c>
      <c r="C566" s="4">
        <v>5.0</v>
      </c>
      <c r="D566" s="4">
        <v>1.0</v>
      </c>
      <c r="E566" s="4">
        <v>2.0</v>
      </c>
      <c r="F566" s="4">
        <v>9.0</v>
      </c>
      <c r="G566" s="3"/>
      <c r="H566" s="4">
        <v>13.0</v>
      </c>
      <c r="I566" s="4">
        <v>15.0</v>
      </c>
      <c r="J566" s="4" t="s">
        <v>1757</v>
      </c>
      <c r="K566" s="4" t="s">
        <v>1757</v>
      </c>
    </row>
    <row r="567">
      <c r="A567" s="4" t="s">
        <v>11352</v>
      </c>
      <c r="B567" s="13" t="s">
        <v>48</v>
      </c>
      <c r="C567" s="4">
        <v>5.0</v>
      </c>
      <c r="D567" s="4">
        <v>1.0</v>
      </c>
      <c r="E567" s="4">
        <v>2.0</v>
      </c>
      <c r="F567" s="4">
        <v>9.0</v>
      </c>
      <c r="G567" s="3"/>
      <c r="H567" s="4">
        <v>13.0</v>
      </c>
      <c r="I567" s="4">
        <v>15.0</v>
      </c>
      <c r="J567" s="4" t="s">
        <v>1757</v>
      </c>
      <c r="K567" s="4" t="s">
        <v>1757</v>
      </c>
    </row>
    <row r="568">
      <c r="A568" s="4" t="s">
        <v>11353</v>
      </c>
      <c r="B568" s="13" t="s">
        <v>48</v>
      </c>
      <c r="C568" s="4">
        <v>5.0</v>
      </c>
      <c r="D568" s="4">
        <v>1.0</v>
      </c>
      <c r="E568" s="4">
        <v>2.0</v>
      </c>
      <c r="F568" s="4">
        <v>9.0</v>
      </c>
      <c r="G568" s="3"/>
      <c r="H568" s="4">
        <v>13.0</v>
      </c>
      <c r="I568" s="4">
        <v>15.0</v>
      </c>
      <c r="J568" s="4" t="s">
        <v>1757</v>
      </c>
      <c r="K568" s="4" t="s">
        <v>1757</v>
      </c>
    </row>
    <row r="569">
      <c r="A569" s="4" t="s">
        <v>11354</v>
      </c>
      <c r="B569" s="13" t="s">
        <v>48</v>
      </c>
      <c r="C569" s="4">
        <v>5.0</v>
      </c>
      <c r="D569" s="4">
        <v>1.0</v>
      </c>
      <c r="E569" s="4">
        <v>2.0</v>
      </c>
      <c r="F569" s="4">
        <v>9.0</v>
      </c>
      <c r="G569" s="3"/>
      <c r="H569" s="4">
        <v>13.0</v>
      </c>
      <c r="I569" s="4">
        <v>15.0</v>
      </c>
      <c r="J569" s="4" t="s">
        <v>1757</v>
      </c>
      <c r="K569" s="4" t="s">
        <v>1757</v>
      </c>
    </row>
    <row r="570">
      <c r="A570" s="4" t="s">
        <v>11355</v>
      </c>
      <c r="B570" s="13" t="s">
        <v>48</v>
      </c>
      <c r="C570" s="4">
        <v>5.0</v>
      </c>
      <c r="D570" s="4">
        <v>1.0</v>
      </c>
      <c r="E570" s="4">
        <v>2.0</v>
      </c>
      <c r="F570" s="4">
        <v>9.0</v>
      </c>
      <c r="G570" s="3"/>
      <c r="H570" s="4">
        <v>13.0</v>
      </c>
      <c r="I570" s="4">
        <v>15.0</v>
      </c>
      <c r="J570" s="4" t="s">
        <v>1757</v>
      </c>
      <c r="K570" s="4" t="s">
        <v>1757</v>
      </c>
    </row>
    <row r="571">
      <c r="A571" s="4" t="s">
        <v>11356</v>
      </c>
      <c r="B571" s="13" t="s">
        <v>48</v>
      </c>
      <c r="C571" s="4">
        <v>5.0</v>
      </c>
      <c r="D571" s="4">
        <v>1.0</v>
      </c>
      <c r="E571" s="4">
        <v>2.0</v>
      </c>
      <c r="F571" s="4">
        <v>9.0</v>
      </c>
      <c r="G571" s="3"/>
      <c r="H571" s="4">
        <v>13.0</v>
      </c>
      <c r="I571" s="4">
        <v>15.0</v>
      </c>
      <c r="J571" s="4" t="s">
        <v>1757</v>
      </c>
      <c r="K571" s="4" t="s">
        <v>1757</v>
      </c>
    </row>
    <row r="572">
      <c r="A572" s="4" t="s">
        <v>11357</v>
      </c>
      <c r="B572" s="13" t="s">
        <v>48</v>
      </c>
      <c r="C572" s="4">
        <v>4.0</v>
      </c>
      <c r="D572" s="3"/>
      <c r="E572" s="4">
        <v>2.0</v>
      </c>
      <c r="F572" s="4">
        <v>9.0</v>
      </c>
      <c r="G572" s="3"/>
      <c r="H572" s="4">
        <v>13.0</v>
      </c>
      <c r="I572" s="4">
        <v>15.0</v>
      </c>
      <c r="J572" s="4" t="s">
        <v>1757</v>
      </c>
    </row>
    <row r="573">
      <c r="A573" s="4" t="s">
        <v>11358</v>
      </c>
      <c r="B573" s="13" t="s">
        <v>48</v>
      </c>
      <c r="C573" s="4">
        <v>3.0</v>
      </c>
      <c r="D573" s="3"/>
      <c r="E573" s="4">
        <v>2.0</v>
      </c>
      <c r="F573" s="4">
        <v>9.0</v>
      </c>
      <c r="G573" s="3"/>
      <c r="H573" s="4">
        <v>13.0</v>
      </c>
      <c r="I573" s="3"/>
      <c r="J573" s="4" t="s">
        <v>1757</v>
      </c>
    </row>
    <row r="574">
      <c r="A574" s="4" t="s">
        <v>11359</v>
      </c>
      <c r="B574" s="13" t="s">
        <v>48</v>
      </c>
      <c r="C574" s="4">
        <v>3.0</v>
      </c>
      <c r="D574" s="3"/>
      <c r="E574" s="4">
        <v>2.0</v>
      </c>
      <c r="F574" s="4">
        <v>9.0</v>
      </c>
      <c r="G574" s="3"/>
      <c r="H574" s="4">
        <v>13.0</v>
      </c>
      <c r="I574" s="3"/>
      <c r="J574" s="4" t="s">
        <v>1757</v>
      </c>
    </row>
    <row r="575">
      <c r="A575" s="4" t="s">
        <v>11360</v>
      </c>
      <c r="B575" s="13" t="s">
        <v>48</v>
      </c>
      <c r="C575" s="4">
        <v>2.0</v>
      </c>
      <c r="D575" s="3"/>
      <c r="E575" s="4">
        <v>2.0</v>
      </c>
      <c r="F575" s="3"/>
      <c r="G575" s="3"/>
      <c r="H575" s="4">
        <v>13.0</v>
      </c>
      <c r="I575" s="3"/>
      <c r="J575" s="4" t="s">
        <v>1757</v>
      </c>
      <c r="K575" s="4" t="s">
        <v>1757</v>
      </c>
    </row>
    <row r="576">
      <c r="A576" s="4" t="s">
        <v>11361</v>
      </c>
      <c r="B576" s="13" t="s">
        <v>48</v>
      </c>
      <c r="C576" s="4">
        <v>2.0</v>
      </c>
      <c r="D576" s="3"/>
      <c r="E576" s="4">
        <v>2.0</v>
      </c>
      <c r="F576" s="3"/>
      <c r="G576" s="3"/>
      <c r="H576" s="4">
        <v>13.0</v>
      </c>
      <c r="I576" s="3"/>
      <c r="J576" s="4" t="s">
        <v>1757</v>
      </c>
      <c r="K576" s="4" t="s">
        <v>1757</v>
      </c>
    </row>
    <row r="577">
      <c r="A577" s="4" t="s">
        <v>11362</v>
      </c>
      <c r="B577" s="13" t="s">
        <v>48</v>
      </c>
      <c r="C577" s="4">
        <v>2.0</v>
      </c>
      <c r="D577" s="3"/>
      <c r="E577" s="4">
        <v>2.0</v>
      </c>
      <c r="F577" s="3"/>
      <c r="G577" s="3"/>
      <c r="H577" s="4">
        <v>13.0</v>
      </c>
      <c r="I577" s="3"/>
      <c r="J577" s="4" t="s">
        <v>1757</v>
      </c>
      <c r="K577" s="4" t="s">
        <v>1757</v>
      </c>
    </row>
    <row r="578">
      <c r="A578" s="4" t="s">
        <v>11363</v>
      </c>
      <c r="B578" s="13" t="s">
        <v>48</v>
      </c>
      <c r="C578" s="4">
        <v>2.0</v>
      </c>
      <c r="D578" s="3"/>
      <c r="E578" s="4">
        <v>2.0</v>
      </c>
      <c r="F578" s="3"/>
      <c r="G578" s="3"/>
      <c r="H578" s="4">
        <v>13.0</v>
      </c>
      <c r="I578" s="3"/>
      <c r="J578" s="4" t="s">
        <v>1757</v>
      </c>
      <c r="K578" s="4" t="s">
        <v>1757</v>
      </c>
    </row>
    <row r="579">
      <c r="A579" s="4" t="s">
        <v>11364</v>
      </c>
      <c r="B579" s="13" t="s">
        <v>48</v>
      </c>
      <c r="C579" s="4">
        <v>1.0</v>
      </c>
      <c r="D579" s="3"/>
      <c r="E579" s="4">
        <v>2.0</v>
      </c>
      <c r="F579" s="3"/>
      <c r="G579" s="3"/>
      <c r="H579" s="3"/>
      <c r="I579" s="3"/>
      <c r="J579" s="4" t="s">
        <v>1757</v>
      </c>
    </row>
    <row r="580">
      <c r="A580" s="4" t="s">
        <v>11365</v>
      </c>
      <c r="B580" s="13" t="s">
        <v>48</v>
      </c>
      <c r="C580" s="4">
        <v>2.0</v>
      </c>
      <c r="D580" s="3"/>
      <c r="E580" s="4">
        <v>2.0</v>
      </c>
      <c r="F580" s="3"/>
      <c r="G580" s="3"/>
      <c r="H580" s="4">
        <v>13.0</v>
      </c>
      <c r="I580" s="3"/>
      <c r="J580" s="4" t="s">
        <v>1757</v>
      </c>
      <c r="K580" s="4" t="s">
        <v>1757</v>
      </c>
    </row>
    <row r="581">
      <c r="A581" s="4" t="s">
        <v>11366</v>
      </c>
      <c r="B581" s="13" t="s">
        <v>48</v>
      </c>
      <c r="C581" s="4">
        <v>3.0</v>
      </c>
      <c r="D581" s="4">
        <v>1.0</v>
      </c>
      <c r="E581" s="3"/>
      <c r="F581" s="3"/>
      <c r="G581" s="3"/>
      <c r="H581" s="4">
        <v>13.0</v>
      </c>
      <c r="I581" s="4">
        <v>15.0</v>
      </c>
      <c r="J581" s="4" t="s">
        <v>1757</v>
      </c>
      <c r="K581" s="4" t="s">
        <v>1757</v>
      </c>
    </row>
    <row r="582">
      <c r="A582" s="4" t="s">
        <v>11367</v>
      </c>
      <c r="B582" s="13" t="s">
        <v>48</v>
      </c>
      <c r="C582" s="4">
        <v>3.0</v>
      </c>
      <c r="D582" s="4">
        <v>1.0</v>
      </c>
      <c r="E582" s="3"/>
      <c r="F582" s="3"/>
      <c r="G582" s="3"/>
      <c r="H582" s="4">
        <v>13.0</v>
      </c>
      <c r="I582" s="4">
        <v>15.0</v>
      </c>
      <c r="J582" s="4" t="s">
        <v>1757</v>
      </c>
      <c r="K582" s="4" t="s">
        <v>1757</v>
      </c>
    </row>
    <row r="583">
      <c r="A583" s="4" t="s">
        <v>11368</v>
      </c>
      <c r="B583" s="13" t="s">
        <v>48</v>
      </c>
      <c r="C583" s="4">
        <v>2.0</v>
      </c>
      <c r="D583" s="4">
        <v>1.0</v>
      </c>
      <c r="E583" s="3"/>
      <c r="F583" s="3"/>
      <c r="G583" s="3"/>
      <c r="H583" s="3"/>
      <c r="I583" s="4">
        <v>15.0</v>
      </c>
      <c r="J583" s="4" t="s">
        <v>1757</v>
      </c>
      <c r="K583" s="4" t="s">
        <v>1757</v>
      </c>
    </row>
    <row r="584">
      <c r="A584" s="4" t="s">
        <v>11369</v>
      </c>
      <c r="B584" s="13" t="s">
        <v>48</v>
      </c>
      <c r="C584" s="4">
        <v>2.0</v>
      </c>
      <c r="D584" s="4">
        <v>1.0</v>
      </c>
      <c r="E584" s="3"/>
      <c r="F584" s="3"/>
      <c r="G584" s="3"/>
      <c r="H584" s="3"/>
      <c r="I584" s="4">
        <v>15.0</v>
      </c>
      <c r="J584" s="4" t="s">
        <v>1757</v>
      </c>
    </row>
    <row r="585">
      <c r="A585" s="4" t="s">
        <v>11370</v>
      </c>
      <c r="B585" s="13" t="s">
        <v>48</v>
      </c>
      <c r="C585" s="4">
        <v>2.0</v>
      </c>
      <c r="D585" s="4">
        <v>1.0</v>
      </c>
      <c r="E585" s="3"/>
      <c r="F585" s="3"/>
      <c r="G585" s="3"/>
      <c r="H585" s="3"/>
      <c r="I585" s="4">
        <v>15.0</v>
      </c>
      <c r="J585" s="4" t="s">
        <v>1757</v>
      </c>
    </row>
    <row r="586">
      <c r="A586" s="4" t="s">
        <v>11371</v>
      </c>
      <c r="B586" s="13" t="s">
        <v>48</v>
      </c>
      <c r="C586" s="4">
        <v>2.0</v>
      </c>
      <c r="D586" s="4">
        <v>1.0</v>
      </c>
      <c r="E586" s="3"/>
      <c r="F586" s="3"/>
      <c r="G586" s="3"/>
      <c r="H586" s="3"/>
      <c r="I586" s="4">
        <v>15.0</v>
      </c>
    </row>
    <row r="587">
      <c r="A587" s="4" t="s">
        <v>11372</v>
      </c>
      <c r="B587" s="13" t="s">
        <v>48</v>
      </c>
      <c r="C587" s="4">
        <v>2.0</v>
      </c>
      <c r="D587" s="4">
        <v>1.0</v>
      </c>
      <c r="E587" s="3"/>
      <c r="F587" s="3"/>
      <c r="G587" s="3"/>
      <c r="H587" s="3"/>
      <c r="I587" s="4">
        <v>15.0</v>
      </c>
    </row>
    <row r="588">
      <c r="A588" s="4" t="s">
        <v>11373</v>
      </c>
      <c r="B588" s="13" t="s">
        <v>48</v>
      </c>
      <c r="C588" s="4">
        <v>2.0</v>
      </c>
      <c r="D588" s="4">
        <v>1.0</v>
      </c>
      <c r="E588" s="3"/>
      <c r="F588" s="3"/>
      <c r="G588" s="3"/>
      <c r="H588" s="3"/>
      <c r="I588" s="4">
        <v>15.0</v>
      </c>
    </row>
    <row r="589">
      <c r="A589" s="4" t="s">
        <v>11374</v>
      </c>
      <c r="B589" s="13" t="s">
        <v>48</v>
      </c>
      <c r="C589" s="4">
        <v>2.0</v>
      </c>
      <c r="D589" s="4">
        <v>1.0</v>
      </c>
      <c r="E589" s="3"/>
      <c r="F589" s="3"/>
      <c r="G589" s="3"/>
      <c r="H589" s="3"/>
      <c r="I589" s="4">
        <v>15.0</v>
      </c>
    </row>
    <row r="590">
      <c r="A590" s="4" t="s">
        <v>11375</v>
      </c>
      <c r="B590" s="13" t="s">
        <v>48</v>
      </c>
      <c r="C590" s="4">
        <v>1.0</v>
      </c>
      <c r="D590" s="4">
        <v>1.0</v>
      </c>
      <c r="E590" s="3"/>
      <c r="F590" s="3"/>
      <c r="G590" s="3"/>
      <c r="H590" s="3"/>
      <c r="I590" s="3"/>
    </row>
    <row r="591">
      <c r="A591" s="4" t="s">
        <v>11376</v>
      </c>
      <c r="B591" s="13" t="s">
        <v>43</v>
      </c>
      <c r="D591" s="3"/>
      <c r="E591" s="3"/>
      <c r="F591" s="3"/>
      <c r="G591" s="3"/>
      <c r="H591" s="3"/>
      <c r="I591" s="3"/>
    </row>
    <row r="592">
      <c r="A592" s="4" t="s">
        <v>11377</v>
      </c>
      <c r="B592" s="13" t="s">
        <v>43</v>
      </c>
      <c r="D592" s="3"/>
      <c r="E592" s="3"/>
      <c r="F592" s="3"/>
      <c r="G592" s="3"/>
      <c r="H592" s="3"/>
      <c r="I592" s="3"/>
    </row>
    <row r="593">
      <c r="A593" s="4" t="s">
        <v>11378</v>
      </c>
      <c r="B593" s="13" t="s">
        <v>43</v>
      </c>
      <c r="D593" s="3"/>
      <c r="E593" s="3"/>
      <c r="F593" s="3"/>
      <c r="G593" s="3"/>
      <c r="H593" s="3"/>
      <c r="I593" s="3"/>
    </row>
    <row r="594">
      <c r="A594" s="4" t="s">
        <v>11379</v>
      </c>
      <c r="B594" s="13" t="s">
        <v>43</v>
      </c>
      <c r="D594" s="3"/>
      <c r="E594" s="3"/>
      <c r="F594" s="3"/>
      <c r="G594" s="3"/>
      <c r="H594" s="3"/>
      <c r="I594" s="3"/>
    </row>
    <row r="595">
      <c r="A595" s="4" t="s">
        <v>11380</v>
      </c>
      <c r="B595" s="13" t="s">
        <v>43</v>
      </c>
      <c r="D595" s="3"/>
      <c r="E595" s="3"/>
      <c r="F595" s="3"/>
      <c r="G595" s="3"/>
      <c r="H595" s="3"/>
      <c r="I595" s="3"/>
    </row>
    <row r="596">
      <c r="A596" s="4" t="s">
        <v>11381</v>
      </c>
      <c r="B596" s="13" t="s">
        <v>43</v>
      </c>
      <c r="D596" s="3"/>
      <c r="E596" s="3"/>
      <c r="F596" s="3"/>
      <c r="G596" s="3"/>
      <c r="H596" s="3"/>
      <c r="I596" s="3"/>
    </row>
    <row r="597">
      <c r="A597" s="4" t="s">
        <v>11382</v>
      </c>
      <c r="B597" s="13" t="s">
        <v>43</v>
      </c>
      <c r="D597" s="3"/>
      <c r="E597" s="3"/>
      <c r="F597" s="3"/>
      <c r="G597" s="3"/>
      <c r="H597" s="3"/>
      <c r="I597" s="3"/>
    </row>
    <row r="598">
      <c r="A598" s="4" t="s">
        <v>11383</v>
      </c>
      <c r="B598" s="13" t="s">
        <v>48</v>
      </c>
      <c r="C598" s="4">
        <v>1.0</v>
      </c>
      <c r="D598" s="4">
        <v>1.0</v>
      </c>
      <c r="E598" s="3"/>
      <c r="F598" s="3"/>
      <c r="G598" s="3"/>
      <c r="H598" s="3"/>
      <c r="I598" s="3"/>
    </row>
    <row r="599">
      <c r="A599" s="4" t="s">
        <v>11384</v>
      </c>
      <c r="B599" s="13" t="s">
        <v>48</v>
      </c>
      <c r="C599" s="4">
        <v>1.0</v>
      </c>
      <c r="D599" s="4">
        <v>1.0</v>
      </c>
      <c r="E599" s="3"/>
      <c r="F599" s="3"/>
      <c r="G599" s="3"/>
      <c r="H599" s="3"/>
      <c r="I599" s="3"/>
    </row>
    <row r="600">
      <c r="A600" s="4" t="s">
        <v>11385</v>
      </c>
      <c r="B600" s="13" t="s">
        <v>43</v>
      </c>
      <c r="D600" s="3"/>
      <c r="E600" s="3"/>
      <c r="F600" s="3"/>
      <c r="G600" s="3"/>
      <c r="H600" s="3"/>
      <c r="I600" s="3"/>
    </row>
    <row r="601">
      <c r="A601" s="4" t="s">
        <v>11386</v>
      </c>
      <c r="B601" s="13" t="s">
        <v>43</v>
      </c>
      <c r="D601" s="3"/>
      <c r="E601" s="3"/>
      <c r="F601" s="3"/>
      <c r="G601" s="3"/>
      <c r="H601" s="3"/>
      <c r="I601" s="3"/>
    </row>
    <row r="602">
      <c r="A602" s="4" t="s">
        <v>11387</v>
      </c>
      <c r="B602" s="13" t="s">
        <v>43</v>
      </c>
      <c r="D602" s="3"/>
      <c r="E602" s="3"/>
      <c r="F602" s="3"/>
      <c r="G602" s="3"/>
      <c r="H602" s="3"/>
      <c r="I602" s="3"/>
    </row>
    <row r="603">
      <c r="A603" s="4" t="s">
        <v>11388</v>
      </c>
      <c r="B603" s="13" t="s">
        <v>43</v>
      </c>
      <c r="D603" s="3"/>
      <c r="E603" s="3"/>
      <c r="F603" s="3"/>
      <c r="G603" s="3"/>
      <c r="H603" s="3"/>
      <c r="I603" s="3"/>
    </row>
    <row r="604">
      <c r="A604" s="4" t="s">
        <v>11389</v>
      </c>
      <c r="B604" s="13" t="s">
        <v>43</v>
      </c>
      <c r="D604" s="3"/>
      <c r="E604" s="3"/>
      <c r="F604" s="3"/>
      <c r="G604" s="3"/>
      <c r="H604" s="3"/>
      <c r="I604" s="3"/>
    </row>
    <row r="605">
      <c r="A605" s="4" t="s">
        <v>11390</v>
      </c>
      <c r="B605" s="13" t="s">
        <v>43</v>
      </c>
      <c r="D605" s="3"/>
      <c r="E605" s="3"/>
      <c r="F605" s="3"/>
      <c r="G605" s="3"/>
      <c r="H605" s="3"/>
      <c r="I605" s="3"/>
    </row>
    <row r="606">
      <c r="A606" s="4" t="s">
        <v>11391</v>
      </c>
      <c r="B606" s="13" t="s">
        <v>43</v>
      </c>
      <c r="D606" s="3"/>
      <c r="E606" s="3"/>
      <c r="F606" s="3"/>
      <c r="G606" s="3"/>
      <c r="H606" s="3"/>
      <c r="I606" s="3"/>
    </row>
    <row r="607">
      <c r="A607" s="4" t="s">
        <v>11392</v>
      </c>
      <c r="B607" s="13" t="s">
        <v>43</v>
      </c>
      <c r="D607" s="3"/>
      <c r="E607" s="3"/>
      <c r="F607" s="3"/>
      <c r="G607" s="3"/>
      <c r="H607" s="3"/>
      <c r="I607" s="3"/>
    </row>
    <row r="608">
      <c r="A608" s="4" t="s">
        <v>11393</v>
      </c>
      <c r="B608" s="13" t="s">
        <v>43</v>
      </c>
      <c r="D608" s="3"/>
      <c r="E608" s="3"/>
      <c r="F608" s="3"/>
      <c r="G608" s="3"/>
      <c r="H608" s="3"/>
      <c r="I608" s="3"/>
    </row>
    <row r="609">
      <c r="A609" s="4" t="s">
        <v>11394</v>
      </c>
      <c r="B609" s="13" t="s">
        <v>43</v>
      </c>
      <c r="D609" s="3"/>
      <c r="E609" s="3"/>
      <c r="F609" s="3"/>
      <c r="G609" s="3"/>
      <c r="H609" s="3"/>
      <c r="I609" s="3"/>
    </row>
    <row r="610">
      <c r="A610" s="4" t="s">
        <v>11395</v>
      </c>
      <c r="B610" s="13" t="s">
        <v>43</v>
      </c>
      <c r="D610" s="3"/>
      <c r="E610" s="3"/>
      <c r="F610" s="3"/>
      <c r="G610" s="3"/>
      <c r="H610" s="3"/>
      <c r="I610" s="3"/>
    </row>
    <row r="611">
      <c r="A611" s="4" t="s">
        <v>11396</v>
      </c>
      <c r="B611" s="13" t="s">
        <v>43</v>
      </c>
      <c r="D611" s="3"/>
      <c r="E611" s="3"/>
      <c r="F611" s="3"/>
      <c r="G611" s="3"/>
      <c r="H611" s="3"/>
      <c r="I611" s="3"/>
    </row>
    <row r="612">
      <c r="A612" s="4" t="s">
        <v>11397</v>
      </c>
      <c r="B612" s="13" t="s">
        <v>43</v>
      </c>
      <c r="D612" s="3"/>
      <c r="E612" s="3"/>
      <c r="F612" s="3"/>
      <c r="G612" s="3"/>
      <c r="H612" s="3"/>
      <c r="I612" s="3"/>
    </row>
    <row r="613">
      <c r="A613" s="4" t="s">
        <v>11398</v>
      </c>
      <c r="B613" s="13" t="s">
        <v>43</v>
      </c>
      <c r="D613" s="3"/>
      <c r="E613" s="3"/>
      <c r="F613" s="3"/>
      <c r="G613" s="3"/>
      <c r="H613" s="3"/>
      <c r="I613" s="3"/>
    </row>
    <row r="614">
      <c r="A614" s="4" t="s">
        <v>11399</v>
      </c>
      <c r="B614" s="13" t="s">
        <v>43</v>
      </c>
      <c r="D614" s="3"/>
      <c r="E614" s="3"/>
      <c r="F614" s="3"/>
      <c r="G614" s="3"/>
      <c r="H614" s="3"/>
      <c r="I614" s="3"/>
      <c r="J614" s="4" t="s">
        <v>1757</v>
      </c>
    </row>
    <row r="615">
      <c r="A615" s="4" t="s">
        <v>11400</v>
      </c>
      <c r="B615" s="13" t="s">
        <v>43</v>
      </c>
      <c r="D615" s="3"/>
      <c r="E615" s="3"/>
      <c r="F615" s="3"/>
      <c r="G615" s="3"/>
      <c r="H615" s="3"/>
      <c r="I615" s="3"/>
      <c r="J615" s="4" t="s">
        <v>1757</v>
      </c>
    </row>
    <row r="616">
      <c r="A616" s="4" t="s">
        <v>11401</v>
      </c>
      <c r="B616" s="13" t="s">
        <v>43</v>
      </c>
      <c r="D616" s="3"/>
      <c r="E616" s="3"/>
      <c r="F616" s="3"/>
      <c r="G616" s="3"/>
      <c r="H616" s="3"/>
      <c r="I616" s="3"/>
      <c r="J616" s="4" t="s">
        <v>1757</v>
      </c>
    </row>
    <row r="617">
      <c r="A617" s="4" t="s">
        <v>11402</v>
      </c>
      <c r="B617" s="13" t="s">
        <v>43</v>
      </c>
      <c r="D617" s="3"/>
      <c r="E617" s="3"/>
      <c r="F617" s="3"/>
      <c r="G617" s="3"/>
      <c r="H617" s="3"/>
      <c r="I617" s="3"/>
      <c r="J617" s="4" t="s">
        <v>1757</v>
      </c>
    </row>
    <row r="618">
      <c r="A618" s="4" t="s">
        <v>11403</v>
      </c>
      <c r="B618" s="13" t="s">
        <v>43</v>
      </c>
      <c r="D618" s="3"/>
      <c r="E618" s="3"/>
      <c r="F618" s="3"/>
      <c r="G618" s="3"/>
      <c r="H618" s="3"/>
      <c r="I618" s="3"/>
      <c r="J618" s="4" t="s">
        <v>1757</v>
      </c>
    </row>
    <row r="619">
      <c r="A619" s="4" t="s">
        <v>11404</v>
      </c>
      <c r="B619" s="13" t="s">
        <v>43</v>
      </c>
      <c r="D619" s="3"/>
      <c r="E619" s="3"/>
      <c r="F619" s="3"/>
      <c r="G619" s="3"/>
      <c r="H619" s="3"/>
      <c r="I619" s="3"/>
      <c r="J619" s="4" t="s">
        <v>1757</v>
      </c>
    </row>
    <row r="620">
      <c r="A620" s="4" t="s">
        <v>11405</v>
      </c>
      <c r="B620" s="13" t="s">
        <v>43</v>
      </c>
      <c r="D620" s="3"/>
      <c r="E620" s="3"/>
      <c r="F620" s="3"/>
      <c r="G620" s="3"/>
      <c r="H620" s="3"/>
      <c r="I620" s="3"/>
      <c r="J620" s="4" t="s">
        <v>1757</v>
      </c>
    </row>
    <row r="621">
      <c r="A621" s="4" t="s">
        <v>11406</v>
      </c>
      <c r="B621" s="13" t="s">
        <v>43</v>
      </c>
      <c r="D621" s="3"/>
      <c r="E621" s="3"/>
      <c r="F621" s="3"/>
      <c r="G621" s="3"/>
      <c r="H621" s="3"/>
      <c r="I621" s="3"/>
      <c r="J621" s="4" t="s">
        <v>1757</v>
      </c>
    </row>
    <row r="622">
      <c r="A622" s="4" t="s">
        <v>11407</v>
      </c>
      <c r="B622" s="13" t="s">
        <v>43</v>
      </c>
      <c r="D622" s="3"/>
      <c r="E622" s="3"/>
      <c r="F622" s="3"/>
      <c r="G622" s="3"/>
      <c r="H622" s="3"/>
      <c r="I622" s="3"/>
      <c r="J622" s="4" t="s">
        <v>1757</v>
      </c>
    </row>
    <row r="623">
      <c r="A623" s="4" t="s">
        <v>11408</v>
      </c>
      <c r="B623" s="13" t="s">
        <v>43</v>
      </c>
      <c r="D623" s="3"/>
      <c r="E623" s="3"/>
      <c r="F623" s="3"/>
      <c r="G623" s="3"/>
      <c r="H623" s="3"/>
      <c r="I623" s="3"/>
      <c r="J623" s="4" t="s">
        <v>1757</v>
      </c>
    </row>
    <row r="624">
      <c r="A624" s="4" t="s">
        <v>11409</v>
      </c>
      <c r="B624" s="13" t="s">
        <v>43</v>
      </c>
      <c r="D624" s="3"/>
      <c r="E624" s="3"/>
      <c r="F624" s="3"/>
      <c r="G624" s="3"/>
      <c r="H624" s="3"/>
      <c r="I624" s="3"/>
      <c r="J624" s="4" t="s">
        <v>1757</v>
      </c>
    </row>
    <row r="625">
      <c r="A625" s="4" t="s">
        <v>11410</v>
      </c>
      <c r="B625" s="13" t="s">
        <v>43</v>
      </c>
      <c r="D625" s="3"/>
      <c r="E625" s="3"/>
      <c r="F625" s="3"/>
      <c r="G625" s="3"/>
      <c r="H625" s="3"/>
      <c r="I625" s="3"/>
      <c r="J625" s="4" t="s">
        <v>1757</v>
      </c>
    </row>
    <row r="626">
      <c r="A626" s="4" t="s">
        <v>11411</v>
      </c>
      <c r="B626" s="13" t="s">
        <v>43</v>
      </c>
      <c r="D626" s="3"/>
      <c r="E626" s="3"/>
      <c r="F626" s="3"/>
      <c r="G626" s="3"/>
      <c r="H626" s="3"/>
      <c r="I626" s="3"/>
    </row>
    <row r="627">
      <c r="A627" s="4" t="s">
        <v>11412</v>
      </c>
      <c r="B627" s="13" t="s">
        <v>43</v>
      </c>
      <c r="D627" s="3"/>
      <c r="E627" s="3"/>
      <c r="F627" s="3"/>
      <c r="G627" s="3"/>
      <c r="H627" s="3"/>
      <c r="I627" s="3"/>
    </row>
    <row r="628">
      <c r="A628" s="4" t="s">
        <v>11413</v>
      </c>
      <c r="B628" s="13" t="s">
        <v>43</v>
      </c>
      <c r="D628" s="3"/>
      <c r="E628" s="3"/>
      <c r="F628" s="3"/>
      <c r="G628" s="3"/>
      <c r="H628" s="3"/>
      <c r="I628" s="3"/>
    </row>
    <row r="629">
      <c r="A629" s="4" t="s">
        <v>11414</v>
      </c>
      <c r="B629" s="13" t="s">
        <v>43</v>
      </c>
      <c r="D629" s="3"/>
      <c r="E629" s="3"/>
      <c r="F629" s="3"/>
      <c r="G629" s="3"/>
      <c r="H629" s="3"/>
      <c r="I629" s="3"/>
    </row>
    <row r="630">
      <c r="A630" s="4" t="s">
        <v>11415</v>
      </c>
      <c r="B630" s="13" t="s">
        <v>43</v>
      </c>
      <c r="D630" s="3"/>
      <c r="E630" s="3"/>
      <c r="F630" s="3"/>
      <c r="G630" s="3"/>
      <c r="H630" s="3"/>
      <c r="I630" s="3"/>
    </row>
    <row r="631">
      <c r="A631" s="4" t="s">
        <v>11416</v>
      </c>
      <c r="B631" s="13" t="s">
        <v>43</v>
      </c>
      <c r="D631" s="3"/>
      <c r="E631" s="3"/>
      <c r="F631" s="3"/>
      <c r="G631" s="3"/>
      <c r="H631" s="3"/>
      <c r="I631" s="3"/>
    </row>
    <row r="632">
      <c r="A632" s="4" t="s">
        <v>11417</v>
      </c>
      <c r="B632" s="13" t="s">
        <v>43</v>
      </c>
      <c r="D632" s="3"/>
      <c r="E632" s="3"/>
      <c r="F632" s="3"/>
      <c r="G632" s="3"/>
      <c r="H632" s="3"/>
      <c r="I632" s="3"/>
    </row>
    <row r="633">
      <c r="A633" s="4" t="s">
        <v>11418</v>
      </c>
      <c r="B633" s="13" t="s">
        <v>43</v>
      </c>
      <c r="D633" s="3"/>
      <c r="E633" s="3"/>
      <c r="F633" s="3"/>
      <c r="G633" s="3"/>
      <c r="H633" s="3"/>
      <c r="I633" s="3"/>
    </row>
    <row r="634">
      <c r="A634" s="4" t="s">
        <v>11419</v>
      </c>
      <c r="B634" s="13" t="s">
        <v>43</v>
      </c>
      <c r="D634" s="3"/>
      <c r="E634" s="3"/>
      <c r="F634" s="3"/>
      <c r="G634" s="3"/>
      <c r="H634" s="3"/>
      <c r="I634" s="3"/>
    </row>
    <row r="635">
      <c r="A635" s="4" t="s">
        <v>11420</v>
      </c>
      <c r="B635" s="13" t="s">
        <v>43</v>
      </c>
      <c r="D635" s="3"/>
      <c r="E635" s="3"/>
      <c r="F635" s="3"/>
      <c r="G635" s="3"/>
      <c r="H635" s="3"/>
      <c r="I635" s="3"/>
    </row>
    <row r="636">
      <c r="A636" s="4" t="s">
        <v>11421</v>
      </c>
      <c r="B636" s="13" t="s">
        <v>43</v>
      </c>
      <c r="D636" s="3"/>
      <c r="E636" s="3"/>
      <c r="F636" s="3"/>
      <c r="G636" s="3"/>
      <c r="H636" s="3"/>
      <c r="I636" s="3"/>
    </row>
    <row r="637">
      <c r="A637" s="4" t="s">
        <v>11422</v>
      </c>
      <c r="B637" s="13" t="s">
        <v>43</v>
      </c>
      <c r="D637" s="3"/>
      <c r="E637" s="3"/>
      <c r="F637" s="3"/>
      <c r="G637" s="3"/>
      <c r="H637" s="3"/>
      <c r="I637" s="3"/>
    </row>
    <row r="638">
      <c r="A638" s="4" t="s">
        <v>11423</v>
      </c>
      <c r="B638" s="13" t="s">
        <v>43</v>
      </c>
      <c r="D638" s="3"/>
      <c r="E638" s="3"/>
      <c r="F638" s="3"/>
      <c r="G638" s="3"/>
      <c r="H638" s="3"/>
      <c r="I638" s="3"/>
    </row>
    <row r="639">
      <c r="A639" s="4" t="s">
        <v>11424</v>
      </c>
      <c r="B639" s="13" t="s">
        <v>48</v>
      </c>
      <c r="C639" s="4">
        <v>2.0</v>
      </c>
      <c r="D639" s="3"/>
      <c r="E639" s="4">
        <v>2.0</v>
      </c>
      <c r="F639" s="3"/>
      <c r="G639" s="3"/>
      <c r="H639" s="4">
        <v>13.0</v>
      </c>
      <c r="I639" s="3"/>
    </row>
    <row r="640">
      <c r="A640" s="4" t="s">
        <v>11425</v>
      </c>
      <c r="B640" s="13" t="s">
        <v>48</v>
      </c>
      <c r="C640" s="4">
        <v>2.0</v>
      </c>
      <c r="D640" s="3"/>
      <c r="E640" s="4">
        <v>2.0</v>
      </c>
      <c r="F640" s="3"/>
      <c r="G640" s="3"/>
      <c r="H640" s="4">
        <v>13.0</v>
      </c>
      <c r="I640" s="3"/>
      <c r="J640" s="4" t="s">
        <v>1757</v>
      </c>
    </row>
    <row r="641">
      <c r="A641" s="4" t="s">
        <v>11426</v>
      </c>
      <c r="B641" s="13" t="s">
        <v>48</v>
      </c>
      <c r="C641" s="4">
        <v>2.0</v>
      </c>
      <c r="D641" s="3"/>
      <c r="E641" s="4">
        <v>2.0</v>
      </c>
      <c r="F641" s="3"/>
      <c r="G641" s="3"/>
      <c r="H641" s="4">
        <v>13.0</v>
      </c>
      <c r="I641" s="3"/>
      <c r="J641" s="4" t="s">
        <v>1757</v>
      </c>
    </row>
    <row r="642">
      <c r="A642" s="4" t="s">
        <v>11427</v>
      </c>
      <c r="B642" s="13" t="s">
        <v>48</v>
      </c>
      <c r="C642" s="4">
        <v>2.0</v>
      </c>
      <c r="D642" s="3"/>
      <c r="E642" s="4">
        <v>2.0</v>
      </c>
      <c r="F642" s="3"/>
      <c r="G642" s="3"/>
      <c r="H642" s="4">
        <v>13.0</v>
      </c>
      <c r="I642" s="3"/>
    </row>
    <row r="643">
      <c r="A643" s="4" t="s">
        <v>11428</v>
      </c>
      <c r="B643" s="13" t="s">
        <v>48</v>
      </c>
      <c r="C643" s="4">
        <v>2.0</v>
      </c>
      <c r="D643" s="3"/>
      <c r="E643" s="4">
        <v>2.0</v>
      </c>
      <c r="F643" s="3"/>
      <c r="G643" s="3"/>
      <c r="H643" s="4">
        <v>13.0</v>
      </c>
      <c r="I643" s="3"/>
    </row>
    <row r="644">
      <c r="A644" s="4" t="s">
        <v>11429</v>
      </c>
      <c r="B644" s="13" t="s">
        <v>48</v>
      </c>
      <c r="C644" s="4">
        <v>2.0</v>
      </c>
      <c r="D644" s="3"/>
      <c r="E644" s="4">
        <v>2.0</v>
      </c>
      <c r="F644" s="3"/>
      <c r="G644" s="3"/>
      <c r="H644" s="4">
        <v>13.0</v>
      </c>
      <c r="I644" s="3"/>
    </row>
    <row r="645">
      <c r="A645" s="4" t="s">
        <v>11430</v>
      </c>
      <c r="B645" s="13" t="s">
        <v>48</v>
      </c>
      <c r="C645" s="4">
        <v>2.0</v>
      </c>
      <c r="D645" s="3"/>
      <c r="E645" s="4">
        <v>2.0</v>
      </c>
      <c r="F645" s="3"/>
      <c r="G645" s="3"/>
      <c r="H645" s="4">
        <v>13.0</v>
      </c>
      <c r="I645" s="3"/>
    </row>
    <row r="646">
      <c r="A646" s="4" t="s">
        <v>11431</v>
      </c>
      <c r="B646" s="27" t="s">
        <v>4536</v>
      </c>
    </row>
    <row r="647">
      <c r="A647" s="4" t="s">
        <v>11432</v>
      </c>
      <c r="B647" s="27" t="s">
        <v>4536</v>
      </c>
    </row>
    <row r="648">
      <c r="A648" s="4" t="s">
        <v>11433</v>
      </c>
      <c r="B648" s="27" t="s">
        <v>4536</v>
      </c>
    </row>
    <row r="649">
      <c r="A649" s="4" t="s">
        <v>11434</v>
      </c>
      <c r="B649" s="27" t="s">
        <v>4536</v>
      </c>
    </row>
    <row r="650">
      <c r="A650" s="4" t="s">
        <v>11435</v>
      </c>
      <c r="B650" s="27" t="s">
        <v>4536</v>
      </c>
    </row>
    <row r="651">
      <c r="A651" s="4" t="s">
        <v>11436</v>
      </c>
      <c r="B651" s="27" t="s">
        <v>4536</v>
      </c>
    </row>
    <row r="652">
      <c r="A652" s="4" t="s">
        <v>11437</v>
      </c>
      <c r="B652" s="27" t="s">
        <v>4536</v>
      </c>
    </row>
    <row r="653">
      <c r="A653" s="4" t="s">
        <v>11438</v>
      </c>
      <c r="B653" s="27" t="s">
        <v>4536</v>
      </c>
    </row>
    <row r="654">
      <c r="A654" s="4" t="s">
        <v>11439</v>
      </c>
      <c r="B654" s="27" t="s">
        <v>4536</v>
      </c>
    </row>
    <row r="655">
      <c r="A655" s="4" t="s">
        <v>11440</v>
      </c>
      <c r="B655" s="27" t="s">
        <v>4536</v>
      </c>
    </row>
    <row r="656">
      <c r="A656" s="4" t="s">
        <v>11441</v>
      </c>
      <c r="B656" s="27" t="s">
        <v>4536</v>
      </c>
    </row>
    <row r="657">
      <c r="A657" s="4" t="s">
        <v>11442</v>
      </c>
      <c r="B657" s="27" t="s">
        <v>4536</v>
      </c>
    </row>
    <row r="658">
      <c r="A658" s="4" t="s">
        <v>11443</v>
      </c>
      <c r="B658" s="27" t="s">
        <v>4536</v>
      </c>
    </row>
    <row r="659">
      <c r="A659" s="4" t="s">
        <v>11444</v>
      </c>
      <c r="B659" s="27" t="s">
        <v>4536</v>
      </c>
    </row>
    <row r="660">
      <c r="A660" s="4" t="s">
        <v>11445</v>
      </c>
      <c r="B660" s="27" t="s">
        <v>4536</v>
      </c>
    </row>
    <row r="661">
      <c r="A661" s="4" t="s">
        <v>11446</v>
      </c>
      <c r="B661" s="27" t="s">
        <v>4536</v>
      </c>
    </row>
    <row r="662">
      <c r="A662" s="4" t="s">
        <v>11447</v>
      </c>
      <c r="B662" s="27" t="s">
        <v>4536</v>
      </c>
    </row>
    <row r="663">
      <c r="A663" s="4" t="s">
        <v>11448</v>
      </c>
      <c r="B663" s="27" t="s">
        <v>4536</v>
      </c>
    </row>
    <row r="664">
      <c r="A664" s="4" t="s">
        <v>11449</v>
      </c>
      <c r="B664" s="27" t="s">
        <v>4536</v>
      </c>
    </row>
    <row r="665">
      <c r="A665" s="4" t="s">
        <v>11450</v>
      </c>
      <c r="B665" s="27" t="s">
        <v>4536</v>
      </c>
    </row>
    <row r="666">
      <c r="A666" s="4" t="s">
        <v>11451</v>
      </c>
      <c r="B666" s="27" t="s">
        <v>4536</v>
      </c>
    </row>
    <row r="667">
      <c r="A667" s="4" t="s">
        <v>11452</v>
      </c>
      <c r="B667" s="27" t="s">
        <v>4536</v>
      </c>
    </row>
    <row r="668">
      <c r="A668" s="4" t="s">
        <v>11453</v>
      </c>
      <c r="B668" s="27" t="s">
        <v>4536</v>
      </c>
    </row>
    <row r="669">
      <c r="A669" s="4" t="s">
        <v>11454</v>
      </c>
      <c r="B669" s="27" t="s">
        <v>4536</v>
      </c>
    </row>
    <row r="670">
      <c r="A670" s="4" t="s">
        <v>11455</v>
      </c>
      <c r="B670" s="27" t="s">
        <v>4536</v>
      </c>
    </row>
    <row r="671">
      <c r="A671" s="4" t="s">
        <v>11456</v>
      </c>
      <c r="B671" s="27" t="s">
        <v>4536</v>
      </c>
    </row>
    <row r="672">
      <c r="A672" s="4" t="s">
        <v>11457</v>
      </c>
      <c r="B672" s="27" t="s">
        <v>4536</v>
      </c>
    </row>
    <row r="673">
      <c r="A673" s="4" t="s">
        <v>11458</v>
      </c>
      <c r="B673" s="27" t="s">
        <v>4536</v>
      </c>
    </row>
    <row r="674">
      <c r="A674" s="4" t="s">
        <v>11459</v>
      </c>
      <c r="B674" s="27" t="s">
        <v>4536</v>
      </c>
    </row>
    <row r="675">
      <c r="A675" s="4" t="s">
        <v>11460</v>
      </c>
      <c r="B675" s="27" t="s">
        <v>4536</v>
      </c>
    </row>
    <row r="676">
      <c r="A676" s="4" t="s">
        <v>11461</v>
      </c>
      <c r="B676" s="27" t="s">
        <v>4536</v>
      </c>
    </row>
    <row r="677">
      <c r="A677" s="4" t="s">
        <v>11462</v>
      </c>
      <c r="B677" s="27" t="s">
        <v>4536</v>
      </c>
    </row>
    <row r="678">
      <c r="A678" s="4" t="s">
        <v>11463</v>
      </c>
      <c r="B678" s="27" t="s">
        <v>4536</v>
      </c>
    </row>
    <row r="679">
      <c r="A679" s="4" t="s">
        <v>11464</v>
      </c>
      <c r="B679" s="27" t="s">
        <v>4536</v>
      </c>
    </row>
    <row r="680">
      <c r="A680" s="4" t="s">
        <v>11465</v>
      </c>
      <c r="B680" s="27" t="s">
        <v>4536</v>
      </c>
    </row>
    <row r="681">
      <c r="A681" s="4" t="s">
        <v>11466</v>
      </c>
      <c r="B681" s="27" t="s">
        <v>4536</v>
      </c>
    </row>
    <row r="682">
      <c r="A682" s="4" t="s">
        <v>11467</v>
      </c>
      <c r="B682" s="27" t="s">
        <v>4536</v>
      </c>
    </row>
    <row r="683">
      <c r="A683" s="4" t="s">
        <v>11468</v>
      </c>
      <c r="B683" s="27" t="s">
        <v>4536</v>
      </c>
    </row>
    <row r="684">
      <c r="A684" s="4" t="s">
        <v>11469</v>
      </c>
      <c r="B684" s="27" t="s">
        <v>4536</v>
      </c>
    </row>
    <row r="685">
      <c r="A685" s="4" t="s">
        <v>11470</v>
      </c>
      <c r="B685" s="27" t="s">
        <v>4536</v>
      </c>
    </row>
    <row r="686">
      <c r="A686" s="4" t="s">
        <v>11471</v>
      </c>
      <c r="B686" s="27" t="s">
        <v>4536</v>
      </c>
    </row>
    <row r="687">
      <c r="A687" s="4" t="s">
        <v>11472</v>
      </c>
      <c r="B687" s="27" t="s">
        <v>4536</v>
      </c>
    </row>
    <row r="688">
      <c r="A688" s="4" t="s">
        <v>11473</v>
      </c>
      <c r="B688" s="27" t="s">
        <v>4536</v>
      </c>
    </row>
    <row r="689">
      <c r="A689" s="4" t="s">
        <v>11474</v>
      </c>
      <c r="B689" s="27" t="s">
        <v>4536</v>
      </c>
    </row>
    <row r="690">
      <c r="A690" s="4" t="s">
        <v>11475</v>
      </c>
      <c r="B690" s="28" t="s">
        <v>7513</v>
      </c>
    </row>
    <row r="691">
      <c r="A691" s="4" t="s">
        <v>11476</v>
      </c>
      <c r="B691" s="28" t="s">
        <v>7513</v>
      </c>
    </row>
    <row r="692">
      <c r="A692" s="4" t="s">
        <v>11477</v>
      </c>
      <c r="B692" s="28" t="s">
        <v>7513</v>
      </c>
    </row>
    <row r="693">
      <c r="A693" s="4" t="s">
        <v>11478</v>
      </c>
      <c r="B693" s="28" t="s">
        <v>7513</v>
      </c>
    </row>
    <row r="694">
      <c r="A694" s="4" t="s">
        <v>11479</v>
      </c>
      <c r="B694" s="28" t="s">
        <v>7513</v>
      </c>
    </row>
    <row r="695">
      <c r="A695" s="4" t="s">
        <v>11480</v>
      </c>
      <c r="B695" s="28" t="s">
        <v>7513</v>
      </c>
    </row>
    <row r="696">
      <c r="A696" s="4" t="s">
        <v>11481</v>
      </c>
      <c r="B696" s="28" t="s">
        <v>7513</v>
      </c>
    </row>
    <row r="697">
      <c r="A697" s="4" t="s">
        <v>11482</v>
      </c>
      <c r="B697" s="28" t="s">
        <v>7513</v>
      </c>
    </row>
    <row r="698">
      <c r="A698" s="4" t="s">
        <v>11483</v>
      </c>
      <c r="B698" s="28" t="s">
        <v>7513</v>
      </c>
    </row>
    <row r="699">
      <c r="A699" s="4" t="s">
        <v>11484</v>
      </c>
      <c r="B699" s="28" t="s">
        <v>7513</v>
      </c>
    </row>
    <row r="700">
      <c r="A700" s="4" t="s">
        <v>11485</v>
      </c>
      <c r="B700" s="28" t="s">
        <v>7513</v>
      </c>
    </row>
    <row r="701">
      <c r="A701" s="4" t="s">
        <v>11486</v>
      </c>
      <c r="B701" s="28" t="s">
        <v>7513</v>
      </c>
    </row>
    <row r="702">
      <c r="A702" s="4" t="s">
        <v>11487</v>
      </c>
      <c r="B702" s="28" t="s">
        <v>7513</v>
      </c>
    </row>
    <row r="703">
      <c r="A703" s="4" t="s">
        <v>11488</v>
      </c>
      <c r="B703" s="28" t="s">
        <v>7513</v>
      </c>
    </row>
    <row r="704">
      <c r="A704" s="4" t="s">
        <v>11489</v>
      </c>
      <c r="B704" s="28" t="s">
        <v>7513</v>
      </c>
    </row>
    <row r="705">
      <c r="A705" s="4" t="s">
        <v>11490</v>
      </c>
      <c r="B705" s="28" t="s">
        <v>7513</v>
      </c>
    </row>
    <row r="706">
      <c r="A706" s="4" t="s">
        <v>11491</v>
      </c>
      <c r="B706" s="28" t="s">
        <v>7513</v>
      </c>
    </row>
    <row r="707">
      <c r="A707" s="4" t="s">
        <v>11492</v>
      </c>
      <c r="B707" s="28" t="s">
        <v>7513</v>
      </c>
    </row>
    <row r="708">
      <c r="A708" s="4" t="s">
        <v>11493</v>
      </c>
      <c r="B708" s="28" t="s">
        <v>7513</v>
      </c>
    </row>
    <row r="709">
      <c r="A709" s="4" t="s">
        <v>11494</v>
      </c>
      <c r="B709" s="28" t="s">
        <v>7513</v>
      </c>
    </row>
    <row r="710">
      <c r="A710" s="4" t="s">
        <v>11495</v>
      </c>
      <c r="B710" s="28" t="s">
        <v>7513</v>
      </c>
    </row>
    <row r="711">
      <c r="A711" s="4" t="s">
        <v>11496</v>
      </c>
      <c r="B711" s="28" t="s">
        <v>7513</v>
      </c>
    </row>
    <row r="712">
      <c r="A712" s="4" t="s">
        <v>11497</v>
      </c>
      <c r="B712" s="28" t="s">
        <v>7513</v>
      </c>
    </row>
    <row r="713">
      <c r="A713" s="4" t="s">
        <v>11498</v>
      </c>
      <c r="B713" s="28" t="s">
        <v>7513</v>
      </c>
    </row>
    <row r="714">
      <c r="A714" s="4" t="s">
        <v>11499</v>
      </c>
      <c r="B714" s="28" t="s">
        <v>7513</v>
      </c>
    </row>
    <row r="715">
      <c r="A715" s="4" t="s">
        <v>11500</v>
      </c>
      <c r="B715" s="28" t="s">
        <v>7513</v>
      </c>
    </row>
    <row r="716">
      <c r="A716" s="4" t="s">
        <v>11501</v>
      </c>
      <c r="B716" s="28" t="s">
        <v>7513</v>
      </c>
    </row>
    <row r="717">
      <c r="A717" s="4" t="s">
        <v>11502</v>
      </c>
      <c r="B717" s="28" t="s">
        <v>7513</v>
      </c>
    </row>
    <row r="718">
      <c r="A718" s="4" t="s">
        <v>11503</v>
      </c>
      <c r="B718" s="28" t="s">
        <v>7513</v>
      </c>
    </row>
    <row r="719">
      <c r="A719" s="4" t="s">
        <v>11504</v>
      </c>
      <c r="B719" s="28" t="s">
        <v>7513</v>
      </c>
    </row>
    <row r="720">
      <c r="A720" s="4" t="s">
        <v>11505</v>
      </c>
      <c r="B720" s="28" t="s">
        <v>7513</v>
      </c>
    </row>
    <row r="721">
      <c r="A721" s="4" t="s">
        <v>11506</v>
      </c>
      <c r="B721" s="28" t="s">
        <v>7513</v>
      </c>
    </row>
    <row r="722">
      <c r="A722" s="4" t="s">
        <v>11507</v>
      </c>
      <c r="B722" s="28" t="s">
        <v>7513</v>
      </c>
    </row>
    <row r="723">
      <c r="A723" s="4" t="s">
        <v>11508</v>
      </c>
      <c r="B723" s="28" t="s">
        <v>7513</v>
      </c>
    </row>
    <row r="724">
      <c r="A724" s="4" t="s">
        <v>11509</v>
      </c>
      <c r="B724" s="28" t="s">
        <v>7513</v>
      </c>
    </row>
    <row r="725">
      <c r="A725" s="4" t="s">
        <v>11510</v>
      </c>
      <c r="B725" s="28" t="s">
        <v>7513</v>
      </c>
    </row>
    <row r="726">
      <c r="A726" s="4" t="s">
        <v>11511</v>
      </c>
      <c r="B726" s="28" t="s">
        <v>7513</v>
      </c>
    </row>
    <row r="727">
      <c r="A727" s="4" t="s">
        <v>11512</v>
      </c>
      <c r="B727" s="28" t="s">
        <v>7513</v>
      </c>
    </row>
    <row r="728">
      <c r="A728" s="4" t="s">
        <v>11513</v>
      </c>
      <c r="B728" s="28" t="s">
        <v>7513</v>
      </c>
    </row>
    <row r="729">
      <c r="A729" s="4" t="s">
        <v>11514</v>
      </c>
      <c r="B729" s="28" t="s">
        <v>7513</v>
      </c>
    </row>
    <row r="730">
      <c r="A730" s="4" t="s">
        <v>11515</v>
      </c>
      <c r="B730" s="28" t="s">
        <v>7513</v>
      </c>
    </row>
    <row r="731">
      <c r="A731" s="4" t="s">
        <v>11516</v>
      </c>
      <c r="B731" s="28" t="s">
        <v>7513</v>
      </c>
    </row>
    <row r="732">
      <c r="A732" s="4" t="s">
        <v>11517</v>
      </c>
      <c r="B732" s="28" t="s">
        <v>7513</v>
      </c>
    </row>
    <row r="733">
      <c r="A733" s="4" t="s">
        <v>11518</v>
      </c>
      <c r="B733" s="28" t="s">
        <v>7513</v>
      </c>
    </row>
    <row r="734">
      <c r="A734" s="4" t="s">
        <v>11519</v>
      </c>
      <c r="B734" s="28" t="s">
        <v>7513</v>
      </c>
    </row>
    <row r="735">
      <c r="A735" s="4" t="s">
        <v>11520</v>
      </c>
      <c r="B735" s="28" t="s">
        <v>7513</v>
      </c>
    </row>
    <row r="736">
      <c r="A736" s="4" t="s">
        <v>11521</v>
      </c>
      <c r="B736" s="28" t="s">
        <v>7513</v>
      </c>
    </row>
    <row r="737">
      <c r="A737" s="4" t="s">
        <v>11522</v>
      </c>
      <c r="B737" s="28" t="s">
        <v>7513</v>
      </c>
    </row>
    <row r="738">
      <c r="A738" s="4" t="s">
        <v>11523</v>
      </c>
      <c r="B738" s="28" t="s">
        <v>7513</v>
      </c>
    </row>
    <row r="739">
      <c r="A739" s="4" t="s">
        <v>11524</v>
      </c>
      <c r="B739" s="28" t="s">
        <v>7513</v>
      </c>
    </row>
    <row r="740">
      <c r="A740" s="4" t="s">
        <v>11525</v>
      </c>
      <c r="B740" s="28" t="s">
        <v>7513</v>
      </c>
    </row>
    <row r="741">
      <c r="A741" s="4" t="s">
        <v>11526</v>
      </c>
      <c r="B741" s="28" t="s">
        <v>7513</v>
      </c>
    </row>
    <row r="742">
      <c r="A742" s="4" t="s">
        <v>11527</v>
      </c>
      <c r="B742" s="28" t="s">
        <v>7513</v>
      </c>
    </row>
    <row r="743">
      <c r="A743" s="4" t="s">
        <v>11528</v>
      </c>
      <c r="B743" s="28" t="s">
        <v>7513</v>
      </c>
    </row>
    <row r="744">
      <c r="A744" s="4" t="s">
        <v>11529</v>
      </c>
      <c r="B744" s="28" t="s">
        <v>7513</v>
      </c>
    </row>
    <row r="745">
      <c r="A745" s="4" t="s">
        <v>11530</v>
      </c>
      <c r="B745" s="28" t="s">
        <v>7513</v>
      </c>
    </row>
    <row r="746">
      <c r="A746" s="4" t="s">
        <v>11531</v>
      </c>
      <c r="B746" s="28" t="s">
        <v>7513</v>
      </c>
    </row>
    <row r="747">
      <c r="A747" s="4" t="s">
        <v>11532</v>
      </c>
      <c r="B747" s="28" t="s">
        <v>7513</v>
      </c>
    </row>
    <row r="748">
      <c r="A748" s="4" t="s">
        <v>11533</v>
      </c>
      <c r="B748" s="28" t="s">
        <v>7513</v>
      </c>
    </row>
    <row r="749">
      <c r="A749" s="4" t="s">
        <v>11534</v>
      </c>
      <c r="B749" s="28" t="s">
        <v>7513</v>
      </c>
    </row>
    <row r="750">
      <c r="A750" s="4" t="s">
        <v>11535</v>
      </c>
      <c r="B750" s="28" t="s">
        <v>7513</v>
      </c>
    </row>
    <row r="751">
      <c r="A751" s="4" t="s">
        <v>11536</v>
      </c>
      <c r="B751" s="28" t="s">
        <v>7513</v>
      </c>
    </row>
    <row r="752">
      <c r="A752" s="4" t="s">
        <v>11537</v>
      </c>
      <c r="B752" s="28" t="s">
        <v>7513</v>
      </c>
    </row>
    <row r="753">
      <c r="A753" s="4" t="s">
        <v>11538</v>
      </c>
      <c r="B753" s="28" t="s">
        <v>7513</v>
      </c>
    </row>
    <row r="754">
      <c r="A754" s="4" t="s">
        <v>11539</v>
      </c>
      <c r="B754" s="28" t="s">
        <v>7513</v>
      </c>
    </row>
    <row r="755">
      <c r="A755" s="4" t="s">
        <v>11540</v>
      </c>
      <c r="B755" s="28" t="s">
        <v>7513</v>
      </c>
    </row>
    <row r="756">
      <c r="A756" s="4" t="s">
        <v>11541</v>
      </c>
      <c r="B756" s="28" t="s">
        <v>7513</v>
      </c>
    </row>
    <row r="757">
      <c r="A757" s="4" t="s">
        <v>11542</v>
      </c>
      <c r="B757" s="28" t="s">
        <v>7513</v>
      </c>
    </row>
    <row r="758">
      <c r="A758" s="4" t="s">
        <v>11543</v>
      </c>
      <c r="B758" s="28" t="s">
        <v>7513</v>
      </c>
    </row>
    <row r="759">
      <c r="A759" s="4" t="s">
        <v>11544</v>
      </c>
      <c r="B759" s="28" t="s">
        <v>7513</v>
      </c>
    </row>
    <row r="760">
      <c r="A760" s="4" t="s">
        <v>11545</v>
      </c>
      <c r="B760" s="28" t="s">
        <v>7513</v>
      </c>
    </row>
    <row r="761">
      <c r="A761" s="4" t="s">
        <v>11546</v>
      </c>
      <c r="B761" s="28" t="s">
        <v>7513</v>
      </c>
    </row>
    <row r="762">
      <c r="A762" s="4" t="s">
        <v>11547</v>
      </c>
      <c r="B762" s="28" t="s">
        <v>7513</v>
      </c>
    </row>
    <row r="763">
      <c r="A763" s="4" t="s">
        <v>11548</v>
      </c>
      <c r="B763" s="28" t="s">
        <v>7513</v>
      </c>
    </row>
    <row r="764">
      <c r="A764" s="4" t="s">
        <v>11549</v>
      </c>
      <c r="B764" s="28" t="s">
        <v>7513</v>
      </c>
    </row>
    <row r="765">
      <c r="A765" s="4" t="s">
        <v>11550</v>
      </c>
      <c r="B765" s="28" t="s">
        <v>7513</v>
      </c>
    </row>
    <row r="766">
      <c r="A766" s="4" t="s">
        <v>11551</v>
      </c>
      <c r="B766" s="28" t="s">
        <v>7513</v>
      </c>
    </row>
    <row r="767">
      <c r="A767" s="4" t="s">
        <v>11552</v>
      </c>
      <c r="B767" s="28" t="s">
        <v>7513</v>
      </c>
    </row>
    <row r="768">
      <c r="A768" s="4" t="s">
        <v>11553</v>
      </c>
      <c r="B768" s="28" t="s">
        <v>7513</v>
      </c>
    </row>
    <row r="769">
      <c r="A769" s="4" t="s">
        <v>11554</v>
      </c>
      <c r="B769" s="28" t="s">
        <v>7513</v>
      </c>
    </row>
    <row r="770">
      <c r="A770" s="4" t="s">
        <v>11555</v>
      </c>
      <c r="B770" s="28" t="s">
        <v>7513</v>
      </c>
    </row>
    <row r="771">
      <c r="A771" s="4" t="s">
        <v>11556</v>
      </c>
      <c r="B771" s="28" t="s">
        <v>7513</v>
      </c>
    </row>
    <row r="772">
      <c r="A772" s="4" t="s">
        <v>11557</v>
      </c>
      <c r="B772" s="28" t="s">
        <v>7513</v>
      </c>
    </row>
    <row r="773">
      <c r="A773" s="4" t="s">
        <v>11558</v>
      </c>
      <c r="B773" s="28" t="s">
        <v>7513</v>
      </c>
    </row>
    <row r="774">
      <c r="A774" s="4" t="s">
        <v>11559</v>
      </c>
      <c r="B774" s="28" t="s">
        <v>7513</v>
      </c>
    </row>
    <row r="775">
      <c r="A775" s="4" t="s">
        <v>11560</v>
      </c>
      <c r="B775" s="28" t="s">
        <v>7513</v>
      </c>
    </row>
    <row r="776">
      <c r="A776" s="4" t="s">
        <v>11561</v>
      </c>
      <c r="B776" s="28" t="s">
        <v>7513</v>
      </c>
    </row>
    <row r="777">
      <c r="A777" s="4" t="s">
        <v>11562</v>
      </c>
      <c r="B777" s="28" t="s">
        <v>7513</v>
      </c>
    </row>
    <row r="778">
      <c r="A778" s="4" t="s">
        <v>11563</v>
      </c>
      <c r="B778" s="28" t="s">
        <v>7513</v>
      </c>
    </row>
    <row r="779">
      <c r="A779" s="4" t="s">
        <v>11564</v>
      </c>
      <c r="B779" s="28" t="s">
        <v>7513</v>
      </c>
    </row>
    <row r="780">
      <c r="A780" s="4" t="s">
        <v>11565</v>
      </c>
      <c r="B780" s="28" t="s">
        <v>7513</v>
      </c>
    </row>
    <row r="781">
      <c r="A781" s="4" t="s">
        <v>11566</v>
      </c>
      <c r="B781" s="28" t="s">
        <v>7513</v>
      </c>
    </row>
    <row r="782">
      <c r="A782" s="4" t="s">
        <v>11567</v>
      </c>
      <c r="B782" s="28" t="s">
        <v>7513</v>
      </c>
    </row>
    <row r="783">
      <c r="A783" s="4" t="s">
        <v>11568</v>
      </c>
      <c r="B783" s="28" t="s">
        <v>7513</v>
      </c>
    </row>
    <row r="784">
      <c r="A784" s="4" t="s">
        <v>11569</v>
      </c>
      <c r="B784" s="28" t="s">
        <v>7513</v>
      </c>
    </row>
    <row r="785">
      <c r="A785" s="4" t="s">
        <v>11570</v>
      </c>
      <c r="B785" s="28" t="s">
        <v>7513</v>
      </c>
    </row>
    <row r="786">
      <c r="A786" s="4" t="s">
        <v>11571</v>
      </c>
      <c r="B786" s="28" t="s">
        <v>7513</v>
      </c>
    </row>
    <row r="787">
      <c r="A787" s="4" t="s">
        <v>11572</v>
      </c>
      <c r="B787" s="28" t="s">
        <v>7513</v>
      </c>
    </row>
    <row r="788">
      <c r="A788" s="4" t="s">
        <v>11573</v>
      </c>
      <c r="B788" s="28" t="s">
        <v>7513</v>
      </c>
    </row>
    <row r="789">
      <c r="A789" s="4" t="s">
        <v>11574</v>
      </c>
      <c r="B789" s="28" t="s">
        <v>7513</v>
      </c>
    </row>
    <row r="790">
      <c r="A790" s="4" t="s">
        <v>11575</v>
      </c>
      <c r="B790" s="28" t="s">
        <v>7513</v>
      </c>
    </row>
    <row r="791">
      <c r="A791" s="4" t="s">
        <v>11576</v>
      </c>
      <c r="B791" s="28" t="s">
        <v>7513</v>
      </c>
    </row>
    <row r="792">
      <c r="A792" s="4" t="s">
        <v>11577</v>
      </c>
      <c r="B792" s="28" t="s">
        <v>7513</v>
      </c>
    </row>
    <row r="793">
      <c r="A793" s="4" t="s">
        <v>11578</v>
      </c>
      <c r="B793" s="28" t="s">
        <v>7513</v>
      </c>
    </row>
    <row r="794">
      <c r="A794" s="4" t="s">
        <v>11579</v>
      </c>
      <c r="B794" s="28" t="s">
        <v>7513</v>
      </c>
    </row>
    <row r="795">
      <c r="A795" s="4" t="s">
        <v>11580</v>
      </c>
      <c r="B795" s="28" t="s">
        <v>7513</v>
      </c>
    </row>
    <row r="796">
      <c r="A796" s="4" t="s">
        <v>11581</v>
      </c>
      <c r="B796" s="28" t="s">
        <v>7513</v>
      </c>
    </row>
    <row r="797">
      <c r="A797" s="4" t="s">
        <v>11582</v>
      </c>
      <c r="B797" s="28" t="s">
        <v>7513</v>
      </c>
    </row>
    <row r="798">
      <c r="A798" s="4" t="s">
        <v>11583</v>
      </c>
      <c r="B798" s="28" t="s">
        <v>7513</v>
      </c>
    </row>
    <row r="799">
      <c r="A799" s="4" t="s">
        <v>11584</v>
      </c>
      <c r="B799" s="28" t="s">
        <v>7513</v>
      </c>
    </row>
    <row r="800">
      <c r="A800" s="4" t="s">
        <v>11585</v>
      </c>
      <c r="B800" s="28" t="s">
        <v>7513</v>
      </c>
    </row>
    <row r="801">
      <c r="A801" s="4" t="s">
        <v>11586</v>
      </c>
      <c r="B801" s="28" t="s">
        <v>7513</v>
      </c>
    </row>
    <row r="802">
      <c r="A802" s="4" t="s">
        <v>11587</v>
      </c>
      <c r="B802" s="28" t="s">
        <v>7513</v>
      </c>
    </row>
    <row r="803">
      <c r="A803" s="4" t="s">
        <v>11588</v>
      </c>
      <c r="B803" s="28" t="s">
        <v>7513</v>
      </c>
    </row>
    <row r="804">
      <c r="A804" s="4" t="s">
        <v>11589</v>
      </c>
      <c r="B804" s="28" t="s">
        <v>7513</v>
      </c>
    </row>
    <row r="805">
      <c r="A805" s="4" t="s">
        <v>11590</v>
      </c>
      <c r="B805" s="28" t="s">
        <v>7513</v>
      </c>
    </row>
    <row r="806">
      <c r="A806" s="4" t="s">
        <v>11591</v>
      </c>
      <c r="B806" s="28" t="s">
        <v>7513</v>
      </c>
    </row>
    <row r="807">
      <c r="A807" s="4" t="s">
        <v>11592</v>
      </c>
      <c r="B807" s="28" t="s">
        <v>7513</v>
      </c>
    </row>
    <row r="808">
      <c r="A808" s="4" t="s">
        <v>11593</v>
      </c>
      <c r="B808" s="28" t="s">
        <v>7513</v>
      </c>
    </row>
    <row r="809">
      <c r="A809" s="4" t="s">
        <v>11594</v>
      </c>
      <c r="B809" s="28" t="s">
        <v>7513</v>
      </c>
    </row>
    <row r="810">
      <c r="A810" s="4" t="s">
        <v>11595</v>
      </c>
      <c r="B810" s="28" t="s">
        <v>7513</v>
      </c>
    </row>
    <row r="811">
      <c r="A811" s="4" t="s">
        <v>11596</v>
      </c>
      <c r="B811" s="28" t="s">
        <v>7513</v>
      </c>
    </row>
    <row r="812">
      <c r="A812" s="4" t="s">
        <v>11597</v>
      </c>
      <c r="B812" s="28" t="s">
        <v>7513</v>
      </c>
    </row>
    <row r="813">
      <c r="A813" s="4" t="s">
        <v>11598</v>
      </c>
      <c r="B813" s="28" t="s">
        <v>7513</v>
      </c>
    </row>
    <row r="814">
      <c r="A814" s="4" t="s">
        <v>11599</v>
      </c>
      <c r="B814" s="28" t="s">
        <v>7513</v>
      </c>
    </row>
    <row r="815">
      <c r="A815" s="4" t="s">
        <v>11600</v>
      </c>
      <c r="B815" s="28" t="s">
        <v>7513</v>
      </c>
    </row>
    <row r="816">
      <c r="A816" s="4" t="s">
        <v>11601</v>
      </c>
      <c r="B816" s="28" t="s">
        <v>7513</v>
      </c>
    </row>
    <row r="817">
      <c r="A817" s="4" t="s">
        <v>11602</v>
      </c>
      <c r="B817" s="28" t="s">
        <v>7513</v>
      </c>
    </row>
    <row r="818">
      <c r="A818" s="4" t="s">
        <v>11603</v>
      </c>
      <c r="B818" s="28" t="s">
        <v>7513</v>
      </c>
    </row>
    <row r="819">
      <c r="A819" s="4" t="s">
        <v>11604</v>
      </c>
      <c r="B819" s="28" t="s">
        <v>7513</v>
      </c>
    </row>
    <row r="820">
      <c r="A820" s="4" t="s">
        <v>11605</v>
      </c>
      <c r="B820" s="28" t="s">
        <v>7513</v>
      </c>
    </row>
    <row r="821">
      <c r="A821" s="4" t="s">
        <v>11606</v>
      </c>
      <c r="B821" s="28" t="s">
        <v>7513</v>
      </c>
    </row>
    <row r="822">
      <c r="A822" s="4" t="s">
        <v>11607</v>
      </c>
      <c r="B822" s="28" t="s">
        <v>7513</v>
      </c>
    </row>
    <row r="823">
      <c r="A823" s="4" t="s">
        <v>11608</v>
      </c>
      <c r="B823" s="28" t="s">
        <v>7513</v>
      </c>
    </row>
    <row r="824">
      <c r="A824" s="4" t="s">
        <v>11609</v>
      </c>
      <c r="B824" s="28" t="s">
        <v>7513</v>
      </c>
    </row>
    <row r="825">
      <c r="A825" s="4" t="s">
        <v>11610</v>
      </c>
      <c r="B825" s="28" t="s">
        <v>7513</v>
      </c>
    </row>
    <row r="826">
      <c r="A826" s="4" t="s">
        <v>11611</v>
      </c>
      <c r="B826" s="28" t="s">
        <v>7513</v>
      </c>
    </row>
    <row r="827">
      <c r="A827" s="4" t="s">
        <v>11612</v>
      </c>
      <c r="B827" s="28" t="s">
        <v>7513</v>
      </c>
    </row>
    <row r="828">
      <c r="A828" s="4" t="s">
        <v>11613</v>
      </c>
      <c r="B828" s="28" t="s">
        <v>7513</v>
      </c>
    </row>
    <row r="829">
      <c r="A829" s="4" t="s">
        <v>11614</v>
      </c>
      <c r="B829" s="28" t="s">
        <v>7513</v>
      </c>
    </row>
    <row r="830">
      <c r="A830" s="4" t="s">
        <v>11615</v>
      </c>
      <c r="B830" s="28" t="s">
        <v>7513</v>
      </c>
    </row>
    <row r="831">
      <c r="A831" s="4" t="s">
        <v>11616</v>
      </c>
      <c r="B831" s="28" t="s">
        <v>7513</v>
      </c>
    </row>
    <row r="832">
      <c r="A832" s="4" t="s">
        <v>11617</v>
      </c>
      <c r="B832" s="28" t="s">
        <v>7513</v>
      </c>
    </row>
    <row r="833">
      <c r="A833" s="4" t="s">
        <v>11618</v>
      </c>
      <c r="B833" s="28" t="s">
        <v>7513</v>
      </c>
    </row>
    <row r="834">
      <c r="A834" s="4" t="s">
        <v>11619</v>
      </c>
      <c r="B834" s="28" t="s">
        <v>7513</v>
      </c>
    </row>
    <row r="835">
      <c r="A835" s="4" t="s">
        <v>11620</v>
      </c>
      <c r="B835" s="28" t="s">
        <v>7513</v>
      </c>
    </row>
    <row r="836">
      <c r="A836" s="4" t="s">
        <v>11621</v>
      </c>
      <c r="B836" s="28" t="s">
        <v>7513</v>
      </c>
    </row>
    <row r="837">
      <c r="A837" s="4" t="s">
        <v>11622</v>
      </c>
      <c r="B837" s="28" t="s">
        <v>7513</v>
      </c>
    </row>
    <row r="838">
      <c r="A838" s="4" t="s">
        <v>11623</v>
      </c>
      <c r="B838" s="28" t="s">
        <v>7513</v>
      </c>
    </row>
    <row r="839">
      <c r="A839" s="4" t="s">
        <v>11624</v>
      </c>
      <c r="B839" s="28" t="s">
        <v>7513</v>
      </c>
    </row>
    <row r="840">
      <c r="A840" s="4" t="s">
        <v>11625</v>
      </c>
      <c r="B840" s="28" t="s">
        <v>7513</v>
      </c>
    </row>
    <row r="841">
      <c r="A841" s="4" t="s">
        <v>11626</v>
      </c>
      <c r="B841" s="28" t="s">
        <v>7513</v>
      </c>
    </row>
    <row r="842">
      <c r="A842" s="4" t="s">
        <v>11627</v>
      </c>
      <c r="B842" s="28" t="s">
        <v>7513</v>
      </c>
    </row>
    <row r="843">
      <c r="A843" s="4" t="s">
        <v>11628</v>
      </c>
      <c r="B843" s="28" t="s">
        <v>7513</v>
      </c>
    </row>
    <row r="844">
      <c r="A844" s="4" t="s">
        <v>11629</v>
      </c>
      <c r="B844" s="28" t="s">
        <v>7513</v>
      </c>
    </row>
    <row r="845">
      <c r="A845" s="4" t="s">
        <v>11630</v>
      </c>
      <c r="B845" s="28" t="s">
        <v>7513</v>
      </c>
    </row>
    <row r="846">
      <c r="A846" s="4" t="s">
        <v>11631</v>
      </c>
      <c r="B846" s="28" t="s">
        <v>7513</v>
      </c>
    </row>
    <row r="847">
      <c r="A847" s="4" t="s">
        <v>11632</v>
      </c>
      <c r="B847" s="28" t="s">
        <v>7513</v>
      </c>
    </row>
    <row r="848">
      <c r="A848" s="4" t="s">
        <v>11633</v>
      </c>
      <c r="B848" s="28" t="s">
        <v>7513</v>
      </c>
    </row>
    <row r="849">
      <c r="A849" s="4" t="s">
        <v>11634</v>
      </c>
      <c r="B849" s="28" t="s">
        <v>7513</v>
      </c>
    </row>
    <row r="850">
      <c r="A850" s="4" t="s">
        <v>11635</v>
      </c>
      <c r="B850" s="28" t="s">
        <v>7513</v>
      </c>
    </row>
    <row r="851">
      <c r="A851" s="4" t="s">
        <v>11636</v>
      </c>
      <c r="B851" s="28" t="s">
        <v>7513</v>
      </c>
    </row>
    <row r="852">
      <c r="A852" s="4" t="s">
        <v>11637</v>
      </c>
      <c r="B852" s="28" t="s">
        <v>7513</v>
      </c>
    </row>
    <row r="853">
      <c r="A853" s="4" t="s">
        <v>11638</v>
      </c>
      <c r="B853" s="28" t="s">
        <v>7513</v>
      </c>
    </row>
    <row r="854">
      <c r="A854" s="4" t="s">
        <v>11639</v>
      </c>
      <c r="B854" s="28" t="s">
        <v>7513</v>
      </c>
    </row>
    <row r="855">
      <c r="A855" s="4" t="s">
        <v>11640</v>
      </c>
      <c r="B855" s="28" t="s">
        <v>7513</v>
      </c>
    </row>
    <row r="856">
      <c r="A856" s="4" t="s">
        <v>11641</v>
      </c>
      <c r="B856" s="28" t="s">
        <v>7513</v>
      </c>
    </row>
    <row r="857">
      <c r="A857" s="4" t="s">
        <v>11642</v>
      </c>
      <c r="B857" s="28" t="s">
        <v>7513</v>
      </c>
    </row>
    <row r="858">
      <c r="A858" s="4" t="s">
        <v>11643</v>
      </c>
      <c r="B858" s="28" t="s">
        <v>7513</v>
      </c>
    </row>
    <row r="859">
      <c r="A859" s="4" t="s">
        <v>11644</v>
      </c>
      <c r="B859" s="28" t="s">
        <v>7513</v>
      </c>
    </row>
    <row r="860">
      <c r="A860" s="4" t="s">
        <v>11645</v>
      </c>
      <c r="B860" s="28" t="s">
        <v>7513</v>
      </c>
    </row>
    <row r="861">
      <c r="A861" s="4" t="s">
        <v>11646</v>
      </c>
      <c r="B861" s="28" t="s">
        <v>7513</v>
      </c>
    </row>
    <row r="862">
      <c r="A862" s="4" t="s">
        <v>11647</v>
      </c>
      <c r="B862" s="28" t="s">
        <v>7513</v>
      </c>
    </row>
    <row r="863">
      <c r="A863" s="4" t="s">
        <v>11648</v>
      </c>
      <c r="B863" s="28" t="s">
        <v>7513</v>
      </c>
    </row>
    <row r="864">
      <c r="A864" s="4" t="s">
        <v>11649</v>
      </c>
      <c r="B864" s="28" t="s">
        <v>7513</v>
      </c>
    </row>
    <row r="865">
      <c r="A865" s="4" t="s">
        <v>11650</v>
      </c>
      <c r="B865" s="28" t="s">
        <v>7513</v>
      </c>
    </row>
    <row r="866">
      <c r="A866" s="4" t="s">
        <v>11651</v>
      </c>
      <c r="B866" s="28" t="s">
        <v>7513</v>
      </c>
    </row>
    <row r="867">
      <c r="A867" s="4" t="s">
        <v>11652</v>
      </c>
      <c r="B867" s="28" t="s">
        <v>7513</v>
      </c>
    </row>
    <row r="868">
      <c r="A868" s="4" t="s">
        <v>11653</v>
      </c>
      <c r="B868" s="28" t="s">
        <v>7513</v>
      </c>
    </row>
    <row r="869">
      <c r="A869" s="4" t="s">
        <v>11654</v>
      </c>
      <c r="B869" s="28" t="s">
        <v>7513</v>
      </c>
    </row>
    <row r="870">
      <c r="A870" s="4" t="s">
        <v>11655</v>
      </c>
      <c r="B870" s="28" t="s">
        <v>7513</v>
      </c>
    </row>
    <row r="871">
      <c r="A871" s="4" t="s">
        <v>11656</v>
      </c>
      <c r="B871" s="28" t="s">
        <v>7513</v>
      </c>
    </row>
    <row r="872">
      <c r="A872" s="4" t="s">
        <v>11657</v>
      </c>
      <c r="B872" s="28" t="s">
        <v>7513</v>
      </c>
    </row>
    <row r="873">
      <c r="A873" s="4" t="s">
        <v>11658</v>
      </c>
      <c r="B873" s="28" t="s">
        <v>7513</v>
      </c>
    </row>
    <row r="874">
      <c r="A874" s="4" t="s">
        <v>11659</v>
      </c>
      <c r="B874" s="28" t="s">
        <v>7513</v>
      </c>
    </row>
    <row r="875">
      <c r="A875" s="4" t="s">
        <v>11660</v>
      </c>
      <c r="B875" s="28" t="s">
        <v>7513</v>
      </c>
    </row>
    <row r="876">
      <c r="A876" s="4" t="s">
        <v>11661</v>
      </c>
      <c r="B876" s="28" t="s">
        <v>7513</v>
      </c>
    </row>
    <row r="877">
      <c r="A877" s="4" t="s">
        <v>11662</v>
      </c>
      <c r="B877" s="28" t="s">
        <v>7513</v>
      </c>
    </row>
    <row r="878">
      <c r="A878" s="4" t="s">
        <v>11663</v>
      </c>
      <c r="B878" s="28" t="s">
        <v>7513</v>
      </c>
    </row>
    <row r="879">
      <c r="A879" s="4" t="s">
        <v>11664</v>
      </c>
      <c r="B879" s="28" t="s">
        <v>7513</v>
      </c>
    </row>
    <row r="880">
      <c r="A880" s="4" t="s">
        <v>11665</v>
      </c>
      <c r="B880" s="28" t="s">
        <v>7513</v>
      </c>
    </row>
    <row r="881">
      <c r="A881" s="4" t="s">
        <v>11666</v>
      </c>
      <c r="B881" s="28" t="s">
        <v>7513</v>
      </c>
    </row>
    <row r="882">
      <c r="A882" s="4" t="s">
        <v>11667</v>
      </c>
      <c r="B882" s="28" t="s">
        <v>7513</v>
      </c>
    </row>
    <row r="883">
      <c r="A883" s="4" t="s">
        <v>11668</v>
      </c>
      <c r="B883" s="28" t="s">
        <v>7513</v>
      </c>
    </row>
    <row r="884">
      <c r="A884" s="4" t="s">
        <v>11669</v>
      </c>
      <c r="B884" s="28" t="s">
        <v>7513</v>
      </c>
    </row>
    <row r="885">
      <c r="A885" s="4" t="s">
        <v>11670</v>
      </c>
      <c r="B885" s="28" t="s">
        <v>7513</v>
      </c>
    </row>
    <row r="886">
      <c r="A886" s="4" t="s">
        <v>11671</v>
      </c>
      <c r="B886" s="28" t="s">
        <v>7513</v>
      </c>
    </row>
    <row r="887">
      <c r="A887" s="4" t="s">
        <v>11672</v>
      </c>
      <c r="B887" s="28" t="s">
        <v>7513</v>
      </c>
    </row>
    <row r="888">
      <c r="A888" s="4" t="s">
        <v>11673</v>
      </c>
      <c r="B888" s="28" t="s">
        <v>7513</v>
      </c>
    </row>
    <row r="889">
      <c r="A889" s="4" t="s">
        <v>11674</v>
      </c>
      <c r="B889" s="28" t="s">
        <v>7513</v>
      </c>
    </row>
    <row r="890">
      <c r="A890" s="4" t="s">
        <v>11675</v>
      </c>
      <c r="B890" s="28" t="s">
        <v>7513</v>
      </c>
    </row>
    <row r="891">
      <c r="A891" s="4" t="s">
        <v>11676</v>
      </c>
      <c r="B891" s="28" t="s">
        <v>7513</v>
      </c>
    </row>
    <row r="892">
      <c r="A892" s="4" t="s">
        <v>11677</v>
      </c>
      <c r="B892" s="28" t="s">
        <v>7513</v>
      </c>
    </row>
    <row r="893">
      <c r="A893" s="4" t="s">
        <v>11678</v>
      </c>
      <c r="B893" s="28" t="s">
        <v>7513</v>
      </c>
    </row>
    <row r="894">
      <c r="A894" s="4" t="s">
        <v>11679</v>
      </c>
      <c r="B894" s="28" t="s">
        <v>7513</v>
      </c>
    </row>
    <row r="895">
      <c r="A895" s="4" t="s">
        <v>11680</v>
      </c>
      <c r="B895" s="28" t="s">
        <v>7513</v>
      </c>
    </row>
    <row r="896">
      <c r="A896" s="4" t="s">
        <v>11681</v>
      </c>
      <c r="B896" s="28" t="s">
        <v>7513</v>
      </c>
    </row>
    <row r="897">
      <c r="A897" s="4" t="s">
        <v>11682</v>
      </c>
      <c r="B897" s="28" t="s">
        <v>7513</v>
      </c>
    </row>
    <row r="898">
      <c r="A898" s="4" t="s">
        <v>11683</v>
      </c>
      <c r="B898" s="28" t="s">
        <v>7513</v>
      </c>
    </row>
    <row r="899">
      <c r="A899" s="4" t="s">
        <v>11684</v>
      </c>
      <c r="B899" s="28" t="s">
        <v>7513</v>
      </c>
    </row>
    <row r="900">
      <c r="A900" s="4" t="s">
        <v>11685</v>
      </c>
      <c r="B900" s="28" t="s">
        <v>7513</v>
      </c>
    </row>
    <row r="901">
      <c r="A901" s="4" t="s">
        <v>11686</v>
      </c>
      <c r="B901" s="28" t="s">
        <v>7513</v>
      </c>
    </row>
    <row r="902">
      <c r="A902" s="4" t="s">
        <v>11687</v>
      </c>
      <c r="B902" s="28" t="s">
        <v>7513</v>
      </c>
    </row>
    <row r="903">
      <c r="A903" s="4" t="s">
        <v>11688</v>
      </c>
      <c r="B903" s="28" t="s">
        <v>7513</v>
      </c>
    </row>
    <row r="904">
      <c r="A904" s="4" t="s">
        <v>11689</v>
      </c>
      <c r="B904" s="28" t="s">
        <v>7513</v>
      </c>
    </row>
    <row r="905">
      <c r="A905" s="4" t="s">
        <v>11690</v>
      </c>
      <c r="B905" s="28" t="s">
        <v>7513</v>
      </c>
    </row>
    <row r="906">
      <c r="A906" s="4" t="s">
        <v>11691</v>
      </c>
      <c r="B906" s="28" t="s">
        <v>7513</v>
      </c>
    </row>
    <row r="907">
      <c r="A907" s="4" t="s">
        <v>11692</v>
      </c>
      <c r="B907" s="28" t="s">
        <v>7513</v>
      </c>
    </row>
    <row r="908">
      <c r="A908" s="4" t="s">
        <v>11693</v>
      </c>
      <c r="B908" s="28" t="s">
        <v>7513</v>
      </c>
    </row>
    <row r="909">
      <c r="A909" s="4" t="s">
        <v>11694</v>
      </c>
      <c r="B909" s="28" t="s">
        <v>7513</v>
      </c>
    </row>
    <row r="910">
      <c r="A910" s="4" t="s">
        <v>11695</v>
      </c>
      <c r="B910" s="28" t="s">
        <v>7513</v>
      </c>
    </row>
    <row r="911">
      <c r="A911" s="4" t="s">
        <v>11696</v>
      </c>
      <c r="B911" s="28" t="s">
        <v>7513</v>
      </c>
    </row>
    <row r="912">
      <c r="A912" s="4" t="s">
        <v>11697</v>
      </c>
      <c r="B912" s="28" t="s">
        <v>7513</v>
      </c>
    </row>
    <row r="913">
      <c r="A913" s="4" t="s">
        <v>11698</v>
      </c>
      <c r="B913" s="28" t="s">
        <v>7513</v>
      </c>
    </row>
    <row r="914">
      <c r="A914" s="4" t="s">
        <v>11699</v>
      </c>
      <c r="B914" s="28" t="s">
        <v>7513</v>
      </c>
    </row>
    <row r="915">
      <c r="A915" s="4" t="s">
        <v>11700</v>
      </c>
      <c r="B915" s="28" t="s">
        <v>7513</v>
      </c>
    </row>
    <row r="916">
      <c r="A916" s="4" t="s">
        <v>11701</v>
      </c>
      <c r="B916" s="28" t="s">
        <v>7513</v>
      </c>
    </row>
    <row r="917">
      <c r="A917" s="4" t="s">
        <v>11702</v>
      </c>
      <c r="B917" s="28" t="s">
        <v>7513</v>
      </c>
    </row>
    <row r="918">
      <c r="A918" s="4" t="s">
        <v>11703</v>
      </c>
      <c r="B918" s="28" t="s">
        <v>7513</v>
      </c>
    </row>
    <row r="919">
      <c r="A919" s="4" t="s">
        <v>11704</v>
      </c>
      <c r="B919" s="28" t="s">
        <v>7513</v>
      </c>
    </row>
    <row r="920">
      <c r="A920" s="4" t="s">
        <v>11705</v>
      </c>
      <c r="B920" s="28" t="s">
        <v>7513</v>
      </c>
    </row>
    <row r="921">
      <c r="A921" s="4" t="s">
        <v>11706</v>
      </c>
      <c r="B921" s="28" t="s">
        <v>7513</v>
      </c>
    </row>
    <row r="922">
      <c r="A922" s="4" t="s">
        <v>11707</v>
      </c>
      <c r="B922" s="28" t="s">
        <v>7513</v>
      </c>
    </row>
    <row r="923">
      <c r="A923" s="4" t="s">
        <v>11708</v>
      </c>
      <c r="B923" s="28" t="s">
        <v>7513</v>
      </c>
    </row>
    <row r="924">
      <c r="A924" s="4" t="s">
        <v>11709</v>
      </c>
      <c r="B924" s="28" t="s">
        <v>7513</v>
      </c>
    </row>
    <row r="925">
      <c r="A925" s="4" t="s">
        <v>11710</v>
      </c>
      <c r="B925" s="28" t="s">
        <v>7513</v>
      </c>
    </row>
    <row r="926">
      <c r="A926" s="4" t="s">
        <v>11711</v>
      </c>
      <c r="B926" s="28" t="s">
        <v>7513</v>
      </c>
    </row>
    <row r="927">
      <c r="A927" s="4" t="s">
        <v>11712</v>
      </c>
      <c r="B927" s="28" t="s">
        <v>7513</v>
      </c>
    </row>
    <row r="928">
      <c r="A928" s="4" t="s">
        <v>11713</v>
      </c>
      <c r="B928" s="28" t="s">
        <v>7513</v>
      </c>
    </row>
    <row r="929">
      <c r="A929" s="4" t="s">
        <v>11714</v>
      </c>
      <c r="B929" s="28" t="s">
        <v>7513</v>
      </c>
    </row>
    <row r="930">
      <c r="A930" s="4" t="s">
        <v>11715</v>
      </c>
      <c r="B930" s="28" t="s">
        <v>7513</v>
      </c>
    </row>
    <row r="931">
      <c r="A931" s="4" t="s">
        <v>11716</v>
      </c>
      <c r="B931" s="28" t="s">
        <v>7513</v>
      </c>
    </row>
    <row r="932">
      <c r="A932" s="4" t="s">
        <v>11717</v>
      </c>
      <c r="B932" s="28" t="s">
        <v>7513</v>
      </c>
    </row>
    <row r="933">
      <c r="A933" s="4" t="s">
        <v>11718</v>
      </c>
      <c r="B933" s="28" t="s">
        <v>7513</v>
      </c>
    </row>
    <row r="934">
      <c r="A934" s="4" t="s">
        <v>11719</v>
      </c>
      <c r="B934" s="28" t="s">
        <v>7513</v>
      </c>
    </row>
    <row r="935">
      <c r="A935" s="4" t="s">
        <v>11720</v>
      </c>
      <c r="B935" s="28" t="s">
        <v>7513</v>
      </c>
    </row>
    <row r="936">
      <c r="A936" s="4" t="s">
        <v>11721</v>
      </c>
      <c r="B936" s="28" t="s">
        <v>7513</v>
      </c>
    </row>
    <row r="937">
      <c r="A937" s="4" t="s">
        <v>11722</v>
      </c>
      <c r="B937" s="28" t="s">
        <v>7513</v>
      </c>
    </row>
    <row r="938">
      <c r="A938" s="4" t="s">
        <v>11723</v>
      </c>
      <c r="B938" s="28" t="s">
        <v>7513</v>
      </c>
    </row>
    <row r="939">
      <c r="A939" s="4" t="s">
        <v>11724</v>
      </c>
      <c r="B939" s="28" t="s">
        <v>7513</v>
      </c>
    </row>
    <row r="940">
      <c r="A940" s="4" t="s">
        <v>11725</v>
      </c>
      <c r="B940" s="28" t="s">
        <v>7513</v>
      </c>
    </row>
    <row r="941">
      <c r="A941" s="4" t="s">
        <v>11726</v>
      </c>
      <c r="B941" s="28" t="s">
        <v>7513</v>
      </c>
    </row>
    <row r="942">
      <c r="A942" s="4" t="s">
        <v>11727</v>
      </c>
      <c r="B942" s="28" t="s">
        <v>7513</v>
      </c>
    </row>
    <row r="943">
      <c r="A943" s="4" t="s">
        <v>11728</v>
      </c>
      <c r="B943" s="28" t="s">
        <v>7513</v>
      </c>
    </row>
    <row r="944">
      <c r="A944" s="4" t="s">
        <v>11729</v>
      </c>
      <c r="B944" s="28" t="s">
        <v>7513</v>
      </c>
    </row>
    <row r="945">
      <c r="A945" s="4" t="s">
        <v>11730</v>
      </c>
      <c r="B945" s="28" t="s">
        <v>7513</v>
      </c>
    </row>
    <row r="946">
      <c r="A946" s="4" t="s">
        <v>11731</v>
      </c>
      <c r="B946" s="28" t="s">
        <v>7513</v>
      </c>
    </row>
    <row r="947">
      <c r="A947" s="4" t="s">
        <v>11732</v>
      </c>
      <c r="B947" s="28" t="s">
        <v>7513</v>
      </c>
    </row>
    <row r="948">
      <c r="A948" s="4" t="s">
        <v>11733</v>
      </c>
      <c r="B948" s="28" t="s">
        <v>7513</v>
      </c>
    </row>
    <row r="949">
      <c r="A949" s="4" t="s">
        <v>11734</v>
      </c>
      <c r="B949" s="27" t="s">
        <v>4536</v>
      </c>
    </row>
    <row r="950">
      <c r="B950" s="25"/>
      <c r="D950" s="3"/>
      <c r="E950" s="3"/>
      <c r="F950" s="3"/>
      <c r="G950" s="3"/>
      <c r="H950" s="3"/>
      <c r="I950" s="3"/>
    </row>
    <row r="951">
      <c r="B951" s="25"/>
      <c r="D951" s="3"/>
      <c r="E951" s="3"/>
      <c r="F951" s="3"/>
      <c r="G951" s="3"/>
      <c r="H951" s="3"/>
      <c r="I951" s="3"/>
    </row>
    <row r="952">
      <c r="B952" s="25"/>
      <c r="D952" s="3"/>
      <c r="E952" s="3"/>
      <c r="F952" s="3"/>
      <c r="G952" s="3"/>
      <c r="H952" s="3"/>
      <c r="I952" s="3"/>
    </row>
    <row r="953">
      <c r="B953" s="25"/>
      <c r="D953" s="3"/>
      <c r="E953" s="3"/>
      <c r="F953" s="3"/>
      <c r="G953" s="3"/>
      <c r="H953" s="3"/>
      <c r="I953" s="3"/>
    </row>
    <row r="954">
      <c r="B954" s="25"/>
      <c r="D954" s="3"/>
      <c r="E954" s="3"/>
      <c r="F954" s="3"/>
      <c r="G954" s="3"/>
      <c r="H954" s="3"/>
      <c r="I954" s="3"/>
    </row>
    <row r="955">
      <c r="B955" s="25"/>
      <c r="D955" s="3"/>
      <c r="E955" s="3"/>
      <c r="F955" s="3"/>
      <c r="G955" s="3"/>
      <c r="H955" s="3"/>
      <c r="I955" s="3"/>
    </row>
    <row r="956">
      <c r="B956" s="25"/>
      <c r="D956" s="3"/>
      <c r="E956" s="3"/>
      <c r="F956" s="3"/>
      <c r="G956" s="3"/>
      <c r="H956" s="3"/>
      <c r="I956" s="3"/>
    </row>
    <row r="957">
      <c r="B957" s="25"/>
      <c r="D957" s="3"/>
      <c r="E957" s="3"/>
      <c r="F957" s="3"/>
      <c r="G957" s="3"/>
      <c r="H957" s="3"/>
      <c r="I957" s="3"/>
    </row>
    <row r="958">
      <c r="B958" s="25"/>
      <c r="D958" s="3"/>
      <c r="E958" s="3"/>
      <c r="F958" s="3"/>
      <c r="G958" s="3"/>
      <c r="H958" s="3"/>
      <c r="I958" s="3"/>
    </row>
    <row r="959">
      <c r="B959" s="25"/>
      <c r="D959" s="3"/>
      <c r="E959" s="3"/>
      <c r="F959" s="3"/>
      <c r="G959" s="3"/>
      <c r="H959" s="3"/>
      <c r="I959" s="3"/>
    </row>
    <row r="960">
      <c r="B960" s="25"/>
      <c r="D960" s="3"/>
      <c r="E960" s="3"/>
      <c r="F960" s="3"/>
      <c r="G960" s="3"/>
      <c r="H960" s="3"/>
      <c r="I960" s="3"/>
    </row>
    <row r="961">
      <c r="B961" s="25"/>
      <c r="D961" s="3"/>
      <c r="E961" s="3"/>
      <c r="F961" s="3"/>
      <c r="G961" s="3"/>
      <c r="H961" s="3"/>
      <c r="I961" s="3"/>
    </row>
    <row r="962">
      <c r="B962" s="25"/>
      <c r="D962" s="3"/>
      <c r="E962" s="3"/>
      <c r="F962" s="3"/>
      <c r="G962" s="3"/>
      <c r="H962" s="3"/>
      <c r="I962" s="3"/>
    </row>
    <row r="963">
      <c r="B963" s="25"/>
      <c r="D963" s="3"/>
      <c r="E963" s="3"/>
      <c r="F963" s="3"/>
      <c r="G963" s="3"/>
      <c r="H963" s="3"/>
      <c r="I963" s="3"/>
    </row>
    <row r="964">
      <c r="B964" s="25"/>
      <c r="D964" s="3"/>
      <c r="E964" s="3"/>
      <c r="F964" s="3"/>
      <c r="G964" s="3"/>
      <c r="H964" s="3"/>
      <c r="I964" s="3"/>
    </row>
    <row r="965">
      <c r="B965" s="25"/>
      <c r="D965" s="3"/>
      <c r="E965" s="3"/>
      <c r="F965" s="3"/>
      <c r="G965" s="3"/>
      <c r="H965" s="3"/>
      <c r="I965" s="3"/>
    </row>
    <row r="966">
      <c r="B966" s="25"/>
      <c r="D966" s="3"/>
      <c r="E966" s="3"/>
      <c r="F966" s="3"/>
      <c r="G966" s="3"/>
      <c r="H966" s="3"/>
      <c r="I966" s="3"/>
    </row>
    <row r="967">
      <c r="B967" s="25"/>
      <c r="D967" s="3"/>
      <c r="E967" s="3"/>
      <c r="F967" s="3"/>
      <c r="G967" s="3"/>
      <c r="H967" s="3"/>
      <c r="I967" s="3"/>
    </row>
    <row r="968">
      <c r="B968" s="25"/>
      <c r="D968" s="3"/>
      <c r="E968" s="3"/>
      <c r="F968" s="3"/>
      <c r="G968" s="3"/>
      <c r="H968" s="3"/>
      <c r="I968" s="3"/>
    </row>
    <row r="969">
      <c r="B969" s="25"/>
      <c r="D969" s="3"/>
      <c r="E969" s="3"/>
      <c r="F969" s="3"/>
      <c r="G969" s="3"/>
      <c r="H969" s="3"/>
      <c r="I969" s="3"/>
    </row>
    <row r="970">
      <c r="B970" s="25"/>
      <c r="D970" s="3"/>
      <c r="E970" s="3"/>
      <c r="F970" s="3"/>
      <c r="G970" s="3"/>
      <c r="H970" s="3"/>
      <c r="I970" s="3"/>
    </row>
    <row r="971">
      <c r="B971" s="25"/>
      <c r="D971" s="3"/>
      <c r="E971" s="3"/>
      <c r="F971" s="3"/>
      <c r="G971" s="3"/>
      <c r="H971" s="3"/>
      <c r="I971" s="3"/>
    </row>
    <row r="972">
      <c r="B972" s="25"/>
      <c r="D972" s="3"/>
      <c r="E972" s="3"/>
      <c r="F972" s="3"/>
      <c r="G972" s="3"/>
      <c r="H972" s="3"/>
      <c r="I972" s="3"/>
    </row>
    <row r="973">
      <c r="B973" s="25"/>
      <c r="D973" s="3"/>
      <c r="E973" s="3"/>
      <c r="F973" s="3"/>
      <c r="G973" s="3"/>
      <c r="H973" s="3"/>
      <c r="I973" s="3"/>
    </row>
    <row r="974">
      <c r="B974" s="25"/>
      <c r="D974" s="3"/>
      <c r="E974" s="3"/>
      <c r="F974" s="3"/>
      <c r="G974" s="3"/>
      <c r="H974" s="3"/>
      <c r="I974" s="3"/>
    </row>
    <row r="975">
      <c r="B975" s="25"/>
      <c r="D975" s="3"/>
      <c r="E975" s="3"/>
      <c r="F975" s="3"/>
      <c r="G975" s="3"/>
      <c r="H975" s="3"/>
      <c r="I975" s="3"/>
    </row>
    <row r="976">
      <c r="B976" s="25"/>
      <c r="D976" s="3"/>
      <c r="E976" s="3"/>
      <c r="F976" s="3"/>
      <c r="G976" s="3"/>
      <c r="H976" s="3"/>
      <c r="I976" s="3"/>
    </row>
    <row r="977">
      <c r="B977" s="25"/>
      <c r="D977" s="3"/>
      <c r="E977" s="3"/>
      <c r="F977" s="3"/>
      <c r="G977" s="3"/>
      <c r="H977" s="3"/>
      <c r="I977" s="3"/>
    </row>
    <row r="978">
      <c r="B978" s="25"/>
      <c r="D978" s="3"/>
      <c r="E978" s="3"/>
      <c r="F978" s="3"/>
      <c r="G978" s="3"/>
      <c r="H978" s="3"/>
      <c r="I978" s="3"/>
    </row>
    <row r="979">
      <c r="B979" s="25"/>
      <c r="D979" s="3"/>
      <c r="E979" s="3"/>
      <c r="F979" s="3"/>
      <c r="G979" s="3"/>
      <c r="H979" s="3"/>
      <c r="I979" s="3"/>
    </row>
    <row r="980">
      <c r="B980" s="25"/>
      <c r="D980" s="3"/>
      <c r="E980" s="3"/>
      <c r="F980" s="3"/>
      <c r="G980" s="3"/>
      <c r="H980" s="3"/>
      <c r="I980" s="3"/>
    </row>
    <row r="981">
      <c r="B981" s="25"/>
      <c r="D981" s="3"/>
      <c r="E981" s="3"/>
      <c r="F981" s="3"/>
      <c r="G981" s="3"/>
      <c r="H981" s="3"/>
      <c r="I981" s="3"/>
    </row>
    <row r="982">
      <c r="B982" s="25"/>
      <c r="D982" s="3"/>
      <c r="E982" s="3"/>
      <c r="F982" s="3"/>
      <c r="G982" s="3"/>
      <c r="H982" s="3"/>
      <c r="I982" s="3"/>
    </row>
    <row r="983">
      <c r="B983" s="25"/>
      <c r="D983" s="3"/>
      <c r="E983" s="3"/>
      <c r="F983" s="3"/>
      <c r="G983" s="3"/>
      <c r="H983" s="3"/>
      <c r="I983" s="3"/>
    </row>
    <row r="984">
      <c r="B984" s="25"/>
      <c r="D984" s="3"/>
      <c r="E984" s="3"/>
      <c r="F984" s="3"/>
      <c r="G984" s="3"/>
      <c r="H984" s="3"/>
      <c r="I984" s="3"/>
    </row>
    <row r="985">
      <c r="B985" s="25"/>
      <c r="D985" s="3"/>
      <c r="E985" s="3"/>
      <c r="F985" s="3"/>
      <c r="G985" s="3"/>
      <c r="H985" s="3"/>
      <c r="I985" s="3"/>
    </row>
    <row r="986">
      <c r="B986" s="25"/>
      <c r="D986" s="3"/>
      <c r="E986" s="3"/>
      <c r="F986" s="3"/>
      <c r="G986" s="3"/>
      <c r="H986" s="3"/>
      <c r="I986" s="3"/>
    </row>
    <row r="987">
      <c r="B987" s="25"/>
      <c r="D987" s="3"/>
      <c r="E987" s="3"/>
      <c r="F987" s="3"/>
      <c r="G987" s="3"/>
      <c r="H987" s="3"/>
      <c r="I987" s="3"/>
    </row>
    <row r="988">
      <c r="B988" s="25"/>
      <c r="D988" s="3"/>
      <c r="E988" s="3"/>
      <c r="F988" s="3"/>
      <c r="G988" s="3"/>
      <c r="H988" s="3"/>
      <c r="I988" s="3"/>
    </row>
    <row r="989">
      <c r="D989" s="3"/>
      <c r="E989" s="3"/>
      <c r="F989" s="3"/>
      <c r="G989" s="3"/>
      <c r="H989" s="3"/>
      <c r="I989" s="3"/>
    </row>
    <row r="990">
      <c r="D990" s="3"/>
      <c r="E990" s="3"/>
      <c r="F990" s="3"/>
      <c r="G990" s="3"/>
      <c r="H990" s="3"/>
      <c r="I990" s="3"/>
    </row>
    <row r="991">
      <c r="D991" s="3"/>
      <c r="E991" s="3"/>
      <c r="F991" s="3"/>
      <c r="G991" s="3"/>
      <c r="H991" s="3"/>
      <c r="I991" s="3"/>
    </row>
    <row r="992">
      <c r="D992" s="3"/>
      <c r="E992" s="3"/>
      <c r="F992" s="3"/>
      <c r="G992" s="3"/>
      <c r="H992" s="3"/>
      <c r="I992" s="3"/>
    </row>
    <row r="993">
      <c r="D993" s="3"/>
      <c r="E993" s="3"/>
      <c r="F993" s="3"/>
      <c r="G993" s="3"/>
      <c r="H993" s="3"/>
      <c r="I993" s="3"/>
    </row>
    <row r="994">
      <c r="D994" s="3"/>
      <c r="E994" s="3"/>
      <c r="F994" s="3"/>
      <c r="G994" s="3"/>
      <c r="H994" s="3"/>
      <c r="I994" s="3"/>
    </row>
    <row r="995">
      <c r="D995" s="3"/>
      <c r="E995" s="3"/>
      <c r="F995" s="3"/>
      <c r="G995" s="3"/>
      <c r="H995" s="3"/>
      <c r="I995" s="3"/>
    </row>
    <row r="996">
      <c r="D996" s="3"/>
      <c r="E996" s="3"/>
      <c r="F996" s="3"/>
      <c r="G996" s="3"/>
      <c r="H996" s="3"/>
      <c r="I996" s="3"/>
    </row>
    <row r="997">
      <c r="D997" s="3"/>
      <c r="E997" s="3"/>
      <c r="F997" s="3"/>
      <c r="G997" s="3"/>
      <c r="H997" s="3"/>
      <c r="I997" s="3"/>
    </row>
    <row r="998">
      <c r="D998" s="3"/>
      <c r="E998" s="3"/>
      <c r="F998" s="3"/>
      <c r="G998" s="3"/>
      <c r="H998" s="3"/>
      <c r="I998" s="3"/>
    </row>
    <row r="999">
      <c r="D999" s="3"/>
      <c r="E999" s="3"/>
      <c r="F999" s="3"/>
      <c r="G999" s="3"/>
      <c r="H999" s="3"/>
      <c r="I999" s="3"/>
    </row>
    <row r="1000">
      <c r="F1000" s="3"/>
      <c r="G1000" s="3"/>
    </row>
  </sheetData>
  <mergeCells count="315"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B646:I646"/>
    <mergeCell ref="B647:I647"/>
    <mergeCell ref="B648:I648"/>
    <mergeCell ref="B649:I649"/>
    <mergeCell ref="B650:I650"/>
    <mergeCell ref="B651:I651"/>
    <mergeCell ref="B652:I652"/>
    <mergeCell ref="B653:I653"/>
    <mergeCell ref="B654:I654"/>
    <mergeCell ref="B655:I655"/>
    <mergeCell ref="B656:I656"/>
    <mergeCell ref="B657:I657"/>
    <mergeCell ref="B658:I658"/>
    <mergeCell ref="B659:I659"/>
    <mergeCell ref="B660:I660"/>
    <mergeCell ref="B661:I661"/>
    <mergeCell ref="B662:I662"/>
    <mergeCell ref="B663:I663"/>
    <mergeCell ref="B664:I664"/>
    <mergeCell ref="B665:I665"/>
    <mergeCell ref="B666:I666"/>
    <mergeCell ref="B667:I667"/>
    <mergeCell ref="B668:I668"/>
    <mergeCell ref="B669:I669"/>
    <mergeCell ref="B670:I670"/>
    <mergeCell ref="B671:I671"/>
    <mergeCell ref="B672:I672"/>
    <mergeCell ref="B673:I673"/>
    <mergeCell ref="B674:I674"/>
    <mergeCell ref="B675:I675"/>
    <mergeCell ref="B676:I676"/>
    <mergeCell ref="B677:I677"/>
    <mergeCell ref="B678:I678"/>
    <mergeCell ref="B679:I679"/>
    <mergeCell ref="B680:I680"/>
    <mergeCell ref="B681:I681"/>
    <mergeCell ref="B682:I682"/>
    <mergeCell ref="B683:I683"/>
    <mergeCell ref="B684:I684"/>
    <mergeCell ref="B685:I685"/>
    <mergeCell ref="B686:I686"/>
    <mergeCell ref="B687:I687"/>
    <mergeCell ref="B688:I688"/>
    <mergeCell ref="B689:I689"/>
    <mergeCell ref="B690:I690"/>
    <mergeCell ref="B691:I691"/>
    <mergeCell ref="B692:I692"/>
    <mergeCell ref="B693:I693"/>
    <mergeCell ref="B694:I694"/>
    <mergeCell ref="B695:I695"/>
    <mergeCell ref="B696:I696"/>
    <mergeCell ref="B697:I697"/>
    <mergeCell ref="B698:I698"/>
    <mergeCell ref="B699:I699"/>
    <mergeCell ref="B700:I700"/>
    <mergeCell ref="B701:I701"/>
    <mergeCell ref="B702:I702"/>
    <mergeCell ref="B703:I703"/>
    <mergeCell ref="B704:I704"/>
    <mergeCell ref="B705:I705"/>
    <mergeCell ref="B706:I706"/>
    <mergeCell ref="B707:I707"/>
    <mergeCell ref="B708:I708"/>
    <mergeCell ref="B709:I709"/>
    <mergeCell ref="B710:I710"/>
    <mergeCell ref="B711:I711"/>
    <mergeCell ref="B712:I712"/>
    <mergeCell ref="B713:I713"/>
    <mergeCell ref="B714:I714"/>
    <mergeCell ref="B715:I715"/>
    <mergeCell ref="B716:I716"/>
    <mergeCell ref="B717:I717"/>
    <mergeCell ref="B718:I718"/>
    <mergeCell ref="B719:I719"/>
    <mergeCell ref="B720:I720"/>
    <mergeCell ref="B721:I721"/>
    <mergeCell ref="B722:I722"/>
    <mergeCell ref="B723:I723"/>
    <mergeCell ref="B724:I724"/>
    <mergeCell ref="B725:I725"/>
    <mergeCell ref="B726:I726"/>
    <mergeCell ref="B727:I727"/>
    <mergeCell ref="B728:I728"/>
    <mergeCell ref="B729:I729"/>
    <mergeCell ref="B730:I730"/>
    <mergeCell ref="B731:I731"/>
    <mergeCell ref="B732:I732"/>
    <mergeCell ref="B733:I733"/>
    <mergeCell ref="B734:I734"/>
    <mergeCell ref="B735:I735"/>
    <mergeCell ref="B736:I736"/>
    <mergeCell ref="B737:I737"/>
    <mergeCell ref="B738:I738"/>
    <mergeCell ref="B739:I739"/>
    <mergeCell ref="B740:I740"/>
    <mergeCell ref="B741:I741"/>
    <mergeCell ref="B742:I742"/>
    <mergeCell ref="B743:I743"/>
    <mergeCell ref="B744:I744"/>
    <mergeCell ref="B745:I745"/>
    <mergeCell ref="B746:I746"/>
    <mergeCell ref="B747:I747"/>
    <mergeCell ref="B748:I748"/>
    <mergeCell ref="B749:I749"/>
    <mergeCell ref="B750:I750"/>
    <mergeCell ref="B751:I751"/>
    <mergeCell ref="B752:I752"/>
    <mergeCell ref="B753:I753"/>
    <mergeCell ref="B754:I754"/>
    <mergeCell ref="B755:I755"/>
    <mergeCell ref="B756:I756"/>
    <mergeCell ref="B757:I757"/>
    <mergeCell ref="B758:I758"/>
    <mergeCell ref="B759:I759"/>
    <mergeCell ref="B760:I760"/>
    <mergeCell ref="B761:I761"/>
    <mergeCell ref="B762:I762"/>
    <mergeCell ref="B763:I763"/>
    <mergeCell ref="B764:I764"/>
    <mergeCell ref="B765:I765"/>
    <mergeCell ref="B766:I766"/>
    <mergeCell ref="B767:I767"/>
    <mergeCell ref="B768:I768"/>
    <mergeCell ref="B769:I769"/>
    <mergeCell ref="B770:I770"/>
    <mergeCell ref="B771:I771"/>
    <mergeCell ref="B772:I772"/>
    <mergeCell ref="B773:I773"/>
    <mergeCell ref="B774:I774"/>
    <mergeCell ref="B775:I775"/>
    <mergeCell ref="B776:I776"/>
    <mergeCell ref="B777:I777"/>
    <mergeCell ref="B778:I778"/>
    <mergeCell ref="B779:I779"/>
    <mergeCell ref="B780:I780"/>
    <mergeCell ref="B781:I781"/>
    <mergeCell ref="B782:I782"/>
    <mergeCell ref="B783:I783"/>
    <mergeCell ref="B784:I784"/>
    <mergeCell ref="B785:I785"/>
    <mergeCell ref="B786:I786"/>
    <mergeCell ref="B787:I787"/>
    <mergeCell ref="B788:I788"/>
    <mergeCell ref="B789:I789"/>
    <mergeCell ref="B790:I790"/>
    <mergeCell ref="B791:I791"/>
    <mergeCell ref="B792:I792"/>
    <mergeCell ref="B793:I793"/>
    <mergeCell ref="B794:I794"/>
    <mergeCell ref="B795:I795"/>
    <mergeCell ref="B796:I796"/>
    <mergeCell ref="B797:I797"/>
    <mergeCell ref="B798:I798"/>
    <mergeCell ref="B799:I799"/>
    <mergeCell ref="B800:I800"/>
    <mergeCell ref="B801:I801"/>
    <mergeCell ref="B802:I802"/>
    <mergeCell ref="B803:I803"/>
    <mergeCell ref="B804:I804"/>
    <mergeCell ref="B805:I805"/>
    <mergeCell ref="B806:I806"/>
    <mergeCell ref="B807:I807"/>
    <mergeCell ref="B808:I808"/>
    <mergeCell ref="B809:I809"/>
    <mergeCell ref="B810:I810"/>
    <mergeCell ref="B811:I811"/>
    <mergeCell ref="B812:I812"/>
    <mergeCell ref="B813:I813"/>
    <mergeCell ref="B814:I814"/>
    <mergeCell ref="B815:I815"/>
    <mergeCell ref="B816:I816"/>
    <mergeCell ref="B817:I817"/>
    <mergeCell ref="B818:I818"/>
    <mergeCell ref="B819:I819"/>
    <mergeCell ref="B820:I820"/>
    <mergeCell ref="B821:I821"/>
    <mergeCell ref="B822:I822"/>
    <mergeCell ref="B823:I823"/>
    <mergeCell ref="B824:I824"/>
    <mergeCell ref="B825:I825"/>
    <mergeCell ref="B826:I826"/>
    <mergeCell ref="B827:I827"/>
    <mergeCell ref="B828:I828"/>
    <mergeCell ref="B829:I829"/>
    <mergeCell ref="B830:I830"/>
    <mergeCell ref="B831:I831"/>
    <mergeCell ref="B832:I832"/>
    <mergeCell ref="B833:I833"/>
    <mergeCell ref="B834:I834"/>
    <mergeCell ref="B835:I835"/>
    <mergeCell ref="B836:I836"/>
    <mergeCell ref="B837:I837"/>
    <mergeCell ref="B838:I838"/>
    <mergeCell ref="B839:I839"/>
    <mergeCell ref="B840:I840"/>
    <mergeCell ref="B841:I841"/>
    <mergeCell ref="B842:I842"/>
    <mergeCell ref="B843:I843"/>
    <mergeCell ref="B844:I844"/>
    <mergeCell ref="B845:I845"/>
    <mergeCell ref="B846:I846"/>
    <mergeCell ref="B847:I847"/>
    <mergeCell ref="B848:I848"/>
    <mergeCell ref="B849:I849"/>
    <mergeCell ref="B850:I850"/>
    <mergeCell ref="B851:I851"/>
    <mergeCell ref="B852:I852"/>
    <mergeCell ref="B853:I853"/>
    <mergeCell ref="B854:I854"/>
    <mergeCell ref="B855:I855"/>
    <mergeCell ref="B856:I856"/>
    <mergeCell ref="B857:I857"/>
    <mergeCell ref="B858:I858"/>
    <mergeCell ref="B859:I859"/>
    <mergeCell ref="B860:I860"/>
    <mergeCell ref="B861:I861"/>
    <mergeCell ref="B862:I862"/>
    <mergeCell ref="B863:I863"/>
    <mergeCell ref="B864:I864"/>
    <mergeCell ref="B865:I865"/>
    <mergeCell ref="B866:I866"/>
    <mergeCell ref="B867:I867"/>
    <mergeCell ref="B868:I868"/>
    <mergeCell ref="B869:I869"/>
    <mergeCell ref="B870:I870"/>
    <mergeCell ref="B871:I871"/>
    <mergeCell ref="B872:I872"/>
    <mergeCell ref="B873:I873"/>
    <mergeCell ref="B874:I874"/>
    <mergeCell ref="B875:I875"/>
    <mergeCell ref="B876:I876"/>
    <mergeCell ref="B877:I877"/>
    <mergeCell ref="B878:I878"/>
    <mergeCell ref="B879:I879"/>
    <mergeCell ref="B929:I929"/>
    <mergeCell ref="B930:I930"/>
    <mergeCell ref="B931:I931"/>
    <mergeCell ref="B932:I932"/>
    <mergeCell ref="B933:I933"/>
    <mergeCell ref="B934:I934"/>
    <mergeCell ref="B935:I935"/>
    <mergeCell ref="B943:I943"/>
    <mergeCell ref="B944:I944"/>
    <mergeCell ref="B945:I945"/>
    <mergeCell ref="B946:I946"/>
    <mergeCell ref="B947:I947"/>
    <mergeCell ref="B948:I948"/>
    <mergeCell ref="B949:I949"/>
    <mergeCell ref="B936:I936"/>
    <mergeCell ref="B937:I937"/>
    <mergeCell ref="B938:I938"/>
    <mergeCell ref="B939:I939"/>
    <mergeCell ref="B940:I940"/>
    <mergeCell ref="B941:I941"/>
    <mergeCell ref="B942:I942"/>
    <mergeCell ref="B880:I880"/>
    <mergeCell ref="B881:I881"/>
    <mergeCell ref="B882:I882"/>
    <mergeCell ref="B883:I883"/>
    <mergeCell ref="B884:I884"/>
    <mergeCell ref="B885:I885"/>
    <mergeCell ref="B886:I886"/>
    <mergeCell ref="B887:I887"/>
    <mergeCell ref="B888:I888"/>
    <mergeCell ref="B889:I889"/>
    <mergeCell ref="B890:I890"/>
    <mergeCell ref="B891:I891"/>
    <mergeCell ref="B892:I892"/>
    <mergeCell ref="B893:I893"/>
    <mergeCell ref="B894:I894"/>
    <mergeCell ref="B895:I895"/>
    <mergeCell ref="B896:I896"/>
    <mergeCell ref="B897:I897"/>
    <mergeCell ref="B898:I898"/>
    <mergeCell ref="B899:I899"/>
    <mergeCell ref="B900:I900"/>
    <mergeCell ref="B901:I901"/>
    <mergeCell ref="B902:I902"/>
    <mergeCell ref="B903:I903"/>
    <mergeCell ref="B904:I904"/>
    <mergeCell ref="B905:I905"/>
    <mergeCell ref="B906:I906"/>
    <mergeCell ref="B907:I907"/>
    <mergeCell ref="B908:I908"/>
    <mergeCell ref="B909:I909"/>
    <mergeCell ref="B910:I910"/>
    <mergeCell ref="B911:I911"/>
    <mergeCell ref="B912:I912"/>
    <mergeCell ref="B913:I913"/>
    <mergeCell ref="B914:I914"/>
    <mergeCell ref="B915:I915"/>
    <mergeCell ref="B916:I916"/>
    <mergeCell ref="B917:I917"/>
    <mergeCell ref="B918:I918"/>
    <mergeCell ref="B919:I919"/>
    <mergeCell ref="B920:I920"/>
    <mergeCell ref="B921:I921"/>
    <mergeCell ref="B922:I922"/>
    <mergeCell ref="B923:I923"/>
    <mergeCell ref="B924:I924"/>
    <mergeCell ref="B925:I925"/>
    <mergeCell ref="B926:I926"/>
    <mergeCell ref="B927:I927"/>
    <mergeCell ref="B928:I928"/>
  </mergeCells>
  <conditionalFormatting sqref="I15:I645 I950:I999">
    <cfRule type="cellIs" dxfId="2" priority="1" operator="equal">
      <formula>15</formula>
    </cfRule>
  </conditionalFormatting>
  <conditionalFormatting sqref="E15:I645 E950:E999 F950:G1000 H950:I999">
    <cfRule type="containsBlanks" dxfId="6" priority="2">
      <formula>LEN(TRIM(E15))=0</formula>
    </cfRule>
  </conditionalFormatting>
  <conditionalFormatting sqref="I15:I645 I950:I999">
    <cfRule type="cellIs" dxfId="1" priority="3" operator="notEqual">
      <formula>15</formula>
    </cfRule>
  </conditionalFormatting>
  <conditionalFormatting sqref="H15:H645 H950:H999">
    <cfRule type="cellIs" dxfId="2" priority="4" operator="equal">
      <formula>13</formula>
    </cfRule>
  </conditionalFormatting>
  <conditionalFormatting sqref="H15:H645 H950:H999">
    <cfRule type="cellIs" dxfId="1" priority="5" operator="notEqual">
      <formula>13</formula>
    </cfRule>
  </conditionalFormatting>
  <conditionalFormatting sqref="G15:G645 G950:G1000">
    <cfRule type="cellIs" dxfId="2" priority="6" operator="equal">
      <formula>10</formula>
    </cfRule>
  </conditionalFormatting>
  <conditionalFormatting sqref="G15:G645 G950:G1000">
    <cfRule type="cellIs" dxfId="1" priority="7" operator="notEqual">
      <formula>10</formula>
    </cfRule>
  </conditionalFormatting>
  <conditionalFormatting sqref="F15:F645 F950:F1000">
    <cfRule type="cellIs" dxfId="2" priority="8" operator="equal">
      <formula>9</formula>
    </cfRule>
  </conditionalFormatting>
  <conditionalFormatting sqref="F15:F645 F950:F1000">
    <cfRule type="cellIs" dxfId="1" priority="9" operator="notEqual">
      <formula>9</formula>
    </cfRule>
  </conditionalFormatting>
  <conditionalFormatting sqref="E15:E645 E950:E999">
    <cfRule type="cellIs" dxfId="2" priority="10" operator="equal">
      <formula>2</formula>
    </cfRule>
  </conditionalFormatting>
  <conditionalFormatting sqref="E15:E645 E950:E999">
    <cfRule type="cellIs" dxfId="7" priority="11" operator="notEqual">
      <formula>2</formula>
    </cfRule>
  </conditionalFormatting>
  <conditionalFormatting sqref="D15:D645 D950:D999">
    <cfRule type="cellIs" dxfId="2" priority="12" operator="equal">
      <formula>1</formula>
    </cfRule>
  </conditionalFormatting>
  <conditionalFormatting sqref="D15:D645 D950:D999">
    <cfRule type="containsBlanks" dxfId="3" priority="13">
      <formula>LEN(TRIM(D15))=0</formula>
    </cfRule>
  </conditionalFormatting>
  <conditionalFormatting sqref="D15:D645 D950:D999">
    <cfRule type="cellIs" dxfId="1" priority="14" operator="notEqual">
      <formula>1</formula>
    </cfRule>
  </conditionalFormatting>
  <conditionalFormatting sqref="B15:B645 B950:B988">
    <cfRule type="cellIs" dxfId="0" priority="15" operator="equal">
      <formula>"YES"</formula>
    </cfRule>
  </conditionalFormatting>
  <conditionalFormatting sqref="B15:B645 B950:B988">
    <cfRule type="cellIs" dxfId="1" priority="16" operator="equal">
      <formula>"NO"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2.75"/>
    <col customWidth="1" min="4" max="4" width="7.25"/>
    <col customWidth="1" min="5" max="5" width="5.88"/>
    <col customWidth="1" min="6" max="6" width="6.63"/>
    <col customWidth="1" min="7" max="7" width="9.63"/>
    <col customWidth="1" min="8" max="8" width="7.63"/>
    <col customWidth="1" min="9" max="9" width="9.63"/>
    <col customWidth="1" min="10" max="10" width="6.75"/>
    <col customWidth="1" min="11" max="11" width="10.38"/>
    <col customWidth="1" min="12" max="12" width="10.5"/>
    <col customWidth="1" min="13" max="13" width="12.38"/>
    <col customWidth="1" min="14" max="14" width="7.88"/>
    <col customWidth="1" min="15" max="15" width="3.75"/>
    <col customWidth="1" min="16" max="16" width="8.13"/>
    <col customWidth="1" min="17" max="17" width="3.75"/>
    <col customWidth="1" min="18" max="18" width="8.13"/>
    <col customWidth="1" min="19" max="19" width="3.75"/>
    <col customWidth="1" min="20" max="20" width="8.13"/>
    <col customWidth="1" min="21" max="21" width="4.25"/>
    <col customWidth="1" min="22" max="24" width="3.38"/>
    <col customWidth="1" min="25" max="29" width="4.25"/>
  </cols>
  <sheetData>
    <row r="1">
      <c r="A1" s="5" t="s">
        <v>1289</v>
      </c>
      <c r="B1" s="26" t="s">
        <v>9</v>
      </c>
      <c r="C1" s="23" t="s">
        <v>1290</v>
      </c>
      <c r="D1" s="6" t="s">
        <v>11</v>
      </c>
      <c r="E1" s="23" t="s">
        <v>1291</v>
      </c>
      <c r="F1" s="6" t="s">
        <v>13</v>
      </c>
      <c r="G1" s="23" t="s">
        <v>1292</v>
      </c>
      <c r="H1" s="6" t="s">
        <v>15</v>
      </c>
      <c r="I1" s="8">
        <v>45560.0</v>
      </c>
      <c r="J1" s="6" t="s">
        <v>16</v>
      </c>
      <c r="K1" s="9" t="s">
        <v>11735</v>
      </c>
      <c r="L1" s="6" t="s">
        <v>18</v>
      </c>
      <c r="M1" s="9" t="s">
        <v>11736</v>
      </c>
      <c r="N1" s="6" t="s">
        <v>20</v>
      </c>
      <c r="O1" s="9">
        <f>COUNTA(A4:A5373)-COUNTIF(B:B,"TRAVEL BACK")-COUNTIF(B:B,"COLOR SAMPLE")-COUNTIF(B:B,"TRASH")</f>
        <v>1092</v>
      </c>
    </row>
    <row r="2">
      <c r="A2" s="10" t="s">
        <v>21</v>
      </c>
      <c r="B2" s="10" t="s">
        <v>22</v>
      </c>
      <c r="C2" s="10">
        <f>COUNTIF(B4:B7868,"YES")</f>
        <v>366</v>
      </c>
      <c r="D2" s="10" t="s">
        <v>23</v>
      </c>
      <c r="E2" s="10">
        <f>COUNTIF(C4:C7868,"1")</f>
        <v>267</v>
      </c>
      <c r="F2" s="10" t="s">
        <v>24</v>
      </c>
      <c r="G2" s="10">
        <f>COUNTIF(C4:C7868,"2")</f>
        <v>49</v>
      </c>
      <c r="H2" s="10" t="s">
        <v>25</v>
      </c>
      <c r="I2" s="11">
        <f>COUNTIF(C4:C7868,"3")</f>
        <v>23</v>
      </c>
      <c r="J2" s="10" t="s">
        <v>26</v>
      </c>
      <c r="K2" s="12">
        <f>COUNTIF(C4:C7868,"4")</f>
        <v>17</v>
      </c>
      <c r="L2" s="10" t="s">
        <v>27</v>
      </c>
      <c r="M2" s="12">
        <f>COUNTIF(C4:C7868,"5")</f>
        <v>10</v>
      </c>
      <c r="N2" s="11" t="s">
        <v>1294</v>
      </c>
      <c r="O2" s="12">
        <f>COUNTIF(C4:C7868,"6")</f>
        <v>0</v>
      </c>
      <c r="P2" s="10" t="s">
        <v>28</v>
      </c>
      <c r="Q2" s="12">
        <f>G2+I2+K2+M2+O2</f>
        <v>99</v>
      </c>
    </row>
    <row r="3">
      <c r="A3" s="1" t="s">
        <v>29</v>
      </c>
      <c r="B3" s="1" t="s">
        <v>30</v>
      </c>
      <c r="C3" s="1" t="s">
        <v>31</v>
      </c>
      <c r="D3" s="1" t="s">
        <v>1295</v>
      </c>
      <c r="E3" s="1" t="s">
        <v>1296</v>
      </c>
      <c r="F3" s="1" t="s">
        <v>1297</v>
      </c>
      <c r="G3" s="1" t="s">
        <v>1298</v>
      </c>
      <c r="H3" s="1" t="s">
        <v>1299</v>
      </c>
      <c r="I3" s="1" t="s">
        <v>1300</v>
      </c>
      <c r="J3" s="11" t="s">
        <v>1301</v>
      </c>
      <c r="K3" s="12">
        <f>COUNTIF(D4:J7868,"1")</f>
        <v>107</v>
      </c>
      <c r="L3" s="11" t="s">
        <v>1302</v>
      </c>
      <c r="M3" s="12">
        <f>COUNTIF(D4:J7868,"2")</f>
        <v>107</v>
      </c>
      <c r="N3" s="11" t="s">
        <v>1303</v>
      </c>
      <c r="O3" s="12">
        <f>COUNTIF(D4:J7868,"9")</f>
        <v>101</v>
      </c>
      <c r="P3" s="11" t="s">
        <v>1304</v>
      </c>
      <c r="Q3" s="12">
        <f>COUNTIF(D4:J7868,"10")</f>
        <v>50</v>
      </c>
      <c r="R3" s="11" t="s">
        <v>1305</v>
      </c>
      <c r="S3" s="12">
        <f>COUNTIF(D4:J7868,"13")</f>
        <v>121</v>
      </c>
      <c r="T3" s="11" t="s">
        <v>1306</v>
      </c>
      <c r="U3" s="12">
        <f>COUNTIF(D4:J7868,"15")</f>
        <v>66</v>
      </c>
    </row>
    <row r="4">
      <c r="A4" s="4" t="s">
        <v>11737</v>
      </c>
      <c r="B4" s="13" t="s">
        <v>48</v>
      </c>
      <c r="C4" s="4">
        <v>1.0</v>
      </c>
      <c r="D4" s="4">
        <v>1.0</v>
      </c>
      <c r="E4" s="3"/>
      <c r="F4" s="3"/>
      <c r="G4" s="3"/>
      <c r="H4" s="3"/>
      <c r="I4" s="3"/>
      <c r="L4" s="4" t="s">
        <v>44</v>
      </c>
    </row>
    <row r="5">
      <c r="A5" s="4" t="s">
        <v>11738</v>
      </c>
      <c r="B5" s="13" t="s">
        <v>48</v>
      </c>
      <c r="C5" s="4">
        <v>1.0</v>
      </c>
      <c r="D5" s="4">
        <v>1.0</v>
      </c>
      <c r="E5" s="3"/>
      <c r="F5" s="3"/>
      <c r="G5" s="3"/>
      <c r="H5" s="3"/>
      <c r="I5" s="3"/>
      <c r="L5" s="14">
        <f t="array" ref="L5:Q29">UNIQUE(D4:I4979)</f>
        <v>1</v>
      </c>
      <c r="M5" s="3"/>
      <c r="N5" s="3"/>
      <c r="O5" s="3"/>
      <c r="P5" s="3"/>
      <c r="Q5" s="3"/>
      <c r="R5" s="16">
        <f t="array" ref="R5">COUNTIF($D$4:$D$3339&amp;"|"&amp;$E$4:$E$3339&amp;"|"&amp;$F$4:$F$3339&amp;"|"&amp;$G$4:$G$3339&amp;"|"&amp;$H$4:$H$3339&amp;"|"&amp;$I$4:$I$3339,$L5&amp;"|"&amp;$M5&amp;"|"&amp;$N5&amp;"|"&amp;$O5&amp;"|"&amp;$P5&amp;"|"&amp;$Q5)</f>
        <v>71</v>
      </c>
      <c r="V5" s="4" t="s">
        <v>1295</v>
      </c>
      <c r="W5" s="4" t="s">
        <v>1296</v>
      </c>
      <c r="X5" s="4" t="s">
        <v>1297</v>
      </c>
      <c r="Y5" s="4" t="s">
        <v>1298</v>
      </c>
      <c r="Z5" s="4" t="s">
        <v>1299</v>
      </c>
      <c r="AA5" s="4" t="s">
        <v>1300</v>
      </c>
      <c r="AB5" s="4"/>
      <c r="AC5" s="4"/>
    </row>
    <row r="6">
      <c r="A6" s="4" t="s">
        <v>11739</v>
      </c>
      <c r="B6" s="13" t="s">
        <v>48</v>
      </c>
      <c r="C6" s="4">
        <v>1.0</v>
      </c>
      <c r="D6" s="4">
        <v>1.0</v>
      </c>
      <c r="E6" s="3"/>
      <c r="F6" s="3"/>
      <c r="G6" s="3"/>
      <c r="H6" s="3"/>
      <c r="I6" s="3"/>
      <c r="L6" s="3"/>
      <c r="M6" s="3"/>
      <c r="N6" s="3"/>
      <c r="O6" s="3"/>
      <c r="P6" s="3"/>
      <c r="Q6" s="3"/>
      <c r="U6" s="4" t="s">
        <v>1295</v>
      </c>
      <c r="V6" s="17"/>
      <c r="W6" s="3">
        <f t="array" ref="W6">SUM((MMULT(--(L5:Q25=1),TRANSPOSE(COLUMN(L5:Q5)^0))&gt;0)*(MMULT(--(L5:Q25=2),TRANSPOSE(COLUMN(L5:Q5)^0))&gt;0)*R5:R25)</f>
        <v>9</v>
      </c>
      <c r="X6" s="3">
        <f t="array" ref="X6">SUM((MMULT(--(L5:Q25=1),TRANSPOSE(COLUMN(L5:Q5)^0))&gt;0)*(MMULT(--(L5:Q25=9),TRANSPOSE(COLUMN(L5:Q5)^0))&gt;0)*R5:R25)</f>
        <v>12</v>
      </c>
      <c r="Y6" s="3">
        <f t="array" ref="Y6">SUM((MMULT(--(L5:Q25=1),TRANSPOSE(COLUMN(L5:Q5)^0))&gt;0)*(MMULT(--(L5:Q25=10),TRANSPOSE(COLUMN(L5:Q5)^0))&gt;0)*R5:R25)</f>
        <v>0</v>
      </c>
      <c r="Z6" s="3">
        <f t="array" ref="Z6">SUM((MMULT(--(L5:Q25=1),TRANSPOSE(COLUMN(L5:Q5)^0))&gt;0)*(MMULT(--(L5:Q25=13),TRANSPOSE(COLUMN(L5:Q5)^0))&gt;0)*R5:R25)</f>
        <v>27</v>
      </c>
      <c r="AA6" s="3">
        <f t="array" ref="AA6">SUM((MMULT(--(L5:Q25=1),TRANSPOSE(COLUMN(L5:Q5)^0))&gt;0)*(MMULT(--(L5:Q25=15),TRANSPOSE(COLUMN(L5:Q5)^0))&gt;0)*R5:R25)</f>
        <v>25</v>
      </c>
    </row>
    <row r="7">
      <c r="A7" s="4" t="s">
        <v>11740</v>
      </c>
      <c r="B7" s="13" t="s">
        <v>48</v>
      </c>
      <c r="C7" s="4">
        <v>1.0</v>
      </c>
      <c r="D7" s="4">
        <v>1.0</v>
      </c>
      <c r="E7" s="3"/>
      <c r="F7" s="3"/>
      <c r="G7" s="3"/>
      <c r="H7" s="3"/>
      <c r="I7" s="3"/>
      <c r="L7" s="3"/>
      <c r="M7" s="3"/>
      <c r="N7" s="3"/>
      <c r="O7" s="3"/>
      <c r="P7" s="3"/>
      <c r="Q7" s="3">
        <v>15.0</v>
      </c>
      <c r="R7" s="16">
        <f t="array" ref="R7">COUNTIF($D$4:$D$3339&amp;"|"&amp;$E$4:$E$3339&amp;"|"&amp;$F$4:$F$3339&amp;"|"&amp;$G$4:$G$3339&amp;"|"&amp;$H$4:$H$3339&amp;"|"&amp;$I$4:$I$3339,$L7&amp;"|"&amp;$M7&amp;"|"&amp;$N7&amp;"|"&amp;$O7&amp;"|"&amp;$P7&amp;"|"&amp;$Q7)</f>
        <v>23</v>
      </c>
      <c r="U7" s="4" t="s">
        <v>1296</v>
      </c>
      <c r="V7" s="17"/>
      <c r="W7" s="17"/>
      <c r="X7" s="3">
        <f t="array" ref="X7">SUM((MMULT(--(L5:Q25=2),TRANSPOSE(COLUMN(L5:Q5)^0))&gt;0)*(MMULT(--(L5:Q25=9),TRANSPOSE(COLUMN(L5:Q5)^0))&gt;0)*R5:R25)</f>
        <v>35</v>
      </c>
      <c r="Y7" s="3">
        <f t="array" ref="Y7">SUM((MMULT(--(L5:Q25=2),TRANSPOSE(COLUMN(L5:Q5)^0))&gt;0)*(MMULT(--(L5:Q25=10),TRANSPOSE(COLUMN(L5:Q5)^0))&gt;0)*R5:R25)</f>
        <v>0</v>
      </c>
      <c r="Z7" s="3">
        <f t="array" ref="Z7">SUM((MMULT(--(L5:Q25=2),TRANSPOSE(COLUMN(L5:Q5)^0))&gt;0)*(MMULT(--(L5:Q25=13),TRANSPOSE(COLUMN(L5:Q5)^0))&gt;0)*R5:R25)</f>
        <v>47</v>
      </c>
      <c r="AA7" s="3">
        <f t="array" ref="AA7">SUM((MMULT(--(L5:Q25=2),TRANSPOSE(COLUMN(L5:Q5)^0))&gt;0)*(MMULT(--(L5:Q25=15),TRANSPOSE(COLUMN(L5:Q5)^0))&gt;0)*R5:R25)</f>
        <v>18</v>
      </c>
    </row>
    <row r="8">
      <c r="A8" s="4" t="s">
        <v>11741</v>
      </c>
      <c r="B8" s="13" t="s">
        <v>48</v>
      </c>
      <c r="C8" s="4">
        <v>1.0</v>
      </c>
      <c r="D8" s="4">
        <v>1.0</v>
      </c>
      <c r="E8" s="3"/>
      <c r="F8" s="3"/>
      <c r="G8" s="3"/>
      <c r="H8" s="3"/>
      <c r="I8" s="3"/>
      <c r="L8" s="3"/>
      <c r="M8" s="3"/>
      <c r="N8" s="3">
        <v>9.0</v>
      </c>
      <c r="O8" s="3"/>
      <c r="P8" s="3"/>
      <c r="Q8" s="3"/>
      <c r="R8" s="16">
        <f t="array" ref="R8">COUNTIF($D$4:$D$3339&amp;"|"&amp;$E$4:$E$3339&amp;"|"&amp;$F$4:$F$3339&amp;"|"&amp;$G$4:$G$3339&amp;"|"&amp;$H$4:$H$3339&amp;"|"&amp;$I$4:$I$3339,$L8&amp;"|"&amp;$M8&amp;"|"&amp;$N8&amp;"|"&amp;$O8&amp;"|"&amp;$P8&amp;"|"&amp;$Q8)</f>
        <v>39</v>
      </c>
      <c r="U8" s="4" t="s">
        <v>1297</v>
      </c>
      <c r="V8" s="17"/>
      <c r="W8" s="17"/>
      <c r="X8" s="17"/>
      <c r="Y8" s="3">
        <f t="array" ref="Y8">SUM((MMULT(--(L5:Q25=9),TRANSPOSE(COLUMN(L5:Q5)^0))&gt;0)*(MMULT(--(L5:Q25=10),TRANSPOSE(COLUMN(L5:Q5)^0))&gt;0)*R5:R25)</f>
        <v>0</v>
      </c>
      <c r="Z8" s="3">
        <f t="array" ref="Z8">SUM((MMULT(--(L5:Q25=9),TRANSPOSE(COLUMN(L5:Q5)^0))&gt;0)*(MMULT(--(L5:Q25=13),TRANSPOSE(COLUMN(L5:Q5)^0))&gt;0)*R5:R25)</f>
        <v>51</v>
      </c>
      <c r="AA8" s="3">
        <f t="array" ref="AA8">SUM((MMULT(--(L5:Q25=9),TRANSPOSE(COLUMN(L5:Q5)^0))&gt;0)*(MMULT(--(L5:Q25=15),TRANSPOSE(COLUMN(L5:Q5)^0))&gt;0)*R5:R25)</f>
        <v>25</v>
      </c>
    </row>
    <row r="9">
      <c r="A9" s="4" t="s">
        <v>11742</v>
      </c>
      <c r="B9" s="13" t="s">
        <v>48</v>
      </c>
      <c r="C9" s="4">
        <v>1.0</v>
      </c>
      <c r="D9" s="4">
        <v>1.0</v>
      </c>
      <c r="E9" s="3"/>
      <c r="F9" s="3"/>
      <c r="G9" s="3"/>
      <c r="H9" s="3"/>
      <c r="I9" s="3"/>
      <c r="L9" s="3"/>
      <c r="M9" s="3"/>
      <c r="N9" s="3"/>
      <c r="O9" s="3">
        <v>10.0</v>
      </c>
      <c r="P9" s="3"/>
      <c r="Q9" s="3"/>
      <c r="R9" s="16">
        <f t="array" ref="R9">COUNTIF($D$4:$D$3339&amp;"|"&amp;$E$4:$E$3339&amp;"|"&amp;$F$4:$F$3339&amp;"|"&amp;$G$4:$G$3339&amp;"|"&amp;$H$4:$H$3339&amp;"|"&amp;$I$4:$I$3339,$L9&amp;"|"&amp;$M9&amp;"|"&amp;$N9&amp;"|"&amp;$O9&amp;"|"&amp;$P9&amp;"|"&amp;$Q9)</f>
        <v>46</v>
      </c>
      <c r="U9" s="4" t="s">
        <v>1298</v>
      </c>
      <c r="V9" s="17"/>
      <c r="W9" s="17"/>
      <c r="X9" s="17"/>
      <c r="Y9" s="17"/>
      <c r="Z9" s="3">
        <f t="array" ref="Z9">SUM((MMULT(--(L5:Q25=10),TRANSPOSE(COLUMN(L5:Q5)^0))&gt;0)*(MMULT(--(L5:Q25=13),TRANSPOSE(COLUMN(L5:Q5)^0))&gt;0)*R5:R25)</f>
        <v>0</v>
      </c>
      <c r="AA9" s="3">
        <f t="array" ref="AA9">SUM((MMULT(--(L5:Q25=10),TRANSPOSE(COLUMN(L5:Q5)^0))&gt;0)*(MMULT(--(L5:Q25=15),TRANSPOSE(COLUMN(L5:Q5)^0))&gt;0)*R5:R25)</f>
        <v>0</v>
      </c>
    </row>
    <row r="10">
      <c r="A10" s="4" t="s">
        <v>11743</v>
      </c>
      <c r="B10" s="13" t="s">
        <v>48</v>
      </c>
      <c r="C10" s="4">
        <v>1.0</v>
      </c>
      <c r="D10" s="4">
        <v>1.0</v>
      </c>
      <c r="E10" s="3"/>
      <c r="F10" s="3"/>
      <c r="G10" s="3"/>
      <c r="H10" s="3"/>
      <c r="I10" s="3"/>
      <c r="L10" s="3"/>
      <c r="M10" s="3"/>
      <c r="N10" s="3">
        <v>9.0</v>
      </c>
      <c r="O10" s="3"/>
      <c r="P10" s="3">
        <v>13.0</v>
      </c>
      <c r="Q10" s="3"/>
      <c r="R10" s="16">
        <f t="array" ref="R10">COUNTIF($D$4:$D$3339&amp;"|"&amp;$E$4:$E$3339&amp;"|"&amp;$F$4:$F$3339&amp;"|"&amp;$G$4:$G$3339&amp;"|"&amp;$H$4:$H$3339&amp;"|"&amp;$I$4:$I$3339,$L10&amp;"|"&amp;$M10&amp;"|"&amp;$N10&amp;"|"&amp;$O10&amp;"|"&amp;$P10&amp;"|"&amp;$Q10)</f>
        <v>12</v>
      </c>
      <c r="U10" s="4" t="s">
        <v>1299</v>
      </c>
      <c r="V10" s="17"/>
      <c r="W10" s="17"/>
      <c r="X10" s="17"/>
      <c r="Y10" s="17"/>
      <c r="Z10" s="17"/>
      <c r="AA10" s="3">
        <f t="array" ref="AA10">SUM((MMULT(--(L5:Q25=13),TRANSPOSE(COLUMN(L5:Q5)^0))&gt;0)*(MMULT(--(L5:Q25=15),TRANSPOSE(COLUMN(L5:Q5)^0))&gt;0)*R5:R25)</f>
        <v>29</v>
      </c>
    </row>
    <row r="11">
      <c r="A11" s="4" t="s">
        <v>11744</v>
      </c>
      <c r="B11" s="13" t="s">
        <v>48</v>
      </c>
      <c r="C11" s="4">
        <v>1.0</v>
      </c>
      <c r="D11" s="4">
        <v>1.0</v>
      </c>
      <c r="E11" s="3"/>
      <c r="F11" s="3"/>
      <c r="G11" s="3"/>
      <c r="H11" s="3"/>
      <c r="I11" s="3"/>
      <c r="L11" s="3"/>
      <c r="M11" s="3">
        <v>2.0</v>
      </c>
      <c r="N11" s="3">
        <v>9.0</v>
      </c>
      <c r="O11" s="3"/>
      <c r="P11" s="3">
        <v>13.0</v>
      </c>
      <c r="Q11" s="3"/>
      <c r="R11" s="16">
        <f t="array" ref="R11">COUNTIF($D$4:$D$3339&amp;"|"&amp;$E$4:$E$3339&amp;"|"&amp;$F$4:$F$3339&amp;"|"&amp;$G$4:$G$3339&amp;"|"&amp;$H$4:$H$3339&amp;"|"&amp;$I$4:$I$3339,$L11&amp;"|"&amp;$M11&amp;"|"&amp;$N11&amp;"|"&amp;$O11&amp;"|"&amp;$P11&amp;"|"&amp;$Q11)</f>
        <v>16</v>
      </c>
      <c r="U11" s="4" t="s">
        <v>1300</v>
      </c>
      <c r="V11" s="17"/>
      <c r="W11" s="17"/>
      <c r="X11" s="17"/>
      <c r="Y11" s="17"/>
      <c r="Z11" s="17"/>
      <c r="AA11" s="17"/>
    </row>
    <row r="12">
      <c r="A12" s="4" t="s">
        <v>11745</v>
      </c>
      <c r="B12" s="13" t="s">
        <v>48</v>
      </c>
      <c r="C12" s="4">
        <v>1.0</v>
      </c>
      <c r="D12" s="4">
        <v>1.0</v>
      </c>
      <c r="E12" s="3"/>
      <c r="F12" s="3"/>
      <c r="G12" s="3"/>
      <c r="H12" s="3"/>
      <c r="I12" s="3"/>
      <c r="J12" s="3"/>
      <c r="L12" s="3">
        <v>1.0</v>
      </c>
      <c r="M12" s="3">
        <v>2.0</v>
      </c>
      <c r="N12" s="3">
        <v>9.0</v>
      </c>
      <c r="O12" s="3"/>
      <c r="P12" s="3">
        <v>13.0</v>
      </c>
      <c r="Q12" s="3">
        <v>15.0</v>
      </c>
      <c r="R12" s="16">
        <f t="array" ref="R12">COUNTIF($D$4:$D$3339&amp;"|"&amp;$E$4:$E$3339&amp;"|"&amp;$F$4:$F$3339&amp;"|"&amp;$G$4:$G$3339&amp;"|"&amp;$H$4:$H$3339&amp;"|"&amp;$I$4:$I$3339,$L12&amp;"|"&amp;$M12&amp;"|"&amp;$N12&amp;"|"&amp;$O12&amp;"|"&amp;$P12&amp;"|"&amp;$Q12)</f>
        <v>7</v>
      </c>
    </row>
    <row r="13">
      <c r="A13" s="4" t="s">
        <v>11746</v>
      </c>
      <c r="B13" s="13" t="s">
        <v>48</v>
      </c>
      <c r="C13" s="4">
        <v>1.0</v>
      </c>
      <c r="D13" s="4">
        <v>1.0</v>
      </c>
      <c r="E13" s="3"/>
      <c r="F13" s="3"/>
      <c r="G13" s="3"/>
      <c r="H13" s="3"/>
      <c r="I13" s="3"/>
      <c r="J13" s="3"/>
      <c r="L13" s="3">
        <v>1.0</v>
      </c>
      <c r="M13" s="3"/>
      <c r="N13" s="3">
        <v>9.0</v>
      </c>
      <c r="O13" s="3"/>
      <c r="P13" s="3">
        <v>13.0</v>
      </c>
      <c r="Q13" s="3">
        <v>15.0</v>
      </c>
      <c r="R13" s="16">
        <f t="array" ref="R13">COUNTIF($D$4:$D$3339&amp;"|"&amp;$E$4:$E$3339&amp;"|"&amp;$F$4:$F$3339&amp;"|"&amp;$G$4:$G$3339&amp;"|"&amp;$H$4:$H$3339&amp;"|"&amp;$I$4:$I$3339,$L13&amp;"|"&amp;$M13&amp;"|"&amp;$N13&amp;"|"&amp;$O13&amp;"|"&amp;$P13&amp;"|"&amp;$Q13)</f>
        <v>4</v>
      </c>
    </row>
    <row r="14">
      <c r="A14" s="4" t="s">
        <v>11747</v>
      </c>
      <c r="B14" s="13" t="s">
        <v>48</v>
      </c>
      <c r="C14" s="4">
        <v>1.0</v>
      </c>
      <c r="D14" s="4">
        <v>1.0</v>
      </c>
      <c r="E14" s="3"/>
      <c r="F14" s="3"/>
      <c r="G14" s="3"/>
      <c r="H14" s="3"/>
      <c r="I14" s="3"/>
      <c r="L14" s="3">
        <v>1.0</v>
      </c>
      <c r="M14" s="3"/>
      <c r="N14" s="3"/>
      <c r="O14" s="3"/>
      <c r="P14" s="3"/>
      <c r="Q14" s="3">
        <v>15.0</v>
      </c>
      <c r="R14" s="16">
        <f t="array" ref="R14">COUNTIF($D$4:$D$3339&amp;"|"&amp;$E$4:$E$3339&amp;"|"&amp;$F$4:$F$3339&amp;"|"&amp;$G$4:$G$3339&amp;"|"&amp;$H$4:$H$3339&amp;"|"&amp;$I$4:$I$3339,$L14&amp;"|"&amp;$M14&amp;"|"&amp;$N14&amp;"|"&amp;$O14&amp;"|"&amp;$P14&amp;"|"&amp;$Q14)</f>
        <v>8</v>
      </c>
    </row>
    <row r="15">
      <c r="A15" s="4" t="s">
        <v>11748</v>
      </c>
      <c r="B15" s="13" t="s">
        <v>48</v>
      </c>
      <c r="C15" s="4">
        <v>1.0</v>
      </c>
      <c r="D15" s="4">
        <v>1.0</v>
      </c>
      <c r="E15" s="3"/>
      <c r="F15" s="3"/>
      <c r="G15" s="3"/>
      <c r="H15" s="3"/>
      <c r="I15" s="3"/>
      <c r="L15" s="3">
        <v>1.0</v>
      </c>
      <c r="M15" s="3"/>
      <c r="N15" s="3"/>
      <c r="O15" s="3"/>
      <c r="P15" s="3">
        <v>13.0</v>
      </c>
      <c r="Q15" s="3">
        <v>15.0</v>
      </c>
      <c r="R15" s="16">
        <f t="array" ref="R15">COUNTIF($D$4:$D$3339&amp;"|"&amp;$E$4:$E$3339&amp;"|"&amp;$F$4:$F$3339&amp;"|"&amp;$G$4:$G$3339&amp;"|"&amp;$H$4:$H$3339&amp;"|"&amp;$I$4:$I$3339,$L15&amp;"|"&amp;$M15&amp;"|"&amp;$N15&amp;"|"&amp;$O15&amp;"|"&amp;$P15&amp;"|"&amp;$Q15)</f>
        <v>4</v>
      </c>
    </row>
    <row r="16">
      <c r="A16" s="4" t="s">
        <v>11749</v>
      </c>
      <c r="B16" s="13" t="s">
        <v>48</v>
      </c>
      <c r="C16" s="4">
        <v>1.0</v>
      </c>
      <c r="D16" s="4">
        <v>1.0</v>
      </c>
      <c r="E16" s="3"/>
      <c r="F16" s="3"/>
      <c r="G16" s="3"/>
      <c r="H16" s="3"/>
      <c r="I16" s="3"/>
      <c r="L16" s="3">
        <v>1.0</v>
      </c>
      <c r="M16" s="3">
        <v>2.0</v>
      </c>
      <c r="N16" s="3"/>
      <c r="O16" s="3"/>
      <c r="P16" s="3">
        <v>13.0</v>
      </c>
      <c r="Q16" s="3">
        <v>15.0</v>
      </c>
      <c r="R16" s="16">
        <f t="array" ref="R16">COUNTIF($D$4:$D$3339&amp;"|"&amp;$E$4:$E$3339&amp;"|"&amp;$F$4:$F$3339&amp;"|"&amp;$G$4:$G$3339&amp;"|"&amp;$H$4:$H$3339&amp;"|"&amp;$I$4:$I$3339,$L16&amp;"|"&amp;$M16&amp;"|"&amp;$N16&amp;"|"&amp;$O16&amp;"|"&amp;$P16&amp;"|"&amp;$Q16)</f>
        <v>2</v>
      </c>
    </row>
    <row r="17">
      <c r="A17" s="4" t="s">
        <v>11750</v>
      </c>
      <c r="B17" s="13" t="s">
        <v>48</v>
      </c>
      <c r="C17" s="4">
        <v>1.0</v>
      </c>
      <c r="D17" s="4">
        <v>1.0</v>
      </c>
      <c r="E17" s="3"/>
      <c r="F17" s="3"/>
      <c r="G17" s="3"/>
      <c r="H17" s="3"/>
      <c r="I17" s="3"/>
      <c r="L17" s="3"/>
      <c r="M17" s="3">
        <v>2.0</v>
      </c>
      <c r="N17" s="3">
        <v>9.0</v>
      </c>
      <c r="O17" s="3"/>
      <c r="P17" s="3">
        <v>13.0</v>
      </c>
      <c r="Q17" s="3">
        <v>15.0</v>
      </c>
      <c r="R17" s="16">
        <f t="array" ref="R17">COUNTIF($D$4:$D$3339&amp;"|"&amp;$E$4:$E$3339&amp;"|"&amp;$F$4:$F$3339&amp;"|"&amp;$G$4:$G$3339&amp;"|"&amp;$H$4:$H$3339&amp;"|"&amp;$I$4:$I$3339,$L17&amp;"|"&amp;$M17&amp;"|"&amp;$N17&amp;"|"&amp;$O17&amp;"|"&amp;$P17&amp;"|"&amp;$Q17)</f>
        <v>9</v>
      </c>
    </row>
    <row r="18">
      <c r="A18" s="4" t="s">
        <v>11751</v>
      </c>
      <c r="B18" s="13" t="s">
        <v>48</v>
      </c>
      <c r="C18" s="4">
        <v>1.0</v>
      </c>
      <c r="D18" s="4">
        <v>1.0</v>
      </c>
      <c r="E18" s="3"/>
      <c r="F18" s="3"/>
      <c r="G18" s="3"/>
      <c r="H18" s="3"/>
      <c r="I18" s="3"/>
      <c r="L18" s="3"/>
      <c r="M18" s="3">
        <v>2.0</v>
      </c>
      <c r="N18" s="3">
        <v>9.0</v>
      </c>
      <c r="O18" s="3"/>
      <c r="P18" s="3"/>
      <c r="Q18" s="3"/>
      <c r="R18" s="16">
        <f t="array" ref="R18">COUNTIF($D$4:$D$3339&amp;"|"&amp;$E$4:$E$3339&amp;"|"&amp;$F$4:$F$3339&amp;"|"&amp;$G$4:$G$3339&amp;"|"&amp;$H$4:$H$3339&amp;"|"&amp;$I$4:$I$3339,$L18&amp;"|"&amp;$M18&amp;"|"&amp;$N18&amp;"|"&amp;$O18&amp;"|"&amp;$P18&amp;"|"&amp;$Q18)</f>
        <v>3</v>
      </c>
    </row>
    <row r="19">
      <c r="A19" s="4" t="s">
        <v>11752</v>
      </c>
      <c r="B19" s="13" t="s">
        <v>48</v>
      </c>
      <c r="C19" s="4">
        <v>1.0</v>
      </c>
      <c r="D19" s="4">
        <v>1.0</v>
      </c>
      <c r="E19" s="3"/>
      <c r="F19" s="3"/>
      <c r="G19" s="3"/>
      <c r="H19" s="3"/>
      <c r="I19" s="3"/>
      <c r="L19" s="3">
        <v>1.0</v>
      </c>
      <c r="M19" s="3"/>
      <c r="N19" s="3"/>
      <c r="O19" s="3"/>
      <c r="P19" s="3">
        <v>13.0</v>
      </c>
      <c r="Q19" s="3"/>
      <c r="R19" s="16">
        <f t="array" ref="R19">COUNTIF($D$4:$D$3339&amp;"|"&amp;$E$4:$E$3339&amp;"|"&amp;$F$4:$F$3339&amp;"|"&amp;$G$4:$G$3339&amp;"|"&amp;$H$4:$H$3339&amp;"|"&amp;$I$4:$I$3339,$L19&amp;"|"&amp;$M19&amp;"|"&amp;$N19&amp;"|"&amp;$O19&amp;"|"&amp;$P19&amp;"|"&amp;$Q19)</f>
        <v>9</v>
      </c>
    </row>
    <row r="20">
      <c r="A20" s="4" t="s">
        <v>11753</v>
      </c>
      <c r="B20" s="13" t="s">
        <v>48</v>
      </c>
      <c r="C20" s="4">
        <v>1.0</v>
      </c>
      <c r="D20" s="4">
        <v>1.0</v>
      </c>
      <c r="E20" s="3"/>
      <c r="F20" s="3"/>
      <c r="G20" s="3"/>
      <c r="H20" s="3"/>
      <c r="I20" s="3"/>
      <c r="J20" s="4" t="s">
        <v>1757</v>
      </c>
      <c r="L20" s="3"/>
      <c r="M20" s="3"/>
      <c r="N20" s="3">
        <v>9.0</v>
      </c>
      <c r="O20" s="3"/>
      <c r="P20" s="3">
        <v>13.0</v>
      </c>
      <c r="Q20" s="3">
        <v>15.0</v>
      </c>
      <c r="R20" s="16">
        <f t="array" ref="R20">COUNTIF($D$4:$D$3339&amp;"|"&amp;$E$4:$E$3339&amp;"|"&amp;$F$4:$F$3339&amp;"|"&amp;$G$4:$G$3339&amp;"|"&amp;$H$4:$H$3339&amp;"|"&amp;$I$4:$I$3339,$L20&amp;"|"&amp;$M20&amp;"|"&amp;$N20&amp;"|"&amp;$O20&amp;"|"&amp;$P20&amp;"|"&amp;$Q20)</f>
        <v>2</v>
      </c>
    </row>
    <row r="21">
      <c r="A21" s="4" t="s">
        <v>11754</v>
      </c>
      <c r="B21" s="13" t="s">
        <v>48</v>
      </c>
      <c r="C21" s="4">
        <v>1.0</v>
      </c>
      <c r="D21" s="4">
        <v>1.0</v>
      </c>
      <c r="E21" s="3"/>
      <c r="F21" s="3"/>
      <c r="G21" s="3"/>
      <c r="H21" s="3"/>
      <c r="I21" s="3"/>
      <c r="J21" s="4" t="s">
        <v>1757</v>
      </c>
      <c r="L21" s="3"/>
      <c r="M21" s="3">
        <v>2.0</v>
      </c>
      <c r="N21" s="3"/>
      <c r="O21" s="3"/>
      <c r="P21" s="3">
        <v>13.0</v>
      </c>
      <c r="Q21" s="3"/>
      <c r="R21" s="16">
        <f t="array" ref="R21">COUNTIF($D$4:$D$3339&amp;"|"&amp;$E$4:$E$3339&amp;"|"&amp;$F$4:$F$3339&amp;"|"&amp;$G$4:$G$3339&amp;"|"&amp;$H$4:$H$3339&amp;"|"&amp;$I$4:$I$3339,$L21&amp;"|"&amp;$M21&amp;"|"&amp;$N21&amp;"|"&amp;$O21&amp;"|"&amp;$P21&amp;"|"&amp;$Q21)</f>
        <v>13</v>
      </c>
    </row>
    <row r="22">
      <c r="A22" s="4" t="s">
        <v>11755</v>
      </c>
      <c r="B22" s="13" t="s">
        <v>48</v>
      </c>
      <c r="C22" s="4">
        <v>1.0</v>
      </c>
      <c r="D22" s="4">
        <v>1.0</v>
      </c>
      <c r="E22" s="3"/>
      <c r="F22" s="3"/>
      <c r="G22" s="3"/>
      <c r="H22" s="3"/>
      <c r="I22" s="3"/>
      <c r="J22" s="4" t="s">
        <v>1757</v>
      </c>
      <c r="L22" s="3"/>
      <c r="M22" s="3"/>
      <c r="N22" s="3">
        <v>9.0</v>
      </c>
      <c r="O22" s="3"/>
      <c r="P22" s="3"/>
      <c r="Q22" s="3">
        <v>15.0</v>
      </c>
      <c r="R22" s="16">
        <f t="array" ref="R22">COUNTIF($D$4:$D$3339&amp;"|"&amp;$E$4:$E$3339&amp;"|"&amp;$F$4:$F$3339&amp;"|"&amp;$G$4:$G$3339&amp;"|"&amp;$H$4:$H$3339&amp;"|"&amp;$I$4:$I$3339,$L22&amp;"|"&amp;$M22&amp;"|"&amp;$N22&amp;"|"&amp;$O22&amp;"|"&amp;$P22&amp;"|"&amp;$Q22)</f>
        <v>3</v>
      </c>
    </row>
    <row r="23">
      <c r="A23" s="4" t="s">
        <v>11756</v>
      </c>
      <c r="B23" s="13" t="s">
        <v>48</v>
      </c>
      <c r="C23" s="4">
        <v>1.0</v>
      </c>
      <c r="D23" s="4">
        <v>1.0</v>
      </c>
      <c r="E23" s="3"/>
      <c r="F23" s="3"/>
      <c r="G23" s="3"/>
      <c r="H23" s="3"/>
      <c r="I23" s="3"/>
      <c r="L23" s="3"/>
      <c r="M23" s="3">
        <v>2.0</v>
      </c>
      <c r="N23" s="3"/>
      <c r="O23" s="3"/>
      <c r="P23" s="3"/>
      <c r="Q23" s="3"/>
      <c r="R23" s="16">
        <f t="array" ref="R23">COUNTIF($D$4:$D$3339&amp;"|"&amp;$E$4:$E$3339&amp;"|"&amp;$F$4:$F$3339&amp;"|"&amp;$G$4:$G$3339&amp;"|"&amp;$H$4:$H$3339&amp;"|"&amp;$I$4:$I$3339,$L23&amp;"|"&amp;$M23&amp;"|"&amp;$N23&amp;"|"&amp;$O23&amp;"|"&amp;$P23&amp;"|"&amp;$Q23)</f>
        <v>52</v>
      </c>
    </row>
    <row r="24">
      <c r="A24" s="4" t="s">
        <v>11757</v>
      </c>
      <c r="B24" s="13" t="s">
        <v>43</v>
      </c>
      <c r="D24" s="3"/>
      <c r="E24" s="3"/>
      <c r="F24" s="3"/>
      <c r="G24" s="3"/>
      <c r="H24" s="3"/>
      <c r="I24" s="3"/>
      <c r="J24" s="4" t="s">
        <v>1757</v>
      </c>
      <c r="L24" s="3"/>
      <c r="M24" s="3"/>
      <c r="N24" s="3"/>
      <c r="O24" s="3"/>
      <c r="P24" s="3">
        <v>13.0</v>
      </c>
      <c r="Q24" s="3">
        <v>15.0</v>
      </c>
      <c r="R24" s="16">
        <f t="array" ref="R24">COUNTIF($D$4:$D$3339&amp;"|"&amp;$E$4:$E$3339&amp;"|"&amp;$F$4:$F$3339&amp;"|"&amp;$G$4:$G$3339&amp;"|"&amp;$H$4:$H$3339&amp;"|"&amp;$I$4:$I$3339,$L24&amp;"|"&amp;$M24&amp;"|"&amp;$N24&amp;"|"&amp;$O24&amp;"|"&amp;$P24&amp;"|"&amp;$Q24)</f>
        <v>1</v>
      </c>
    </row>
    <row r="25">
      <c r="A25" s="4" t="s">
        <v>11758</v>
      </c>
      <c r="B25" s="13" t="s">
        <v>43</v>
      </c>
      <c r="D25" s="3"/>
      <c r="E25" s="3"/>
      <c r="F25" s="3"/>
      <c r="G25" s="3"/>
      <c r="H25" s="3"/>
      <c r="I25" s="3"/>
      <c r="J25" s="4" t="s">
        <v>1757</v>
      </c>
      <c r="L25" s="3">
        <v>1.0</v>
      </c>
      <c r="M25" s="3"/>
      <c r="N25" s="3">
        <v>9.0</v>
      </c>
      <c r="O25" s="3"/>
      <c r="P25" s="3">
        <v>13.0</v>
      </c>
      <c r="Q25" s="3"/>
      <c r="R25" s="16">
        <f t="array" ref="R25">COUNTIF($D$4:$D$3339&amp;"|"&amp;$E$4:$E$3339&amp;"|"&amp;$F$4:$F$3339&amp;"|"&amp;$G$4:$G$3339&amp;"|"&amp;$H$4:$H$3339&amp;"|"&amp;$I$4:$I$3339,$L25&amp;"|"&amp;$M25&amp;"|"&amp;$N25&amp;"|"&amp;$O25&amp;"|"&amp;$P25&amp;"|"&amp;$Q25)</f>
        <v>1</v>
      </c>
    </row>
    <row r="26">
      <c r="A26" s="4" t="s">
        <v>11759</v>
      </c>
      <c r="B26" s="13" t="s">
        <v>43</v>
      </c>
      <c r="D26" s="3"/>
      <c r="E26" s="3"/>
      <c r="F26" s="3"/>
      <c r="G26" s="3"/>
      <c r="H26" s="3"/>
      <c r="I26" s="3"/>
      <c r="J26" s="4" t="s">
        <v>1757</v>
      </c>
      <c r="L26" s="3">
        <v>1.0</v>
      </c>
      <c r="M26" s="3">
        <v>2.0</v>
      </c>
      <c r="N26" s="3">
        <v>9.0</v>
      </c>
      <c r="O26" s="3"/>
      <c r="P26" s="3">
        <v>13.0</v>
      </c>
      <c r="Q26" s="3"/>
      <c r="R26" s="16">
        <f t="array" ref="R26">COUNTIF($D$4:$D$3339&amp;"|"&amp;$E$4:$E$3339&amp;"|"&amp;$F$4:$F$3339&amp;"|"&amp;$G$4:$G$3339&amp;"|"&amp;$H$4:$H$3339&amp;"|"&amp;$I$4:$I$3339,$L26&amp;"|"&amp;$M26&amp;"|"&amp;$N26&amp;"|"&amp;$O26&amp;"|"&amp;$P26&amp;"|"&amp;$Q26)</f>
        <v>1</v>
      </c>
    </row>
    <row r="27">
      <c r="A27" s="4" t="s">
        <v>11760</v>
      </c>
      <c r="B27" s="13" t="s">
        <v>48</v>
      </c>
      <c r="C27" s="4">
        <v>1.0</v>
      </c>
      <c r="D27" s="3"/>
      <c r="E27" s="3"/>
      <c r="F27" s="3"/>
      <c r="G27" s="3"/>
      <c r="H27" s="3"/>
      <c r="I27" s="4">
        <v>15.0</v>
      </c>
      <c r="J27" s="4" t="s">
        <v>1757</v>
      </c>
      <c r="L27" s="3"/>
      <c r="M27" s="3"/>
      <c r="N27" s="3"/>
      <c r="O27" s="3"/>
      <c r="P27" s="3">
        <v>13.0</v>
      </c>
      <c r="Q27" s="3"/>
      <c r="R27" s="16">
        <f t="array" ref="R27">COUNTIF($D$4:$D$3339&amp;"|"&amp;$E$4:$E$3339&amp;"|"&amp;$F$4:$F$3339&amp;"|"&amp;$G$4:$G$3339&amp;"|"&amp;$H$4:$H$3339&amp;"|"&amp;$I$4:$I$3339,$L27&amp;"|"&amp;$M27&amp;"|"&amp;$N27&amp;"|"&amp;$O27&amp;"|"&amp;$P27&amp;"|"&amp;$Q27)</f>
        <v>36</v>
      </c>
    </row>
    <row r="28">
      <c r="A28" s="4" t="s">
        <v>11761</v>
      </c>
      <c r="B28" s="13" t="s">
        <v>48</v>
      </c>
      <c r="C28" s="4">
        <v>1.0</v>
      </c>
      <c r="D28" s="3"/>
      <c r="E28" s="3"/>
      <c r="F28" s="3"/>
      <c r="G28" s="3"/>
      <c r="H28" s="3"/>
      <c r="I28" s="4">
        <v>15.0</v>
      </c>
      <c r="J28" s="4" t="s">
        <v>1757</v>
      </c>
      <c r="L28" s="3"/>
      <c r="M28" s="3">
        <v>2.0</v>
      </c>
      <c r="N28" s="3">
        <v>9.0</v>
      </c>
      <c r="O28" s="3">
        <v>10.0</v>
      </c>
      <c r="P28" s="3">
        <v>13.0</v>
      </c>
      <c r="Q28" s="3"/>
      <c r="R28" s="16">
        <f t="array" ref="R28">COUNTIF($D$4:$D$3339&amp;"|"&amp;$E$4:$E$3339&amp;"|"&amp;$F$4:$F$3339&amp;"|"&amp;$G$4:$G$3339&amp;"|"&amp;$H$4:$H$3339&amp;"|"&amp;$I$4:$I$3339,$L28&amp;"|"&amp;$M28&amp;"|"&amp;$N28&amp;"|"&amp;$O28&amp;"|"&amp;$P28&amp;"|"&amp;$Q28)</f>
        <v>1</v>
      </c>
    </row>
    <row r="29">
      <c r="A29" s="4" t="s">
        <v>11762</v>
      </c>
      <c r="B29" s="13" t="s">
        <v>48</v>
      </c>
      <c r="C29" s="4">
        <v>1.0</v>
      </c>
      <c r="D29" s="3"/>
      <c r="E29" s="3"/>
      <c r="F29" s="3"/>
      <c r="G29" s="3"/>
      <c r="H29" s="3"/>
      <c r="I29" s="4">
        <v>15.0</v>
      </c>
      <c r="J29" s="4" t="s">
        <v>1757</v>
      </c>
      <c r="L29" s="3"/>
      <c r="M29" s="3">
        <v>2.0</v>
      </c>
      <c r="N29" s="3">
        <v>9.0</v>
      </c>
      <c r="O29" s="3">
        <v>10.0</v>
      </c>
      <c r="P29" s="3">
        <v>13.0</v>
      </c>
      <c r="Q29" s="3">
        <v>15.0</v>
      </c>
      <c r="R29" s="16">
        <f t="array" ref="R29">COUNTIF($D$4:$D$3339&amp;"|"&amp;$E$4:$E$3339&amp;"|"&amp;$F$4:$F$3339&amp;"|"&amp;$G$4:$G$3339&amp;"|"&amp;$H$4:$H$3339&amp;"|"&amp;$I$4:$I$3339,$L29&amp;"|"&amp;$M29&amp;"|"&amp;$N29&amp;"|"&amp;$O29&amp;"|"&amp;$P29&amp;"|"&amp;$Q29)</f>
        <v>3</v>
      </c>
    </row>
    <row r="30">
      <c r="A30" s="4" t="s">
        <v>11763</v>
      </c>
      <c r="B30" s="13" t="s">
        <v>48</v>
      </c>
      <c r="C30" s="4">
        <v>1.0</v>
      </c>
      <c r="D30" s="3"/>
      <c r="E30" s="3"/>
      <c r="F30" s="3"/>
      <c r="G30" s="3"/>
      <c r="H30" s="3"/>
      <c r="I30" s="4">
        <v>15.0</v>
      </c>
      <c r="J30" s="4" t="s">
        <v>1757</v>
      </c>
      <c r="R30" s="18">
        <f>SUm(R5:R29)</f>
        <v>366</v>
      </c>
    </row>
    <row r="31">
      <c r="A31" s="4" t="s">
        <v>11764</v>
      </c>
      <c r="B31" s="13" t="s">
        <v>48</v>
      </c>
      <c r="C31" s="4">
        <v>1.0</v>
      </c>
      <c r="D31" s="3"/>
      <c r="E31" s="3"/>
      <c r="F31" s="3"/>
      <c r="G31" s="3"/>
      <c r="H31" s="3"/>
      <c r="I31" s="4">
        <v>15.0</v>
      </c>
      <c r="J31" s="4" t="s">
        <v>1757</v>
      </c>
      <c r="R31" s="3">
        <f>$C$2</f>
        <v>366</v>
      </c>
    </row>
    <row r="32">
      <c r="A32" s="4" t="s">
        <v>11765</v>
      </c>
      <c r="B32" s="13" t="s">
        <v>48</v>
      </c>
      <c r="C32" s="4">
        <v>1.0</v>
      </c>
      <c r="D32" s="3"/>
      <c r="E32" s="3"/>
      <c r="F32" s="3"/>
      <c r="G32" s="3"/>
      <c r="H32" s="3"/>
      <c r="I32" s="4">
        <v>15.0</v>
      </c>
      <c r="J32" s="4" t="s">
        <v>1757</v>
      </c>
    </row>
    <row r="33">
      <c r="A33" s="4" t="s">
        <v>11766</v>
      </c>
      <c r="B33" s="13" t="s">
        <v>48</v>
      </c>
      <c r="C33" s="4">
        <v>1.0</v>
      </c>
      <c r="D33" s="3"/>
      <c r="E33" s="3"/>
      <c r="F33" s="3"/>
      <c r="G33" s="3"/>
      <c r="H33" s="3"/>
      <c r="I33" s="4">
        <v>15.0</v>
      </c>
      <c r="J33" s="4" t="s">
        <v>1757</v>
      </c>
    </row>
    <row r="34">
      <c r="A34" s="4" t="s">
        <v>11767</v>
      </c>
      <c r="B34" s="13" t="s">
        <v>48</v>
      </c>
      <c r="C34" s="4">
        <v>1.0</v>
      </c>
      <c r="D34" s="3"/>
      <c r="E34" s="3"/>
      <c r="F34" s="3"/>
      <c r="G34" s="3"/>
      <c r="H34" s="3"/>
      <c r="I34" s="4">
        <v>15.0</v>
      </c>
      <c r="J34" s="4" t="s">
        <v>1757</v>
      </c>
      <c r="K34" s="4" t="s">
        <v>1757</v>
      </c>
    </row>
    <row r="35">
      <c r="A35" s="4" t="s">
        <v>11768</v>
      </c>
      <c r="B35" s="13" t="s">
        <v>48</v>
      </c>
      <c r="C35" s="4">
        <v>1.0</v>
      </c>
      <c r="D35" s="3"/>
      <c r="E35" s="3"/>
      <c r="F35" s="3"/>
      <c r="G35" s="3"/>
      <c r="H35" s="3"/>
      <c r="I35" s="4">
        <v>15.0</v>
      </c>
      <c r="J35" s="4" t="s">
        <v>1757</v>
      </c>
      <c r="K35" s="4" t="s">
        <v>1757</v>
      </c>
    </row>
    <row r="36">
      <c r="A36" s="4" t="s">
        <v>11769</v>
      </c>
      <c r="B36" s="13" t="s">
        <v>48</v>
      </c>
      <c r="C36" s="4">
        <v>1.0</v>
      </c>
      <c r="D36" s="3"/>
      <c r="E36" s="3"/>
      <c r="F36" s="3"/>
      <c r="G36" s="3"/>
      <c r="H36" s="3"/>
      <c r="I36" s="4">
        <v>15.0</v>
      </c>
      <c r="J36" s="4" t="s">
        <v>1757</v>
      </c>
      <c r="K36" s="4" t="s">
        <v>1757</v>
      </c>
    </row>
    <row r="37">
      <c r="A37" s="4" t="s">
        <v>11770</v>
      </c>
      <c r="B37" s="13" t="s">
        <v>43</v>
      </c>
      <c r="D37" s="3"/>
      <c r="E37" s="3"/>
      <c r="F37" s="3"/>
      <c r="G37" s="3"/>
      <c r="H37" s="3"/>
      <c r="I37" s="3"/>
      <c r="J37" s="4" t="s">
        <v>1757</v>
      </c>
    </row>
    <row r="38">
      <c r="A38" s="4" t="s">
        <v>11771</v>
      </c>
      <c r="B38" s="13" t="s">
        <v>43</v>
      </c>
      <c r="D38" s="3"/>
      <c r="E38" s="3"/>
      <c r="F38" s="3"/>
      <c r="G38" s="3"/>
      <c r="H38" s="3"/>
      <c r="I38" s="3"/>
      <c r="J38" s="4" t="s">
        <v>1757</v>
      </c>
    </row>
    <row r="39">
      <c r="A39" s="4" t="s">
        <v>11772</v>
      </c>
      <c r="B39" s="13" t="s">
        <v>43</v>
      </c>
      <c r="D39" s="3"/>
      <c r="E39" s="3"/>
      <c r="F39" s="3"/>
      <c r="G39" s="3"/>
      <c r="H39" s="3"/>
      <c r="I39" s="3"/>
      <c r="J39" s="4" t="s">
        <v>1757</v>
      </c>
    </row>
    <row r="40">
      <c r="A40" s="4" t="s">
        <v>11773</v>
      </c>
      <c r="B40" s="13" t="s">
        <v>43</v>
      </c>
      <c r="D40" s="3"/>
      <c r="E40" s="3"/>
      <c r="F40" s="3"/>
      <c r="G40" s="3"/>
      <c r="H40" s="3"/>
      <c r="I40" s="3"/>
      <c r="J40" s="4" t="s">
        <v>1757</v>
      </c>
    </row>
    <row r="41">
      <c r="A41" s="4" t="s">
        <v>11774</v>
      </c>
      <c r="B41" s="13" t="s">
        <v>43</v>
      </c>
      <c r="D41" s="3"/>
      <c r="E41" s="3"/>
      <c r="F41" s="3"/>
      <c r="G41" s="3"/>
      <c r="H41" s="3"/>
      <c r="I41" s="3"/>
      <c r="J41" s="4" t="s">
        <v>1757</v>
      </c>
    </row>
    <row r="42">
      <c r="A42" s="4" t="s">
        <v>11775</v>
      </c>
      <c r="B42" s="13" t="s">
        <v>48</v>
      </c>
      <c r="C42" s="4">
        <v>1.0</v>
      </c>
      <c r="D42" s="3"/>
      <c r="E42" s="3"/>
      <c r="F42" s="4">
        <v>9.0</v>
      </c>
      <c r="G42" s="3"/>
      <c r="H42" s="3"/>
      <c r="I42" s="3"/>
      <c r="J42" s="4" t="s">
        <v>1757</v>
      </c>
    </row>
    <row r="43">
      <c r="A43" s="4" t="s">
        <v>11776</v>
      </c>
      <c r="B43" s="13" t="s">
        <v>48</v>
      </c>
      <c r="C43" s="4">
        <v>1.0</v>
      </c>
      <c r="D43" s="3"/>
      <c r="E43" s="3"/>
      <c r="F43" s="4">
        <v>9.0</v>
      </c>
      <c r="G43" s="3"/>
      <c r="H43" s="3"/>
      <c r="I43" s="3"/>
      <c r="J43" s="4" t="s">
        <v>1757</v>
      </c>
    </row>
    <row r="44">
      <c r="A44" s="4" t="s">
        <v>11777</v>
      </c>
      <c r="B44" s="13" t="s">
        <v>48</v>
      </c>
      <c r="C44" s="4">
        <v>1.0</v>
      </c>
      <c r="D44" s="3"/>
      <c r="E44" s="3"/>
      <c r="F44" s="4">
        <v>9.0</v>
      </c>
      <c r="G44" s="3"/>
      <c r="H44" s="3"/>
      <c r="I44" s="3"/>
      <c r="J44" s="4" t="s">
        <v>1757</v>
      </c>
    </row>
    <row r="45">
      <c r="A45" s="4" t="s">
        <v>11778</v>
      </c>
      <c r="B45" s="13" t="s">
        <v>43</v>
      </c>
      <c r="D45" s="3"/>
      <c r="E45" s="3"/>
      <c r="F45" s="3"/>
      <c r="G45" s="3"/>
      <c r="H45" s="3"/>
      <c r="I45" s="3"/>
      <c r="J45" s="4" t="s">
        <v>1757</v>
      </c>
    </row>
    <row r="46">
      <c r="A46" s="4" t="s">
        <v>11779</v>
      </c>
      <c r="B46" s="13" t="s">
        <v>43</v>
      </c>
      <c r="D46" s="3"/>
      <c r="E46" s="3"/>
      <c r="F46" s="3"/>
      <c r="G46" s="3"/>
      <c r="H46" s="3"/>
      <c r="I46" s="3"/>
      <c r="J46" s="4" t="s">
        <v>1757</v>
      </c>
    </row>
    <row r="47">
      <c r="A47" s="4" t="s">
        <v>11780</v>
      </c>
      <c r="B47" s="13" t="s">
        <v>43</v>
      </c>
      <c r="D47" s="3"/>
      <c r="E47" s="3"/>
      <c r="F47" s="3"/>
      <c r="G47" s="3"/>
      <c r="H47" s="3"/>
      <c r="I47" s="3"/>
    </row>
    <row r="48">
      <c r="A48" s="4" t="s">
        <v>11781</v>
      </c>
      <c r="B48" s="13" t="s">
        <v>43</v>
      </c>
      <c r="D48" s="3"/>
      <c r="E48" s="3"/>
      <c r="F48" s="3"/>
      <c r="G48" s="3"/>
      <c r="H48" s="3"/>
      <c r="I48" s="3"/>
    </row>
    <row r="49">
      <c r="A49" s="4" t="s">
        <v>11782</v>
      </c>
      <c r="B49" s="13" t="s">
        <v>43</v>
      </c>
      <c r="D49" s="3"/>
      <c r="E49" s="3"/>
      <c r="F49" s="3"/>
      <c r="G49" s="3"/>
      <c r="H49" s="3"/>
      <c r="I49" s="3"/>
    </row>
    <row r="50">
      <c r="A50" s="4" t="s">
        <v>11783</v>
      </c>
      <c r="B50" s="13" t="s">
        <v>43</v>
      </c>
      <c r="D50" s="3"/>
      <c r="E50" s="3"/>
      <c r="F50" s="3"/>
      <c r="G50" s="3"/>
      <c r="H50" s="3"/>
      <c r="I50" s="3"/>
    </row>
    <row r="51">
      <c r="A51" s="4" t="s">
        <v>11784</v>
      </c>
      <c r="B51" s="13" t="s">
        <v>43</v>
      </c>
      <c r="D51" s="3"/>
      <c r="E51" s="3"/>
      <c r="F51" s="3"/>
      <c r="G51" s="3"/>
      <c r="H51" s="3"/>
      <c r="I51" s="3"/>
    </row>
    <row r="52">
      <c r="A52" s="4" t="s">
        <v>11785</v>
      </c>
      <c r="B52" s="13" t="s">
        <v>43</v>
      </c>
      <c r="D52" s="3"/>
      <c r="E52" s="3"/>
      <c r="F52" s="3"/>
      <c r="G52" s="3"/>
      <c r="H52" s="3"/>
      <c r="I52" s="3"/>
    </row>
    <row r="53">
      <c r="A53" s="4" t="s">
        <v>11786</v>
      </c>
      <c r="B53" s="13" t="s">
        <v>43</v>
      </c>
      <c r="D53" s="3"/>
      <c r="E53" s="3"/>
      <c r="F53" s="3"/>
      <c r="G53" s="3"/>
      <c r="H53" s="3"/>
      <c r="I53" s="3"/>
    </row>
    <row r="54">
      <c r="A54" s="4" t="s">
        <v>11787</v>
      </c>
      <c r="B54" s="13" t="s">
        <v>43</v>
      </c>
      <c r="D54" s="3"/>
      <c r="E54" s="3"/>
      <c r="F54" s="3"/>
      <c r="G54" s="3"/>
      <c r="H54" s="3"/>
      <c r="I54" s="3"/>
    </row>
    <row r="55">
      <c r="A55" s="4" t="s">
        <v>11788</v>
      </c>
      <c r="B55" s="13" t="s">
        <v>48</v>
      </c>
      <c r="C55" s="4">
        <v>1.0</v>
      </c>
      <c r="D55" s="3"/>
      <c r="E55" s="3"/>
      <c r="F55" s="3"/>
      <c r="G55" s="4">
        <v>10.0</v>
      </c>
      <c r="H55" s="3"/>
      <c r="I55" s="3"/>
    </row>
    <row r="56">
      <c r="A56" s="4" t="s">
        <v>11789</v>
      </c>
      <c r="B56" s="13" t="s">
        <v>48</v>
      </c>
      <c r="C56" s="4">
        <v>1.0</v>
      </c>
      <c r="D56" s="3"/>
      <c r="E56" s="3"/>
      <c r="F56" s="3"/>
      <c r="G56" s="4">
        <v>10.0</v>
      </c>
      <c r="H56" s="3"/>
      <c r="I56" s="3"/>
    </row>
    <row r="57">
      <c r="A57" s="4" t="s">
        <v>11790</v>
      </c>
      <c r="B57" s="13" t="s">
        <v>48</v>
      </c>
      <c r="C57" s="4">
        <v>1.0</v>
      </c>
      <c r="D57" s="3"/>
      <c r="E57" s="3"/>
      <c r="F57" s="3"/>
      <c r="G57" s="4">
        <v>10.0</v>
      </c>
      <c r="H57" s="3"/>
      <c r="I57" s="3"/>
    </row>
    <row r="58">
      <c r="A58" s="4" t="s">
        <v>11791</v>
      </c>
      <c r="B58" s="13" t="s">
        <v>48</v>
      </c>
      <c r="C58" s="4">
        <v>1.0</v>
      </c>
      <c r="D58" s="3"/>
      <c r="E58" s="3"/>
      <c r="F58" s="3"/>
      <c r="G58" s="4">
        <v>10.0</v>
      </c>
      <c r="H58" s="3"/>
      <c r="I58" s="3"/>
    </row>
    <row r="59">
      <c r="A59" s="4" t="s">
        <v>11792</v>
      </c>
      <c r="B59" s="13" t="s">
        <v>48</v>
      </c>
      <c r="C59" s="4">
        <v>1.0</v>
      </c>
      <c r="D59" s="3"/>
      <c r="E59" s="3"/>
      <c r="F59" s="3"/>
      <c r="G59" s="4">
        <v>10.0</v>
      </c>
      <c r="H59" s="3"/>
      <c r="I59" s="3"/>
    </row>
    <row r="60">
      <c r="A60" s="4" t="s">
        <v>11793</v>
      </c>
      <c r="B60" s="13" t="s">
        <v>48</v>
      </c>
      <c r="C60" s="4">
        <v>1.0</v>
      </c>
      <c r="D60" s="3"/>
      <c r="E60" s="3"/>
      <c r="F60" s="3"/>
      <c r="G60" s="4">
        <v>10.0</v>
      </c>
      <c r="H60" s="3"/>
      <c r="I60" s="3"/>
    </row>
    <row r="61">
      <c r="A61" s="4" t="s">
        <v>11794</v>
      </c>
      <c r="B61" s="13" t="s">
        <v>48</v>
      </c>
      <c r="C61" s="4">
        <v>1.0</v>
      </c>
      <c r="D61" s="3"/>
      <c r="E61" s="3"/>
      <c r="F61" s="3"/>
      <c r="G61" s="4">
        <v>10.0</v>
      </c>
      <c r="H61" s="3"/>
      <c r="I61" s="3"/>
    </row>
    <row r="62">
      <c r="A62" s="4" t="s">
        <v>11795</v>
      </c>
      <c r="B62" s="13" t="s">
        <v>48</v>
      </c>
      <c r="C62" s="4">
        <v>1.0</v>
      </c>
      <c r="D62" s="3"/>
      <c r="E62" s="3"/>
      <c r="F62" s="3"/>
      <c r="G62" s="4">
        <v>10.0</v>
      </c>
      <c r="H62" s="3"/>
      <c r="I62" s="3"/>
    </row>
    <row r="63">
      <c r="A63" s="4" t="s">
        <v>11796</v>
      </c>
      <c r="B63" s="13" t="s">
        <v>48</v>
      </c>
      <c r="C63" s="4">
        <v>1.0</v>
      </c>
      <c r="D63" s="3"/>
      <c r="E63" s="3"/>
      <c r="F63" s="3"/>
      <c r="G63" s="4">
        <v>10.0</v>
      </c>
      <c r="H63" s="3"/>
      <c r="I63" s="3"/>
    </row>
    <row r="64">
      <c r="A64" s="4" t="s">
        <v>11797</v>
      </c>
      <c r="B64" s="13" t="s">
        <v>48</v>
      </c>
      <c r="C64" s="4">
        <v>1.0</v>
      </c>
      <c r="D64" s="3"/>
      <c r="E64" s="3"/>
      <c r="F64" s="3"/>
      <c r="G64" s="4">
        <v>10.0</v>
      </c>
      <c r="H64" s="3"/>
      <c r="I64" s="3"/>
    </row>
    <row r="65">
      <c r="A65" s="4" t="s">
        <v>11798</v>
      </c>
      <c r="B65" s="13" t="s">
        <v>48</v>
      </c>
      <c r="C65" s="4">
        <v>1.0</v>
      </c>
      <c r="D65" s="3"/>
      <c r="E65" s="3"/>
      <c r="F65" s="3"/>
      <c r="G65" s="4">
        <v>10.0</v>
      </c>
      <c r="H65" s="3"/>
      <c r="I65" s="3"/>
    </row>
    <row r="66">
      <c r="A66" s="4" t="s">
        <v>11799</v>
      </c>
      <c r="B66" s="13" t="s">
        <v>48</v>
      </c>
      <c r="C66" s="4">
        <v>1.0</v>
      </c>
      <c r="D66" s="3"/>
      <c r="E66" s="3"/>
      <c r="F66" s="3"/>
      <c r="G66" s="4">
        <v>10.0</v>
      </c>
      <c r="H66" s="3"/>
      <c r="I66" s="3"/>
      <c r="L66" s="4" t="s">
        <v>1757</v>
      </c>
    </row>
    <row r="67">
      <c r="A67" s="4" t="s">
        <v>11800</v>
      </c>
      <c r="B67" s="19" t="s">
        <v>43</v>
      </c>
      <c r="D67" s="3"/>
      <c r="E67" s="3"/>
      <c r="F67" s="3"/>
      <c r="G67" s="3"/>
      <c r="H67" s="3"/>
      <c r="I67" s="3"/>
      <c r="L67" s="4" t="s">
        <v>1757</v>
      </c>
    </row>
    <row r="68">
      <c r="A68" s="4" t="s">
        <v>11801</v>
      </c>
      <c r="B68" s="19" t="s">
        <v>43</v>
      </c>
      <c r="D68" s="3"/>
      <c r="E68" s="3"/>
      <c r="F68" s="3"/>
      <c r="G68" s="3"/>
      <c r="H68" s="3"/>
      <c r="I68" s="3"/>
    </row>
    <row r="69">
      <c r="A69" s="4" t="s">
        <v>11802</v>
      </c>
      <c r="B69" s="19" t="s">
        <v>43</v>
      </c>
      <c r="D69" s="3"/>
      <c r="E69" s="3"/>
      <c r="F69" s="3"/>
      <c r="G69" s="3"/>
      <c r="H69" s="3"/>
      <c r="I69" s="3"/>
    </row>
    <row r="70">
      <c r="A70" s="4" t="s">
        <v>11803</v>
      </c>
      <c r="B70" s="19" t="s">
        <v>43</v>
      </c>
      <c r="D70" s="3"/>
      <c r="E70" s="3"/>
      <c r="F70" s="3"/>
      <c r="G70" s="3"/>
      <c r="H70" s="3"/>
      <c r="I70" s="3"/>
    </row>
    <row r="71">
      <c r="A71" s="4" t="s">
        <v>11804</v>
      </c>
      <c r="B71" s="19" t="s">
        <v>43</v>
      </c>
      <c r="D71" s="3"/>
      <c r="E71" s="3"/>
      <c r="F71" s="3"/>
      <c r="G71" s="3"/>
      <c r="H71" s="3"/>
      <c r="I71" s="3"/>
    </row>
    <row r="72">
      <c r="A72" s="4" t="s">
        <v>11805</v>
      </c>
      <c r="B72" s="19" t="s">
        <v>43</v>
      </c>
      <c r="D72" s="3"/>
      <c r="E72" s="3"/>
      <c r="F72" s="3"/>
      <c r="G72" s="3"/>
      <c r="H72" s="3"/>
      <c r="I72" s="3"/>
    </row>
    <row r="73">
      <c r="A73" s="4" t="s">
        <v>11806</v>
      </c>
      <c r="B73" s="19" t="s">
        <v>43</v>
      </c>
      <c r="D73" s="3"/>
      <c r="E73" s="3"/>
      <c r="F73" s="3"/>
      <c r="G73" s="3"/>
      <c r="H73" s="3"/>
      <c r="I73" s="3"/>
    </row>
    <row r="74">
      <c r="A74" s="4" t="s">
        <v>11807</v>
      </c>
      <c r="B74" s="19" t="s">
        <v>43</v>
      </c>
      <c r="D74" s="3"/>
      <c r="E74" s="3"/>
      <c r="F74" s="3"/>
      <c r="G74" s="3"/>
      <c r="H74" s="3"/>
      <c r="I74" s="3"/>
    </row>
    <row r="75">
      <c r="A75" s="4" t="s">
        <v>11808</v>
      </c>
      <c r="B75" s="19" t="s">
        <v>43</v>
      </c>
      <c r="D75" s="3"/>
      <c r="E75" s="3"/>
      <c r="F75" s="3"/>
      <c r="G75" s="3"/>
      <c r="H75" s="3"/>
      <c r="I75" s="3"/>
    </row>
    <row r="76">
      <c r="A76" s="4" t="s">
        <v>11809</v>
      </c>
      <c r="B76" s="19" t="s">
        <v>43</v>
      </c>
      <c r="D76" s="3"/>
      <c r="E76" s="3"/>
      <c r="F76" s="3"/>
      <c r="G76" s="3"/>
      <c r="H76" s="3"/>
      <c r="I76" s="3"/>
    </row>
    <row r="77">
      <c r="A77" s="4" t="s">
        <v>11810</v>
      </c>
      <c r="B77" s="19" t="s">
        <v>43</v>
      </c>
      <c r="D77" s="3"/>
      <c r="E77" s="3"/>
      <c r="F77" s="3"/>
      <c r="G77" s="3"/>
      <c r="H77" s="3"/>
      <c r="I77" s="3"/>
    </row>
    <row r="78">
      <c r="A78" s="4" t="s">
        <v>11811</v>
      </c>
      <c r="B78" s="19" t="s">
        <v>43</v>
      </c>
      <c r="D78" s="3"/>
      <c r="E78" s="3"/>
      <c r="F78" s="3"/>
      <c r="G78" s="3"/>
      <c r="H78" s="3"/>
      <c r="I78" s="3"/>
    </row>
    <row r="79">
      <c r="A79" s="4" t="s">
        <v>11812</v>
      </c>
      <c r="B79" s="19" t="s">
        <v>43</v>
      </c>
      <c r="D79" s="3"/>
      <c r="E79" s="3"/>
      <c r="F79" s="3"/>
      <c r="G79" s="3"/>
      <c r="H79" s="3"/>
      <c r="I79" s="3"/>
    </row>
    <row r="80">
      <c r="A80" s="4" t="s">
        <v>11813</v>
      </c>
      <c r="B80" s="19" t="s">
        <v>43</v>
      </c>
      <c r="D80" s="3"/>
      <c r="E80" s="3"/>
      <c r="F80" s="3"/>
      <c r="G80" s="3"/>
      <c r="H80" s="3"/>
      <c r="I80" s="3"/>
    </row>
    <row r="81">
      <c r="A81" s="4" t="s">
        <v>11814</v>
      </c>
      <c r="B81" s="19" t="s">
        <v>43</v>
      </c>
      <c r="D81" s="3"/>
      <c r="E81" s="3"/>
      <c r="F81" s="3"/>
      <c r="G81" s="3"/>
      <c r="H81" s="3"/>
      <c r="I81" s="3"/>
    </row>
    <row r="82">
      <c r="A82" s="4" t="s">
        <v>11815</v>
      </c>
      <c r="B82" s="19" t="s">
        <v>43</v>
      </c>
      <c r="D82" s="3"/>
      <c r="E82" s="3"/>
      <c r="F82" s="3"/>
      <c r="G82" s="3"/>
      <c r="H82" s="3"/>
      <c r="I82" s="3"/>
    </row>
    <row r="83">
      <c r="A83" s="4" t="s">
        <v>11816</v>
      </c>
      <c r="B83" s="19" t="s">
        <v>43</v>
      </c>
      <c r="D83" s="3"/>
      <c r="E83" s="3"/>
      <c r="F83" s="3"/>
      <c r="G83" s="3"/>
      <c r="H83" s="3"/>
      <c r="I83" s="3"/>
    </row>
    <row r="84">
      <c r="A84" s="4" t="s">
        <v>11817</v>
      </c>
      <c r="B84" s="19" t="s">
        <v>43</v>
      </c>
      <c r="D84" s="3"/>
      <c r="E84" s="3"/>
      <c r="F84" s="3"/>
      <c r="G84" s="3"/>
      <c r="H84" s="3"/>
      <c r="I84" s="3"/>
    </row>
    <row r="85">
      <c r="A85" s="4" t="s">
        <v>11818</v>
      </c>
      <c r="B85" s="19" t="s">
        <v>43</v>
      </c>
      <c r="D85" s="3"/>
      <c r="E85" s="3"/>
      <c r="F85" s="3"/>
      <c r="G85" s="3"/>
      <c r="H85" s="3"/>
      <c r="I85" s="3"/>
    </row>
    <row r="86">
      <c r="A86" s="4" t="s">
        <v>11819</v>
      </c>
      <c r="B86" s="19" t="s">
        <v>43</v>
      </c>
      <c r="D86" s="3"/>
      <c r="E86" s="3"/>
      <c r="F86" s="3"/>
      <c r="G86" s="3"/>
      <c r="H86" s="3"/>
      <c r="I86" s="3"/>
    </row>
    <row r="87">
      <c r="A87" s="4" t="s">
        <v>11820</v>
      </c>
      <c r="B87" s="19" t="s">
        <v>43</v>
      </c>
      <c r="D87" s="3"/>
      <c r="E87" s="3"/>
      <c r="F87" s="3"/>
      <c r="G87" s="3"/>
      <c r="H87" s="3"/>
      <c r="I87" s="3"/>
    </row>
    <row r="88">
      <c r="A88" s="4" t="s">
        <v>11821</v>
      </c>
      <c r="B88" s="19" t="s">
        <v>43</v>
      </c>
      <c r="D88" s="3"/>
      <c r="E88" s="3"/>
      <c r="F88" s="3"/>
      <c r="G88" s="3"/>
      <c r="H88" s="3"/>
      <c r="I88" s="3"/>
    </row>
    <row r="89">
      <c r="A89" s="4" t="s">
        <v>11822</v>
      </c>
      <c r="B89" s="19" t="s">
        <v>43</v>
      </c>
      <c r="D89" s="3"/>
      <c r="E89" s="3"/>
      <c r="F89" s="3"/>
      <c r="G89" s="3"/>
      <c r="H89" s="3"/>
      <c r="I89" s="3"/>
    </row>
    <row r="90">
      <c r="A90" s="4" t="s">
        <v>11823</v>
      </c>
      <c r="B90" s="19" t="s">
        <v>43</v>
      </c>
      <c r="D90" s="3"/>
      <c r="E90" s="3"/>
      <c r="F90" s="3"/>
      <c r="G90" s="3"/>
      <c r="H90" s="3"/>
      <c r="I90" s="3"/>
    </row>
    <row r="91">
      <c r="A91" s="4" t="s">
        <v>11824</v>
      </c>
      <c r="B91" s="19" t="s">
        <v>43</v>
      </c>
      <c r="D91" s="3"/>
      <c r="E91" s="3"/>
      <c r="F91" s="3"/>
      <c r="G91" s="3"/>
      <c r="H91" s="3"/>
      <c r="I91" s="3"/>
    </row>
    <row r="92">
      <c r="A92" s="4" t="s">
        <v>11825</v>
      </c>
      <c r="B92" s="19" t="s">
        <v>43</v>
      </c>
      <c r="D92" s="3"/>
      <c r="E92" s="3"/>
      <c r="F92" s="3"/>
      <c r="G92" s="3"/>
      <c r="H92" s="3"/>
      <c r="I92" s="3"/>
    </row>
    <row r="93">
      <c r="A93" s="4" t="s">
        <v>11826</v>
      </c>
      <c r="B93" s="19" t="s">
        <v>43</v>
      </c>
      <c r="D93" s="3"/>
      <c r="E93" s="3"/>
      <c r="F93" s="3"/>
      <c r="G93" s="3"/>
      <c r="H93" s="3"/>
      <c r="I93" s="3"/>
    </row>
    <row r="94">
      <c r="A94" s="4" t="s">
        <v>11827</v>
      </c>
      <c r="B94" s="19" t="s">
        <v>43</v>
      </c>
      <c r="D94" s="3"/>
      <c r="E94" s="3"/>
      <c r="F94" s="3"/>
      <c r="G94" s="3"/>
      <c r="H94" s="3"/>
      <c r="I94" s="3"/>
    </row>
    <row r="95">
      <c r="A95" s="4" t="s">
        <v>11828</v>
      </c>
      <c r="B95" s="19" t="s">
        <v>43</v>
      </c>
      <c r="D95" s="3"/>
      <c r="E95" s="3"/>
      <c r="F95" s="3"/>
      <c r="G95" s="3"/>
      <c r="H95" s="3"/>
      <c r="I95" s="3"/>
    </row>
    <row r="96">
      <c r="A96" s="4" t="s">
        <v>11829</v>
      </c>
      <c r="B96" s="19" t="s">
        <v>43</v>
      </c>
      <c r="D96" s="3"/>
      <c r="E96" s="3"/>
      <c r="F96" s="3"/>
      <c r="G96" s="3"/>
      <c r="H96" s="3"/>
      <c r="I96" s="3"/>
    </row>
    <row r="97">
      <c r="A97" s="4" t="s">
        <v>11830</v>
      </c>
      <c r="B97" s="19" t="s">
        <v>43</v>
      </c>
      <c r="D97" s="3"/>
      <c r="E97" s="3"/>
      <c r="F97" s="3"/>
      <c r="G97" s="3"/>
      <c r="H97" s="3"/>
      <c r="I97" s="3"/>
    </row>
    <row r="98">
      <c r="A98" s="4" t="s">
        <v>11831</v>
      </c>
      <c r="B98" s="19" t="s">
        <v>43</v>
      </c>
      <c r="D98" s="3"/>
      <c r="E98" s="3"/>
      <c r="F98" s="3"/>
      <c r="G98" s="3"/>
      <c r="H98" s="3"/>
      <c r="I98" s="3"/>
    </row>
    <row r="99">
      <c r="A99" s="4" t="s">
        <v>11832</v>
      </c>
      <c r="B99" s="19" t="s">
        <v>43</v>
      </c>
      <c r="D99" s="3"/>
      <c r="E99" s="3"/>
      <c r="F99" s="3"/>
      <c r="G99" s="3"/>
      <c r="H99" s="3"/>
      <c r="I99" s="3"/>
    </row>
    <row r="100">
      <c r="A100" s="4" t="s">
        <v>11833</v>
      </c>
      <c r="B100" s="19" t="s">
        <v>43</v>
      </c>
      <c r="D100" s="3"/>
      <c r="E100" s="3"/>
      <c r="F100" s="3"/>
      <c r="G100" s="3"/>
      <c r="H100" s="3"/>
      <c r="I100" s="3"/>
    </row>
    <row r="101">
      <c r="A101" s="4" t="s">
        <v>11834</v>
      </c>
      <c r="B101" s="19" t="s">
        <v>43</v>
      </c>
      <c r="D101" s="3"/>
      <c r="E101" s="3"/>
      <c r="F101" s="3"/>
      <c r="G101" s="3"/>
      <c r="H101" s="3"/>
      <c r="I101" s="3"/>
    </row>
    <row r="102">
      <c r="A102" s="4" t="s">
        <v>11835</v>
      </c>
      <c r="B102" s="19" t="s">
        <v>43</v>
      </c>
      <c r="D102" s="3"/>
      <c r="E102" s="3"/>
      <c r="F102" s="3"/>
      <c r="G102" s="3"/>
      <c r="H102" s="3"/>
      <c r="I102" s="3"/>
    </row>
    <row r="103">
      <c r="A103" s="4" t="s">
        <v>11836</v>
      </c>
      <c r="B103" s="19" t="s">
        <v>43</v>
      </c>
      <c r="D103" s="3"/>
      <c r="E103" s="3"/>
      <c r="F103" s="3"/>
      <c r="G103" s="3"/>
      <c r="H103" s="3"/>
      <c r="I103" s="3"/>
    </row>
    <row r="104">
      <c r="A104" s="4" t="s">
        <v>11837</v>
      </c>
      <c r="B104" s="19" t="s">
        <v>43</v>
      </c>
      <c r="D104" s="3"/>
      <c r="E104" s="3"/>
      <c r="F104" s="3"/>
      <c r="G104" s="3"/>
      <c r="H104" s="3"/>
      <c r="I104" s="3"/>
    </row>
    <row r="105">
      <c r="A105" s="4" t="s">
        <v>11838</v>
      </c>
      <c r="B105" s="19" t="s">
        <v>43</v>
      </c>
      <c r="D105" s="3"/>
      <c r="E105" s="3"/>
      <c r="F105" s="3"/>
      <c r="G105" s="3"/>
      <c r="H105" s="3"/>
      <c r="I105" s="3"/>
    </row>
    <row r="106">
      <c r="A106" s="4" t="s">
        <v>11839</v>
      </c>
      <c r="B106" s="19" t="s">
        <v>43</v>
      </c>
      <c r="D106" s="3"/>
      <c r="E106" s="3"/>
      <c r="F106" s="3"/>
      <c r="G106" s="3"/>
      <c r="H106" s="3"/>
      <c r="I106" s="3"/>
    </row>
    <row r="107">
      <c r="A107" s="4" t="s">
        <v>11840</v>
      </c>
      <c r="B107" s="19" t="s">
        <v>43</v>
      </c>
      <c r="D107" s="3"/>
      <c r="E107" s="3"/>
      <c r="F107" s="3"/>
      <c r="G107" s="3"/>
      <c r="H107" s="3"/>
      <c r="I107" s="3"/>
    </row>
    <row r="108">
      <c r="A108" s="4" t="s">
        <v>11841</v>
      </c>
      <c r="B108" s="19" t="s">
        <v>43</v>
      </c>
      <c r="D108" s="3"/>
      <c r="E108" s="3"/>
      <c r="F108" s="3"/>
      <c r="G108" s="3"/>
      <c r="H108" s="3"/>
      <c r="I108" s="3"/>
    </row>
    <row r="109">
      <c r="A109" s="4" t="s">
        <v>11842</v>
      </c>
      <c r="B109" s="19" t="s">
        <v>43</v>
      </c>
      <c r="D109" s="3"/>
      <c r="E109" s="3"/>
      <c r="F109" s="3"/>
      <c r="G109" s="3"/>
      <c r="H109" s="3"/>
      <c r="I109" s="3"/>
    </row>
    <row r="110">
      <c r="A110" s="4" t="s">
        <v>11843</v>
      </c>
      <c r="B110" s="19" t="s">
        <v>43</v>
      </c>
      <c r="D110" s="3"/>
      <c r="E110" s="3"/>
      <c r="F110" s="3"/>
      <c r="G110" s="3"/>
      <c r="H110" s="3"/>
      <c r="I110" s="3"/>
    </row>
    <row r="111">
      <c r="A111" s="4" t="s">
        <v>11844</v>
      </c>
      <c r="B111" s="19" t="s">
        <v>43</v>
      </c>
      <c r="D111" s="3"/>
      <c r="E111" s="3"/>
      <c r="F111" s="3"/>
      <c r="G111" s="3"/>
      <c r="H111" s="3"/>
      <c r="I111" s="3"/>
    </row>
    <row r="112">
      <c r="A112" s="4" t="s">
        <v>11845</v>
      </c>
      <c r="B112" s="19" t="s">
        <v>43</v>
      </c>
      <c r="D112" s="3"/>
      <c r="E112" s="3"/>
      <c r="F112" s="3"/>
      <c r="G112" s="3"/>
      <c r="H112" s="3"/>
      <c r="I112" s="3"/>
    </row>
    <row r="113">
      <c r="A113" s="4" t="s">
        <v>11846</v>
      </c>
      <c r="B113" s="19" t="s">
        <v>43</v>
      </c>
      <c r="D113" s="3"/>
      <c r="E113" s="3"/>
      <c r="F113" s="3"/>
      <c r="G113" s="3"/>
      <c r="H113" s="3"/>
      <c r="I113" s="3"/>
    </row>
    <row r="114">
      <c r="A114" s="4" t="s">
        <v>11847</v>
      </c>
      <c r="B114" s="19" t="s">
        <v>43</v>
      </c>
      <c r="D114" s="3"/>
      <c r="E114" s="3"/>
      <c r="F114" s="3"/>
      <c r="G114" s="3"/>
      <c r="H114" s="3"/>
      <c r="I114" s="3"/>
    </row>
    <row r="115">
      <c r="A115" s="4" t="s">
        <v>11848</v>
      </c>
      <c r="B115" s="19" t="s">
        <v>43</v>
      </c>
      <c r="D115" s="3"/>
      <c r="E115" s="3"/>
      <c r="F115" s="3"/>
      <c r="G115" s="3"/>
      <c r="H115" s="3"/>
      <c r="I115" s="3"/>
    </row>
    <row r="116">
      <c r="A116" s="4" t="s">
        <v>11849</v>
      </c>
      <c r="B116" s="19" t="s">
        <v>43</v>
      </c>
      <c r="D116" s="3"/>
      <c r="E116" s="3"/>
      <c r="F116" s="3"/>
      <c r="G116" s="3"/>
      <c r="H116" s="3"/>
      <c r="I116" s="3"/>
    </row>
    <row r="117">
      <c r="A117" s="4" t="s">
        <v>11850</v>
      </c>
      <c r="B117" s="19" t="s">
        <v>43</v>
      </c>
      <c r="D117" s="3"/>
      <c r="E117" s="3"/>
      <c r="F117" s="3"/>
      <c r="G117" s="3"/>
      <c r="H117" s="3"/>
      <c r="I117" s="3"/>
    </row>
    <row r="118">
      <c r="A118" s="4" t="s">
        <v>11851</v>
      </c>
      <c r="B118" s="19" t="s">
        <v>43</v>
      </c>
      <c r="D118" s="3"/>
      <c r="E118" s="3"/>
      <c r="F118" s="3"/>
      <c r="G118" s="3"/>
      <c r="H118" s="3"/>
      <c r="I118" s="3"/>
    </row>
    <row r="119">
      <c r="A119" s="4" t="s">
        <v>11852</v>
      </c>
      <c r="B119" s="19" t="s">
        <v>43</v>
      </c>
      <c r="D119" s="3"/>
      <c r="E119" s="3"/>
      <c r="F119" s="3"/>
      <c r="G119" s="3"/>
      <c r="H119" s="3"/>
      <c r="I119" s="3"/>
    </row>
    <row r="120">
      <c r="A120" s="4" t="s">
        <v>11853</v>
      </c>
      <c r="B120" s="19" t="s">
        <v>43</v>
      </c>
      <c r="D120" s="3"/>
      <c r="E120" s="3"/>
      <c r="F120" s="3"/>
      <c r="G120" s="3"/>
      <c r="H120" s="3"/>
      <c r="I120" s="3"/>
    </row>
    <row r="121">
      <c r="A121" s="4" t="s">
        <v>11854</v>
      </c>
      <c r="B121" s="19" t="s">
        <v>43</v>
      </c>
      <c r="D121" s="3"/>
      <c r="E121" s="3"/>
      <c r="F121" s="3"/>
      <c r="G121" s="3"/>
      <c r="H121" s="3"/>
      <c r="I121" s="3"/>
    </row>
    <row r="122">
      <c r="A122" s="4" t="s">
        <v>11855</v>
      </c>
      <c r="B122" s="19" t="s">
        <v>43</v>
      </c>
      <c r="D122" s="3"/>
      <c r="E122" s="3"/>
      <c r="F122" s="3"/>
      <c r="G122" s="3"/>
      <c r="H122" s="3"/>
      <c r="I122" s="3"/>
    </row>
    <row r="123">
      <c r="A123" s="4" t="s">
        <v>11856</v>
      </c>
      <c r="B123" s="19" t="s">
        <v>43</v>
      </c>
      <c r="D123" s="3"/>
      <c r="E123" s="3"/>
      <c r="F123" s="3"/>
      <c r="G123" s="3"/>
      <c r="H123" s="3"/>
      <c r="I123" s="3"/>
    </row>
    <row r="124">
      <c r="A124" s="4" t="s">
        <v>11857</v>
      </c>
      <c r="B124" s="19" t="s">
        <v>43</v>
      </c>
      <c r="D124" s="3"/>
      <c r="E124" s="3"/>
      <c r="F124" s="3"/>
      <c r="G124" s="3"/>
      <c r="H124" s="3"/>
      <c r="I124" s="3"/>
    </row>
    <row r="125">
      <c r="A125" s="4" t="s">
        <v>11858</v>
      </c>
      <c r="B125" s="19" t="s">
        <v>43</v>
      </c>
      <c r="D125" s="3"/>
      <c r="E125" s="3"/>
      <c r="F125" s="3"/>
      <c r="G125" s="3"/>
      <c r="H125" s="3"/>
      <c r="I125" s="3"/>
    </row>
    <row r="126">
      <c r="A126" s="4" t="s">
        <v>11859</v>
      </c>
      <c r="B126" s="19" t="s">
        <v>43</v>
      </c>
      <c r="D126" s="3"/>
      <c r="E126" s="3"/>
      <c r="F126" s="3"/>
      <c r="G126" s="3"/>
      <c r="H126" s="3"/>
      <c r="I126" s="3"/>
    </row>
    <row r="127">
      <c r="A127" s="4" t="s">
        <v>11860</v>
      </c>
      <c r="B127" s="19" t="s">
        <v>43</v>
      </c>
      <c r="D127" s="3"/>
      <c r="E127" s="3"/>
      <c r="F127" s="3"/>
      <c r="G127" s="3"/>
      <c r="H127" s="3"/>
      <c r="I127" s="3"/>
    </row>
    <row r="128">
      <c r="A128" s="4" t="s">
        <v>11861</v>
      </c>
      <c r="B128" s="19" t="s">
        <v>43</v>
      </c>
      <c r="D128" s="3"/>
      <c r="E128" s="3"/>
      <c r="F128" s="3"/>
      <c r="G128" s="3"/>
      <c r="H128" s="3"/>
      <c r="I128" s="3"/>
    </row>
    <row r="129">
      <c r="A129" s="4" t="s">
        <v>11862</v>
      </c>
      <c r="B129" s="19" t="s">
        <v>43</v>
      </c>
      <c r="D129" s="3"/>
      <c r="E129" s="3"/>
      <c r="F129" s="3"/>
      <c r="G129" s="3"/>
      <c r="H129" s="3"/>
      <c r="I129" s="3"/>
    </row>
    <row r="130">
      <c r="A130" s="4" t="s">
        <v>11863</v>
      </c>
      <c r="B130" s="19" t="s">
        <v>43</v>
      </c>
      <c r="D130" s="3"/>
      <c r="E130" s="3"/>
      <c r="F130" s="3"/>
      <c r="G130" s="3"/>
      <c r="H130" s="3"/>
      <c r="I130" s="3"/>
    </row>
    <row r="131">
      <c r="A131" s="4" t="s">
        <v>11864</v>
      </c>
      <c r="B131" s="19" t="s">
        <v>43</v>
      </c>
      <c r="D131" s="3"/>
      <c r="E131" s="3"/>
      <c r="F131" s="3"/>
      <c r="G131" s="3"/>
      <c r="H131" s="3"/>
      <c r="I131" s="3"/>
    </row>
    <row r="132">
      <c r="A132" s="4" t="s">
        <v>11865</v>
      </c>
      <c r="B132" s="19" t="s">
        <v>43</v>
      </c>
      <c r="D132" s="3"/>
      <c r="E132" s="3"/>
      <c r="F132" s="3"/>
      <c r="G132" s="3"/>
      <c r="H132" s="3"/>
      <c r="I132" s="3"/>
    </row>
    <row r="133">
      <c r="A133" s="4" t="s">
        <v>11866</v>
      </c>
      <c r="B133" s="19" t="s">
        <v>43</v>
      </c>
      <c r="D133" s="3"/>
      <c r="E133" s="3"/>
      <c r="F133" s="3"/>
      <c r="G133" s="3"/>
      <c r="H133" s="3"/>
      <c r="I133" s="3"/>
    </row>
    <row r="134">
      <c r="A134" s="4" t="s">
        <v>11867</v>
      </c>
      <c r="B134" s="19" t="s">
        <v>43</v>
      </c>
      <c r="D134" s="3"/>
      <c r="E134" s="3"/>
      <c r="F134" s="3"/>
      <c r="G134" s="3"/>
      <c r="H134" s="3"/>
      <c r="I134" s="3"/>
    </row>
    <row r="135">
      <c r="A135" s="4" t="s">
        <v>11868</v>
      </c>
      <c r="B135" s="19" t="s">
        <v>43</v>
      </c>
      <c r="D135" s="3"/>
      <c r="E135" s="3"/>
      <c r="F135" s="3"/>
      <c r="G135" s="3"/>
      <c r="H135" s="3"/>
      <c r="I135" s="3"/>
    </row>
    <row r="136">
      <c r="A136" s="4" t="s">
        <v>11869</v>
      </c>
      <c r="B136" s="19" t="s">
        <v>43</v>
      </c>
      <c r="D136" s="3"/>
      <c r="E136" s="3"/>
      <c r="F136" s="3"/>
      <c r="G136" s="3"/>
      <c r="H136" s="3"/>
      <c r="I136" s="3"/>
    </row>
    <row r="137">
      <c r="A137" s="4" t="s">
        <v>11870</v>
      </c>
      <c r="B137" s="19" t="s">
        <v>43</v>
      </c>
      <c r="D137" s="3"/>
      <c r="E137" s="3"/>
      <c r="F137" s="3"/>
      <c r="G137" s="3"/>
      <c r="H137" s="3"/>
      <c r="I137" s="3"/>
    </row>
    <row r="138">
      <c r="A138" s="4" t="s">
        <v>11871</v>
      </c>
      <c r="B138" s="19" t="s">
        <v>43</v>
      </c>
      <c r="D138" s="3"/>
      <c r="E138" s="3"/>
      <c r="F138" s="3"/>
      <c r="G138" s="3"/>
      <c r="H138" s="3"/>
      <c r="I138" s="3"/>
    </row>
    <row r="139">
      <c r="A139" s="4" t="s">
        <v>11872</v>
      </c>
      <c r="B139" s="19" t="s">
        <v>43</v>
      </c>
      <c r="D139" s="3"/>
      <c r="E139" s="3"/>
      <c r="F139" s="3"/>
      <c r="G139" s="3"/>
      <c r="H139" s="3"/>
      <c r="I139" s="3"/>
    </row>
    <row r="140">
      <c r="A140" s="4" t="s">
        <v>11873</v>
      </c>
      <c r="B140" s="19" t="s">
        <v>43</v>
      </c>
      <c r="D140" s="3"/>
      <c r="E140" s="3"/>
      <c r="F140" s="3"/>
      <c r="G140" s="3"/>
      <c r="H140" s="3"/>
      <c r="I140" s="3"/>
    </row>
    <row r="141">
      <c r="A141" s="4" t="s">
        <v>11874</v>
      </c>
      <c r="B141" s="19" t="s">
        <v>43</v>
      </c>
      <c r="D141" s="3"/>
      <c r="E141" s="3"/>
      <c r="F141" s="3"/>
      <c r="G141" s="3"/>
      <c r="H141" s="3"/>
      <c r="I141" s="3"/>
    </row>
    <row r="142">
      <c r="A142" s="4" t="s">
        <v>11875</v>
      </c>
      <c r="B142" s="19" t="s">
        <v>43</v>
      </c>
      <c r="D142" s="3"/>
      <c r="E142" s="3"/>
      <c r="F142" s="3"/>
      <c r="G142" s="3"/>
      <c r="H142" s="3"/>
      <c r="I142" s="3"/>
    </row>
    <row r="143">
      <c r="A143" s="4" t="s">
        <v>11876</v>
      </c>
      <c r="B143" s="19" t="s">
        <v>43</v>
      </c>
      <c r="D143" s="3"/>
      <c r="E143" s="3"/>
      <c r="F143" s="3"/>
      <c r="G143" s="3"/>
      <c r="H143" s="3"/>
      <c r="I143" s="3"/>
    </row>
    <row r="144">
      <c r="A144" s="4" t="s">
        <v>11877</v>
      </c>
      <c r="B144" s="19" t="s">
        <v>43</v>
      </c>
      <c r="D144" s="3"/>
      <c r="E144" s="3"/>
      <c r="F144" s="3"/>
      <c r="G144" s="3"/>
      <c r="H144" s="3"/>
      <c r="I144" s="3"/>
    </row>
    <row r="145">
      <c r="A145" s="4" t="s">
        <v>11878</v>
      </c>
      <c r="B145" s="19" t="s">
        <v>43</v>
      </c>
      <c r="D145" s="3"/>
      <c r="E145" s="3"/>
      <c r="F145" s="3"/>
      <c r="G145" s="3"/>
      <c r="H145" s="3"/>
      <c r="I145" s="3"/>
    </row>
    <row r="146">
      <c r="A146" s="4" t="s">
        <v>11879</v>
      </c>
      <c r="B146" s="13" t="s">
        <v>48</v>
      </c>
      <c r="C146" s="4">
        <v>1.0</v>
      </c>
      <c r="D146" s="3"/>
      <c r="E146" s="3"/>
      <c r="F146" s="3"/>
      <c r="G146" s="4">
        <v>10.0</v>
      </c>
      <c r="H146" s="3"/>
      <c r="I146" s="3"/>
    </row>
    <row r="147">
      <c r="A147" s="4" t="s">
        <v>11880</v>
      </c>
      <c r="B147" s="13" t="s">
        <v>48</v>
      </c>
      <c r="C147" s="4">
        <v>1.0</v>
      </c>
      <c r="D147" s="3"/>
      <c r="E147" s="3"/>
      <c r="F147" s="3"/>
      <c r="G147" s="4">
        <v>10.0</v>
      </c>
      <c r="H147" s="3"/>
      <c r="I147" s="3"/>
    </row>
    <row r="148">
      <c r="A148" s="4" t="s">
        <v>11881</v>
      </c>
      <c r="B148" s="13" t="s">
        <v>48</v>
      </c>
      <c r="C148" s="4">
        <v>1.0</v>
      </c>
      <c r="D148" s="3"/>
      <c r="E148" s="3"/>
      <c r="F148" s="3"/>
      <c r="G148" s="4">
        <v>10.0</v>
      </c>
      <c r="H148" s="3"/>
      <c r="I148" s="3"/>
    </row>
    <row r="149">
      <c r="A149" s="4" t="s">
        <v>11882</v>
      </c>
      <c r="B149" s="13" t="s">
        <v>48</v>
      </c>
      <c r="C149" s="4">
        <v>1.0</v>
      </c>
      <c r="D149" s="3"/>
      <c r="E149" s="3"/>
      <c r="F149" s="3"/>
      <c r="G149" s="4">
        <v>10.0</v>
      </c>
      <c r="H149" s="3"/>
      <c r="I149" s="3"/>
    </row>
    <row r="150">
      <c r="A150" s="4" t="s">
        <v>11883</v>
      </c>
      <c r="B150" s="13" t="s">
        <v>43</v>
      </c>
      <c r="D150" s="3"/>
      <c r="E150" s="3"/>
      <c r="F150" s="3"/>
      <c r="G150" s="3"/>
      <c r="H150" s="3"/>
      <c r="I150" s="3"/>
    </row>
    <row r="151">
      <c r="A151" s="4" t="s">
        <v>11884</v>
      </c>
      <c r="B151" s="13" t="s">
        <v>43</v>
      </c>
      <c r="D151" s="3"/>
      <c r="E151" s="3"/>
      <c r="F151" s="3"/>
      <c r="G151" s="3"/>
      <c r="H151" s="3"/>
      <c r="I151" s="3"/>
    </row>
    <row r="152">
      <c r="A152" s="4" t="s">
        <v>11885</v>
      </c>
      <c r="B152" s="13" t="s">
        <v>43</v>
      </c>
      <c r="D152" s="3"/>
      <c r="E152" s="3"/>
      <c r="F152" s="3"/>
      <c r="G152" s="3"/>
      <c r="H152" s="3"/>
      <c r="I152" s="3"/>
    </row>
    <row r="153">
      <c r="A153" s="4" t="s">
        <v>11886</v>
      </c>
      <c r="B153" s="13" t="s">
        <v>43</v>
      </c>
      <c r="D153" s="3"/>
      <c r="E153" s="3"/>
      <c r="F153" s="3"/>
      <c r="G153" s="3"/>
      <c r="H153" s="3"/>
      <c r="I153" s="3"/>
    </row>
    <row r="154">
      <c r="A154" s="4" t="s">
        <v>11887</v>
      </c>
      <c r="B154" s="13" t="s">
        <v>43</v>
      </c>
      <c r="D154" s="3"/>
      <c r="E154" s="3"/>
      <c r="F154" s="3"/>
      <c r="G154" s="3"/>
      <c r="H154" s="3"/>
      <c r="I154" s="3"/>
    </row>
    <row r="155">
      <c r="A155" s="4" t="s">
        <v>11888</v>
      </c>
      <c r="B155" s="13" t="s">
        <v>43</v>
      </c>
      <c r="D155" s="3"/>
      <c r="E155" s="3"/>
      <c r="F155" s="3"/>
      <c r="G155" s="3"/>
      <c r="H155" s="3"/>
      <c r="I155" s="3"/>
    </row>
    <row r="156">
      <c r="A156" s="4" t="s">
        <v>11889</v>
      </c>
      <c r="B156" s="13" t="s">
        <v>43</v>
      </c>
      <c r="D156" s="3"/>
      <c r="E156" s="3"/>
      <c r="F156" s="3"/>
      <c r="G156" s="3"/>
      <c r="H156" s="3"/>
      <c r="I156" s="3"/>
    </row>
    <row r="157">
      <c r="A157" s="4" t="s">
        <v>11890</v>
      </c>
      <c r="B157" s="13" t="s">
        <v>43</v>
      </c>
      <c r="D157" s="3"/>
      <c r="E157" s="3"/>
      <c r="F157" s="3"/>
      <c r="G157" s="3"/>
      <c r="H157" s="3"/>
      <c r="I157" s="3"/>
    </row>
    <row r="158">
      <c r="A158" s="4" t="s">
        <v>11891</v>
      </c>
      <c r="B158" s="13" t="s">
        <v>43</v>
      </c>
      <c r="D158" s="3"/>
      <c r="E158" s="3"/>
      <c r="F158" s="3"/>
      <c r="G158" s="3"/>
      <c r="H158" s="3"/>
      <c r="I158" s="3"/>
    </row>
    <row r="159">
      <c r="A159" s="4" t="s">
        <v>11892</v>
      </c>
      <c r="B159" s="13" t="s">
        <v>43</v>
      </c>
      <c r="D159" s="3"/>
      <c r="E159" s="3"/>
      <c r="F159" s="3"/>
      <c r="G159" s="3"/>
      <c r="H159" s="3"/>
      <c r="I159" s="3"/>
    </row>
    <row r="160">
      <c r="A160" s="4" t="s">
        <v>11893</v>
      </c>
      <c r="B160" s="13" t="s">
        <v>43</v>
      </c>
      <c r="D160" s="3"/>
      <c r="E160" s="3"/>
      <c r="F160" s="3"/>
      <c r="G160" s="3"/>
      <c r="H160" s="3"/>
      <c r="I160" s="3"/>
    </row>
    <row r="161">
      <c r="A161" s="4" t="s">
        <v>11894</v>
      </c>
      <c r="B161" s="13" t="s">
        <v>43</v>
      </c>
      <c r="D161" s="3"/>
      <c r="E161" s="3"/>
      <c r="F161" s="3"/>
      <c r="G161" s="3"/>
      <c r="H161" s="3"/>
      <c r="I161" s="3"/>
    </row>
    <row r="162">
      <c r="A162" s="4" t="s">
        <v>11895</v>
      </c>
      <c r="B162" s="13" t="s">
        <v>43</v>
      </c>
      <c r="D162" s="3"/>
      <c r="E162" s="3"/>
      <c r="F162" s="3"/>
      <c r="G162" s="3"/>
      <c r="H162" s="3"/>
      <c r="I162" s="3"/>
    </row>
    <row r="163">
      <c r="A163" s="4" t="s">
        <v>11896</v>
      </c>
      <c r="B163" s="13" t="s">
        <v>43</v>
      </c>
      <c r="D163" s="3"/>
      <c r="E163" s="3"/>
      <c r="F163" s="3"/>
      <c r="G163" s="3"/>
      <c r="H163" s="3"/>
      <c r="I163" s="3"/>
    </row>
    <row r="164">
      <c r="A164" s="4" t="s">
        <v>11897</v>
      </c>
      <c r="B164" s="13" t="s">
        <v>43</v>
      </c>
      <c r="D164" s="3"/>
      <c r="E164" s="3"/>
      <c r="F164" s="3"/>
      <c r="G164" s="3"/>
      <c r="H164" s="3"/>
      <c r="I164" s="3"/>
    </row>
    <row r="165">
      <c r="A165" s="4" t="s">
        <v>11898</v>
      </c>
      <c r="B165" s="13" t="s">
        <v>43</v>
      </c>
      <c r="D165" s="3"/>
      <c r="E165" s="3"/>
      <c r="F165" s="3"/>
      <c r="G165" s="3"/>
      <c r="H165" s="3"/>
      <c r="I165" s="3"/>
    </row>
    <row r="166">
      <c r="A166" s="4" t="s">
        <v>11899</v>
      </c>
      <c r="B166" s="13" t="s">
        <v>43</v>
      </c>
      <c r="D166" s="3"/>
      <c r="E166" s="3"/>
      <c r="F166" s="3"/>
      <c r="G166" s="3"/>
      <c r="H166" s="3"/>
      <c r="I166" s="3"/>
    </row>
    <row r="167">
      <c r="A167" s="4" t="s">
        <v>11900</v>
      </c>
      <c r="B167" s="13" t="s">
        <v>43</v>
      </c>
      <c r="D167" s="3"/>
      <c r="E167" s="3"/>
      <c r="F167" s="3"/>
      <c r="G167" s="3"/>
      <c r="H167" s="3"/>
      <c r="I167" s="3"/>
    </row>
    <row r="168">
      <c r="A168" s="4" t="s">
        <v>11901</v>
      </c>
      <c r="B168" s="13" t="s">
        <v>43</v>
      </c>
      <c r="D168" s="3"/>
      <c r="E168" s="3"/>
      <c r="F168" s="3"/>
      <c r="G168" s="3"/>
      <c r="H168" s="3"/>
      <c r="I168" s="3"/>
    </row>
    <row r="169">
      <c r="A169" s="4" t="s">
        <v>11902</v>
      </c>
      <c r="B169" s="13" t="s">
        <v>48</v>
      </c>
      <c r="C169" s="4">
        <v>1.0</v>
      </c>
      <c r="D169" s="3"/>
      <c r="E169" s="3"/>
      <c r="F169" s="3"/>
      <c r="G169" s="4">
        <v>10.0</v>
      </c>
      <c r="H169" s="3"/>
      <c r="I169" s="3"/>
    </row>
    <row r="170">
      <c r="A170" s="4" t="s">
        <v>11903</v>
      </c>
      <c r="B170" s="13" t="s">
        <v>48</v>
      </c>
      <c r="C170" s="4">
        <v>1.0</v>
      </c>
      <c r="D170" s="3"/>
      <c r="E170" s="3"/>
      <c r="F170" s="3"/>
      <c r="G170" s="4">
        <v>10.0</v>
      </c>
      <c r="H170" s="3"/>
      <c r="I170" s="3"/>
    </row>
    <row r="171">
      <c r="A171" s="4" t="s">
        <v>11904</v>
      </c>
      <c r="B171" s="13" t="s">
        <v>48</v>
      </c>
      <c r="C171" s="4">
        <v>1.0</v>
      </c>
      <c r="D171" s="3"/>
      <c r="E171" s="3"/>
      <c r="F171" s="3"/>
      <c r="G171" s="4">
        <v>10.0</v>
      </c>
      <c r="H171" s="3"/>
      <c r="I171" s="3"/>
    </row>
    <row r="172">
      <c r="A172" s="4" t="s">
        <v>11905</v>
      </c>
      <c r="B172" s="13" t="s">
        <v>48</v>
      </c>
      <c r="C172" s="4">
        <v>1.0</v>
      </c>
      <c r="D172" s="3"/>
      <c r="E172" s="3"/>
      <c r="F172" s="3"/>
      <c r="G172" s="4">
        <v>10.0</v>
      </c>
      <c r="H172" s="3"/>
      <c r="I172" s="3"/>
    </row>
    <row r="173">
      <c r="A173" s="4" t="s">
        <v>11906</v>
      </c>
      <c r="B173" s="13" t="s">
        <v>48</v>
      </c>
      <c r="C173" s="4">
        <v>1.0</v>
      </c>
      <c r="D173" s="3"/>
      <c r="E173" s="3"/>
      <c r="F173" s="3"/>
      <c r="G173" s="4">
        <v>10.0</v>
      </c>
      <c r="H173" s="3"/>
      <c r="I173" s="3"/>
    </row>
    <row r="174">
      <c r="A174" s="4" t="s">
        <v>11907</v>
      </c>
      <c r="B174" s="13" t="s">
        <v>48</v>
      </c>
      <c r="C174" s="4">
        <v>1.0</v>
      </c>
      <c r="D174" s="3"/>
      <c r="E174" s="3"/>
      <c r="F174" s="3"/>
      <c r="G174" s="4">
        <v>10.0</v>
      </c>
      <c r="H174" s="3"/>
      <c r="I174" s="3"/>
    </row>
    <row r="175">
      <c r="A175" s="4" t="s">
        <v>11908</v>
      </c>
      <c r="B175" s="13" t="s">
        <v>48</v>
      </c>
      <c r="C175" s="4">
        <v>1.0</v>
      </c>
      <c r="D175" s="3"/>
      <c r="E175" s="3"/>
      <c r="F175" s="3"/>
      <c r="G175" s="4">
        <v>10.0</v>
      </c>
      <c r="H175" s="3"/>
      <c r="I175" s="3"/>
    </row>
    <row r="176">
      <c r="A176" s="4" t="s">
        <v>11909</v>
      </c>
      <c r="B176" s="13" t="s">
        <v>48</v>
      </c>
      <c r="C176" s="4">
        <v>1.0</v>
      </c>
      <c r="D176" s="3"/>
      <c r="E176" s="3"/>
      <c r="F176" s="3"/>
      <c r="G176" s="4">
        <v>10.0</v>
      </c>
      <c r="H176" s="3"/>
      <c r="I176" s="3"/>
    </row>
    <row r="177">
      <c r="A177" s="4" t="s">
        <v>11910</v>
      </c>
      <c r="B177" s="13" t="s">
        <v>48</v>
      </c>
      <c r="C177" s="4">
        <v>1.0</v>
      </c>
      <c r="D177" s="3"/>
      <c r="E177" s="3"/>
      <c r="F177" s="3"/>
      <c r="G177" s="4">
        <v>10.0</v>
      </c>
      <c r="H177" s="3"/>
      <c r="I177" s="3"/>
    </row>
    <row r="178">
      <c r="A178" s="4" t="s">
        <v>11911</v>
      </c>
      <c r="B178" s="13" t="s">
        <v>48</v>
      </c>
      <c r="C178" s="4">
        <v>1.0</v>
      </c>
      <c r="D178" s="3"/>
      <c r="E178" s="3"/>
      <c r="F178" s="3"/>
      <c r="G178" s="4">
        <v>10.0</v>
      </c>
      <c r="H178" s="3"/>
      <c r="I178" s="3"/>
    </row>
    <row r="179">
      <c r="A179" s="4" t="s">
        <v>11912</v>
      </c>
      <c r="B179" s="13" t="s">
        <v>48</v>
      </c>
      <c r="C179" s="4">
        <v>1.0</v>
      </c>
      <c r="D179" s="3"/>
      <c r="E179" s="3"/>
      <c r="F179" s="3"/>
      <c r="G179" s="4">
        <v>10.0</v>
      </c>
      <c r="H179" s="3"/>
      <c r="I179" s="3"/>
    </row>
    <row r="180">
      <c r="A180" s="4" t="s">
        <v>11913</v>
      </c>
      <c r="B180" s="13" t="s">
        <v>43</v>
      </c>
      <c r="D180" s="3"/>
      <c r="E180" s="3"/>
      <c r="F180" s="3"/>
      <c r="G180" s="3"/>
      <c r="H180" s="3"/>
      <c r="I180" s="3"/>
    </row>
    <row r="181">
      <c r="A181" s="4" t="s">
        <v>11914</v>
      </c>
      <c r="B181" s="13" t="s">
        <v>43</v>
      </c>
      <c r="D181" s="3"/>
      <c r="E181" s="3"/>
      <c r="F181" s="3"/>
      <c r="G181" s="3"/>
      <c r="H181" s="3"/>
      <c r="I181" s="3"/>
    </row>
    <row r="182">
      <c r="A182" s="4" t="s">
        <v>11915</v>
      </c>
      <c r="B182" s="13" t="s">
        <v>43</v>
      </c>
      <c r="D182" s="3"/>
      <c r="E182" s="3"/>
      <c r="F182" s="3"/>
      <c r="G182" s="3"/>
      <c r="H182" s="3"/>
      <c r="I182" s="3"/>
    </row>
    <row r="183">
      <c r="A183" s="4" t="s">
        <v>11916</v>
      </c>
      <c r="B183" s="13" t="s">
        <v>43</v>
      </c>
      <c r="D183" s="3"/>
      <c r="E183" s="3"/>
      <c r="F183" s="3"/>
      <c r="G183" s="3"/>
      <c r="H183" s="3"/>
      <c r="I183" s="3"/>
    </row>
    <row r="184">
      <c r="A184" s="4" t="s">
        <v>11917</v>
      </c>
      <c r="B184" s="13" t="s">
        <v>43</v>
      </c>
      <c r="D184" s="3"/>
      <c r="E184" s="3"/>
      <c r="F184" s="3"/>
      <c r="G184" s="3"/>
      <c r="H184" s="3"/>
      <c r="I184" s="3"/>
    </row>
    <row r="185">
      <c r="A185" s="4" t="s">
        <v>11918</v>
      </c>
      <c r="B185" s="13" t="s">
        <v>43</v>
      </c>
      <c r="D185" s="3"/>
      <c r="E185" s="3"/>
      <c r="F185" s="3"/>
      <c r="G185" s="3"/>
      <c r="H185" s="3"/>
      <c r="I185" s="3"/>
    </row>
    <row r="186">
      <c r="A186" s="4" t="s">
        <v>11919</v>
      </c>
      <c r="B186" s="13" t="s">
        <v>43</v>
      </c>
      <c r="D186" s="3"/>
      <c r="E186" s="3"/>
      <c r="F186" s="3"/>
      <c r="G186" s="3"/>
      <c r="H186" s="3"/>
      <c r="I186" s="3"/>
    </row>
    <row r="187">
      <c r="A187" s="4" t="s">
        <v>11920</v>
      </c>
      <c r="B187" s="13" t="s">
        <v>43</v>
      </c>
      <c r="D187" s="3"/>
      <c r="E187" s="3"/>
      <c r="F187" s="3"/>
      <c r="G187" s="3"/>
      <c r="H187" s="3"/>
      <c r="I187" s="3"/>
    </row>
    <row r="188">
      <c r="A188" s="4" t="s">
        <v>11921</v>
      </c>
      <c r="B188" s="13" t="s">
        <v>43</v>
      </c>
      <c r="D188" s="3"/>
      <c r="E188" s="3"/>
      <c r="F188" s="3"/>
      <c r="G188" s="3"/>
      <c r="H188" s="3"/>
      <c r="I188" s="3"/>
    </row>
    <row r="189">
      <c r="A189" s="4" t="s">
        <v>11922</v>
      </c>
      <c r="B189" s="13" t="s">
        <v>43</v>
      </c>
      <c r="D189" s="3"/>
      <c r="E189" s="3"/>
      <c r="F189" s="3"/>
      <c r="G189" s="3"/>
      <c r="H189" s="3"/>
      <c r="I189" s="3"/>
    </row>
    <row r="190">
      <c r="A190" s="4" t="s">
        <v>11923</v>
      </c>
      <c r="B190" s="13" t="s">
        <v>43</v>
      </c>
      <c r="D190" s="3"/>
      <c r="E190" s="3"/>
      <c r="F190" s="3"/>
      <c r="G190" s="3"/>
      <c r="H190" s="3"/>
      <c r="I190" s="3"/>
    </row>
    <row r="191">
      <c r="A191" s="4" t="s">
        <v>11924</v>
      </c>
      <c r="B191" s="13" t="s">
        <v>43</v>
      </c>
      <c r="D191" s="3"/>
      <c r="E191" s="3"/>
      <c r="F191" s="3"/>
      <c r="G191" s="3"/>
      <c r="H191" s="3"/>
      <c r="I191" s="3"/>
    </row>
    <row r="192">
      <c r="A192" s="4" t="s">
        <v>11925</v>
      </c>
      <c r="B192" s="13" t="s">
        <v>43</v>
      </c>
      <c r="D192" s="3"/>
      <c r="E192" s="3"/>
      <c r="F192" s="3"/>
      <c r="G192" s="3"/>
      <c r="H192" s="3"/>
      <c r="I192" s="3"/>
    </row>
    <row r="193">
      <c r="A193" s="4" t="s">
        <v>11926</v>
      </c>
      <c r="B193" s="13" t="s">
        <v>43</v>
      </c>
      <c r="D193" s="3"/>
      <c r="E193" s="3"/>
      <c r="F193" s="3"/>
      <c r="G193" s="3"/>
      <c r="H193" s="3"/>
      <c r="I193" s="3"/>
    </row>
    <row r="194">
      <c r="A194" s="4" t="s">
        <v>11927</v>
      </c>
      <c r="B194" s="13" t="s">
        <v>48</v>
      </c>
      <c r="C194" s="4">
        <v>1.0</v>
      </c>
      <c r="D194" s="3"/>
      <c r="E194" s="3"/>
      <c r="F194" s="3"/>
      <c r="G194" s="4">
        <v>10.0</v>
      </c>
      <c r="H194" s="3"/>
      <c r="I194" s="3"/>
    </row>
    <row r="195">
      <c r="A195" s="4" t="s">
        <v>11928</v>
      </c>
      <c r="B195" s="13" t="s">
        <v>48</v>
      </c>
      <c r="C195" s="4">
        <v>1.0</v>
      </c>
      <c r="D195" s="3"/>
      <c r="E195" s="3"/>
      <c r="F195" s="3"/>
      <c r="G195" s="4">
        <v>10.0</v>
      </c>
      <c r="H195" s="3"/>
      <c r="I195" s="3"/>
    </row>
    <row r="196">
      <c r="A196" s="4" t="s">
        <v>11929</v>
      </c>
      <c r="B196" s="13" t="s">
        <v>48</v>
      </c>
      <c r="C196" s="4">
        <v>1.0</v>
      </c>
      <c r="D196" s="3"/>
      <c r="E196" s="3"/>
      <c r="F196" s="3"/>
      <c r="G196" s="4">
        <v>10.0</v>
      </c>
      <c r="H196" s="3"/>
      <c r="I196" s="3"/>
    </row>
    <row r="197">
      <c r="A197" s="4" t="s">
        <v>11930</v>
      </c>
      <c r="B197" s="13" t="s">
        <v>48</v>
      </c>
      <c r="C197" s="4">
        <v>1.0</v>
      </c>
      <c r="D197" s="3"/>
      <c r="E197" s="3"/>
      <c r="F197" s="3"/>
      <c r="G197" s="4">
        <v>10.0</v>
      </c>
      <c r="H197" s="3"/>
      <c r="I197" s="3"/>
    </row>
    <row r="198">
      <c r="A198" s="4" t="s">
        <v>11931</v>
      </c>
      <c r="B198" s="13" t="s">
        <v>48</v>
      </c>
      <c r="C198" s="4">
        <v>1.0</v>
      </c>
      <c r="D198" s="3"/>
      <c r="E198" s="3"/>
      <c r="F198" s="3"/>
      <c r="G198" s="4">
        <v>10.0</v>
      </c>
      <c r="H198" s="3"/>
      <c r="I198" s="3"/>
    </row>
    <row r="199">
      <c r="A199" s="4" t="s">
        <v>11932</v>
      </c>
      <c r="B199" s="13" t="s">
        <v>48</v>
      </c>
      <c r="C199" s="4">
        <v>1.0</v>
      </c>
      <c r="D199" s="3"/>
      <c r="E199" s="3"/>
      <c r="F199" s="3"/>
      <c r="G199" s="4">
        <v>10.0</v>
      </c>
      <c r="H199" s="3"/>
      <c r="I199" s="3"/>
    </row>
    <row r="200">
      <c r="A200" s="4" t="s">
        <v>11933</v>
      </c>
      <c r="B200" s="13" t="s">
        <v>43</v>
      </c>
      <c r="D200" s="3"/>
      <c r="E200" s="3"/>
      <c r="F200" s="3"/>
      <c r="G200" s="3"/>
      <c r="H200" s="3"/>
      <c r="I200" s="3"/>
    </row>
    <row r="201">
      <c r="A201" s="4" t="s">
        <v>11934</v>
      </c>
      <c r="B201" s="13" t="s">
        <v>43</v>
      </c>
      <c r="D201" s="3"/>
      <c r="E201" s="3"/>
      <c r="F201" s="3"/>
      <c r="G201" s="3"/>
      <c r="H201" s="3"/>
      <c r="I201" s="3"/>
    </row>
    <row r="202">
      <c r="A202" s="4" t="s">
        <v>11935</v>
      </c>
      <c r="B202" s="13" t="s">
        <v>43</v>
      </c>
      <c r="D202" s="3"/>
      <c r="E202" s="3"/>
      <c r="F202" s="3"/>
      <c r="G202" s="3"/>
      <c r="H202" s="3"/>
      <c r="I202" s="3"/>
    </row>
    <row r="203">
      <c r="A203" s="4" t="s">
        <v>11936</v>
      </c>
      <c r="B203" s="13" t="s">
        <v>43</v>
      </c>
      <c r="D203" s="3"/>
      <c r="E203" s="3"/>
      <c r="F203" s="3"/>
      <c r="G203" s="3"/>
      <c r="H203" s="3"/>
      <c r="I203" s="3"/>
    </row>
    <row r="204">
      <c r="A204" s="4" t="s">
        <v>11937</v>
      </c>
      <c r="B204" s="13" t="s">
        <v>43</v>
      </c>
      <c r="D204" s="3"/>
      <c r="E204" s="3"/>
      <c r="F204" s="3"/>
      <c r="G204" s="3"/>
      <c r="H204" s="3"/>
      <c r="I204" s="3"/>
    </row>
    <row r="205">
      <c r="A205" s="4" t="s">
        <v>11938</v>
      </c>
      <c r="B205" s="13" t="s">
        <v>43</v>
      </c>
      <c r="D205" s="3"/>
      <c r="E205" s="3"/>
      <c r="F205" s="3"/>
      <c r="G205" s="3"/>
      <c r="H205" s="3"/>
      <c r="I205" s="3"/>
    </row>
    <row r="206">
      <c r="A206" s="4" t="s">
        <v>11939</v>
      </c>
      <c r="B206" s="13" t="s">
        <v>43</v>
      </c>
      <c r="D206" s="3"/>
      <c r="E206" s="3"/>
      <c r="F206" s="3"/>
      <c r="G206" s="3"/>
      <c r="H206" s="3"/>
      <c r="I206" s="3"/>
    </row>
    <row r="207">
      <c r="A207" s="4" t="s">
        <v>11940</v>
      </c>
      <c r="B207" s="13" t="s">
        <v>48</v>
      </c>
      <c r="C207" s="4">
        <v>1.0</v>
      </c>
      <c r="D207" s="3"/>
      <c r="E207" s="3"/>
      <c r="F207" s="3"/>
      <c r="G207" s="4">
        <v>10.0</v>
      </c>
      <c r="H207" s="3"/>
      <c r="I207" s="3"/>
    </row>
    <row r="208">
      <c r="A208" s="4" t="s">
        <v>11941</v>
      </c>
      <c r="B208" s="13" t="s">
        <v>48</v>
      </c>
      <c r="C208" s="4">
        <v>1.0</v>
      </c>
      <c r="D208" s="3"/>
      <c r="E208" s="3"/>
      <c r="F208" s="3"/>
      <c r="G208" s="4">
        <v>10.0</v>
      </c>
      <c r="H208" s="3"/>
      <c r="I208" s="3"/>
    </row>
    <row r="209">
      <c r="A209" s="4" t="s">
        <v>11942</v>
      </c>
      <c r="B209" s="13" t="s">
        <v>43</v>
      </c>
      <c r="D209" s="3"/>
      <c r="E209" s="3"/>
      <c r="F209" s="3"/>
      <c r="G209" s="3"/>
      <c r="H209" s="3"/>
      <c r="I209" s="3"/>
    </row>
    <row r="210">
      <c r="A210" s="4" t="s">
        <v>11943</v>
      </c>
      <c r="B210" s="13" t="s">
        <v>43</v>
      </c>
      <c r="D210" s="3"/>
      <c r="E210" s="3"/>
      <c r="F210" s="3"/>
      <c r="G210" s="3"/>
      <c r="H210" s="3"/>
      <c r="I210" s="3"/>
    </row>
    <row r="211">
      <c r="A211" s="4" t="s">
        <v>11944</v>
      </c>
      <c r="B211" s="13" t="s">
        <v>48</v>
      </c>
      <c r="C211" s="4">
        <v>2.0</v>
      </c>
      <c r="D211" s="3"/>
      <c r="E211" s="3"/>
      <c r="F211" s="4">
        <v>9.0</v>
      </c>
      <c r="G211" s="3"/>
      <c r="H211" s="4">
        <v>13.0</v>
      </c>
      <c r="I211" s="3"/>
    </row>
    <row r="212">
      <c r="A212" s="4" t="s">
        <v>11945</v>
      </c>
      <c r="B212" s="13" t="s">
        <v>48</v>
      </c>
      <c r="C212" s="4">
        <v>3.0</v>
      </c>
      <c r="D212" s="3"/>
      <c r="E212" s="4">
        <v>2.0</v>
      </c>
      <c r="F212" s="4">
        <v>9.0</v>
      </c>
      <c r="G212" s="3"/>
      <c r="H212" s="4">
        <v>13.0</v>
      </c>
      <c r="I212" s="3"/>
      <c r="J212" s="4" t="s">
        <v>1757</v>
      </c>
      <c r="K212" s="4" t="s">
        <v>1757</v>
      </c>
    </row>
    <row r="213">
      <c r="A213" s="4" t="s">
        <v>11946</v>
      </c>
      <c r="B213" s="13" t="s">
        <v>48</v>
      </c>
      <c r="C213" s="4">
        <v>5.0</v>
      </c>
      <c r="D213" s="4">
        <v>1.0</v>
      </c>
      <c r="E213" s="4">
        <v>2.0</v>
      </c>
      <c r="F213" s="4">
        <v>9.0</v>
      </c>
      <c r="G213" s="3"/>
      <c r="H213" s="4">
        <v>13.0</v>
      </c>
      <c r="I213" s="4">
        <v>15.0</v>
      </c>
      <c r="J213" s="4" t="s">
        <v>1757</v>
      </c>
      <c r="K213" s="4" t="s">
        <v>1757</v>
      </c>
    </row>
    <row r="214">
      <c r="A214" s="4" t="s">
        <v>11947</v>
      </c>
      <c r="B214" s="13" t="s">
        <v>48</v>
      </c>
      <c r="C214" s="4">
        <v>4.0</v>
      </c>
      <c r="D214" s="4">
        <v>1.0</v>
      </c>
      <c r="E214" s="3"/>
      <c r="F214" s="4">
        <v>9.0</v>
      </c>
      <c r="G214" s="3"/>
      <c r="H214" s="4">
        <v>13.0</v>
      </c>
      <c r="I214" s="4">
        <v>15.0</v>
      </c>
      <c r="J214" s="4" t="s">
        <v>1757</v>
      </c>
      <c r="K214" s="4" t="s">
        <v>1757</v>
      </c>
    </row>
    <row r="215">
      <c r="A215" s="4" t="s">
        <v>11948</v>
      </c>
      <c r="B215" s="13" t="s">
        <v>48</v>
      </c>
      <c r="C215" s="4">
        <v>2.0</v>
      </c>
      <c r="D215" s="4">
        <v>1.0</v>
      </c>
      <c r="E215" s="3"/>
      <c r="F215" s="3"/>
      <c r="G215" s="3"/>
      <c r="H215" s="3"/>
      <c r="I215" s="4">
        <v>15.0</v>
      </c>
      <c r="J215" s="4" t="s">
        <v>1757</v>
      </c>
      <c r="K215" s="4" t="s">
        <v>1757</v>
      </c>
    </row>
    <row r="216">
      <c r="A216" s="4" t="s">
        <v>11949</v>
      </c>
      <c r="B216" s="13" t="s">
        <v>43</v>
      </c>
      <c r="D216" s="3"/>
      <c r="E216" s="3"/>
      <c r="F216" s="3"/>
      <c r="G216" s="3"/>
      <c r="H216" s="3"/>
      <c r="I216" s="3"/>
    </row>
    <row r="217">
      <c r="A217" s="4" t="s">
        <v>11950</v>
      </c>
      <c r="B217" s="13" t="s">
        <v>43</v>
      </c>
      <c r="D217" s="3"/>
      <c r="E217" s="3"/>
      <c r="F217" s="3"/>
      <c r="G217" s="3"/>
      <c r="H217" s="3"/>
      <c r="I217" s="3"/>
    </row>
    <row r="218">
      <c r="A218" s="4" t="s">
        <v>11951</v>
      </c>
      <c r="B218" s="13" t="s">
        <v>43</v>
      </c>
      <c r="D218" s="3"/>
      <c r="E218" s="3"/>
      <c r="F218" s="3"/>
      <c r="G218" s="3"/>
      <c r="H218" s="3"/>
      <c r="I218" s="3"/>
    </row>
    <row r="219">
      <c r="A219" s="4" t="s">
        <v>11952</v>
      </c>
      <c r="B219" s="13" t="s">
        <v>48</v>
      </c>
      <c r="C219" s="4">
        <v>1.0</v>
      </c>
      <c r="D219" s="3"/>
      <c r="E219" s="3"/>
      <c r="F219" s="3"/>
      <c r="G219" s="4">
        <v>10.0</v>
      </c>
      <c r="H219" s="3"/>
      <c r="I219" s="3"/>
    </row>
    <row r="220">
      <c r="A220" s="4" t="s">
        <v>11953</v>
      </c>
      <c r="B220" s="13" t="s">
        <v>48</v>
      </c>
      <c r="C220" s="4">
        <v>1.0</v>
      </c>
      <c r="D220" s="3"/>
      <c r="E220" s="3"/>
      <c r="F220" s="3"/>
      <c r="G220" s="4">
        <v>10.0</v>
      </c>
      <c r="H220" s="3"/>
      <c r="I220" s="3"/>
    </row>
    <row r="221">
      <c r="A221" s="4" t="s">
        <v>11954</v>
      </c>
      <c r="B221" s="13" t="s">
        <v>48</v>
      </c>
      <c r="C221" s="4">
        <v>1.0</v>
      </c>
      <c r="D221" s="3"/>
      <c r="E221" s="3"/>
      <c r="F221" s="3"/>
      <c r="G221" s="4">
        <v>10.0</v>
      </c>
      <c r="H221" s="3"/>
      <c r="I221" s="3"/>
    </row>
    <row r="222">
      <c r="A222" s="4" t="s">
        <v>11955</v>
      </c>
      <c r="B222" s="13" t="s">
        <v>48</v>
      </c>
      <c r="C222" s="4">
        <v>1.0</v>
      </c>
      <c r="D222" s="3"/>
      <c r="E222" s="3"/>
      <c r="F222" s="3"/>
      <c r="G222" s="4">
        <v>10.0</v>
      </c>
      <c r="H222" s="3"/>
      <c r="I222" s="3"/>
    </row>
    <row r="223">
      <c r="A223" s="4" t="s">
        <v>11956</v>
      </c>
      <c r="B223" s="13" t="s">
        <v>48</v>
      </c>
      <c r="C223" s="4">
        <v>1.0</v>
      </c>
      <c r="D223" s="3"/>
      <c r="E223" s="3"/>
      <c r="F223" s="3"/>
      <c r="G223" s="4">
        <v>10.0</v>
      </c>
      <c r="H223" s="3"/>
      <c r="I223" s="3"/>
    </row>
    <row r="224">
      <c r="A224" s="4" t="s">
        <v>11957</v>
      </c>
      <c r="B224" s="13" t="s">
        <v>48</v>
      </c>
      <c r="C224" s="4">
        <v>1.0</v>
      </c>
      <c r="D224" s="3"/>
      <c r="E224" s="3"/>
      <c r="F224" s="3"/>
      <c r="G224" s="4">
        <v>10.0</v>
      </c>
      <c r="H224" s="3"/>
      <c r="I224" s="3"/>
    </row>
    <row r="225">
      <c r="A225" s="4" t="s">
        <v>11958</v>
      </c>
      <c r="B225" s="13" t="s">
        <v>43</v>
      </c>
      <c r="D225" s="3"/>
      <c r="E225" s="3"/>
      <c r="F225" s="3"/>
      <c r="G225" s="3"/>
      <c r="H225" s="3"/>
      <c r="I225" s="3"/>
    </row>
    <row r="226">
      <c r="A226" s="4" t="s">
        <v>11959</v>
      </c>
      <c r="B226" s="13" t="s">
        <v>43</v>
      </c>
      <c r="D226" s="3"/>
      <c r="E226" s="3"/>
      <c r="F226" s="3"/>
      <c r="G226" s="3"/>
      <c r="H226" s="3"/>
      <c r="I226" s="3"/>
    </row>
    <row r="227">
      <c r="A227" s="4" t="s">
        <v>11960</v>
      </c>
      <c r="B227" s="13" t="s">
        <v>43</v>
      </c>
      <c r="D227" s="3"/>
      <c r="E227" s="3"/>
      <c r="F227" s="3"/>
      <c r="G227" s="3"/>
      <c r="H227" s="3"/>
      <c r="I227" s="3"/>
    </row>
    <row r="228">
      <c r="A228" s="4" t="s">
        <v>11961</v>
      </c>
      <c r="B228" s="13" t="s">
        <v>43</v>
      </c>
      <c r="D228" s="3"/>
      <c r="E228" s="3"/>
      <c r="F228" s="3"/>
      <c r="G228" s="3"/>
      <c r="H228" s="3"/>
      <c r="I228" s="3"/>
    </row>
    <row r="229">
      <c r="A229" s="4" t="s">
        <v>11962</v>
      </c>
      <c r="B229" s="13" t="s">
        <v>43</v>
      </c>
      <c r="D229" s="3"/>
      <c r="E229" s="3"/>
      <c r="F229" s="3"/>
      <c r="G229" s="3"/>
      <c r="H229" s="3"/>
      <c r="I229" s="3"/>
    </row>
    <row r="230">
      <c r="A230" s="4" t="s">
        <v>11963</v>
      </c>
      <c r="B230" s="13" t="s">
        <v>43</v>
      </c>
      <c r="D230" s="3"/>
      <c r="E230" s="3"/>
      <c r="F230" s="3"/>
      <c r="G230" s="3"/>
      <c r="H230" s="3"/>
      <c r="I230" s="3"/>
    </row>
    <row r="231">
      <c r="A231" s="4" t="s">
        <v>11964</v>
      </c>
      <c r="B231" s="13" t="s">
        <v>43</v>
      </c>
      <c r="D231" s="3"/>
      <c r="E231" s="3"/>
      <c r="F231" s="3"/>
      <c r="G231" s="3"/>
      <c r="H231" s="3"/>
      <c r="I231" s="3"/>
    </row>
    <row r="232">
      <c r="A232" s="4" t="s">
        <v>11965</v>
      </c>
      <c r="B232" s="13" t="s">
        <v>48</v>
      </c>
      <c r="C232" s="4">
        <v>1.0</v>
      </c>
      <c r="D232" s="3"/>
      <c r="E232" s="3"/>
      <c r="F232" s="3"/>
      <c r="G232" s="4">
        <v>10.0</v>
      </c>
      <c r="H232" s="3"/>
      <c r="I232" s="3"/>
    </row>
    <row r="233">
      <c r="A233" s="4" t="s">
        <v>11966</v>
      </c>
      <c r="B233" s="13" t="s">
        <v>48</v>
      </c>
      <c r="C233" s="4">
        <v>1.0</v>
      </c>
      <c r="D233" s="3"/>
      <c r="E233" s="3"/>
      <c r="F233" s="3"/>
      <c r="G233" s="4">
        <v>10.0</v>
      </c>
      <c r="H233" s="3"/>
      <c r="I233" s="3"/>
    </row>
    <row r="234">
      <c r="A234" s="4" t="s">
        <v>11967</v>
      </c>
      <c r="B234" s="13" t="s">
        <v>48</v>
      </c>
      <c r="C234" s="4">
        <v>1.0</v>
      </c>
      <c r="D234" s="3"/>
      <c r="E234" s="3"/>
      <c r="F234" s="3"/>
      <c r="G234" s="4">
        <v>10.0</v>
      </c>
      <c r="H234" s="3"/>
      <c r="I234" s="3"/>
    </row>
    <row r="235">
      <c r="A235" s="4" t="s">
        <v>11968</v>
      </c>
      <c r="B235" s="13" t="s">
        <v>48</v>
      </c>
      <c r="C235" s="4">
        <v>1.0</v>
      </c>
      <c r="D235" s="3"/>
      <c r="E235" s="3"/>
      <c r="F235" s="3"/>
      <c r="G235" s="4">
        <v>10.0</v>
      </c>
      <c r="H235" s="3"/>
      <c r="I235" s="3"/>
    </row>
    <row r="236">
      <c r="A236" s="4" t="s">
        <v>11969</v>
      </c>
      <c r="B236" s="13" t="s">
        <v>48</v>
      </c>
      <c r="C236" s="4">
        <v>1.0</v>
      </c>
      <c r="D236" s="3"/>
      <c r="E236" s="3"/>
      <c r="F236" s="3"/>
      <c r="G236" s="4">
        <v>10.0</v>
      </c>
      <c r="H236" s="3"/>
      <c r="I236" s="3"/>
    </row>
    <row r="237">
      <c r="A237" s="4" t="s">
        <v>11970</v>
      </c>
      <c r="B237" s="13" t="s">
        <v>43</v>
      </c>
      <c r="D237" s="3"/>
      <c r="E237" s="3"/>
      <c r="F237" s="3"/>
      <c r="G237" s="3"/>
      <c r="H237" s="3"/>
      <c r="I237" s="3"/>
    </row>
    <row r="238">
      <c r="A238" s="4" t="s">
        <v>11971</v>
      </c>
      <c r="B238" s="13" t="s">
        <v>43</v>
      </c>
      <c r="D238" s="3"/>
      <c r="E238" s="3"/>
      <c r="F238" s="3"/>
      <c r="G238" s="3"/>
      <c r="H238" s="3"/>
      <c r="I238" s="3"/>
    </row>
    <row r="239">
      <c r="A239" s="4" t="s">
        <v>11972</v>
      </c>
      <c r="B239" s="13" t="s">
        <v>43</v>
      </c>
      <c r="D239" s="3"/>
      <c r="E239" s="3"/>
      <c r="F239" s="3"/>
      <c r="G239" s="3"/>
      <c r="H239" s="3"/>
      <c r="I239" s="3"/>
    </row>
    <row r="240">
      <c r="A240" s="4" t="s">
        <v>11973</v>
      </c>
      <c r="B240" s="13" t="s">
        <v>43</v>
      </c>
      <c r="D240" s="3"/>
      <c r="E240" s="3"/>
      <c r="F240" s="3"/>
      <c r="G240" s="3"/>
      <c r="H240" s="3"/>
      <c r="I240" s="3"/>
      <c r="J240" s="4" t="s">
        <v>1757</v>
      </c>
    </row>
    <row r="241">
      <c r="A241" s="4" t="s">
        <v>11974</v>
      </c>
      <c r="B241" s="13" t="s">
        <v>43</v>
      </c>
      <c r="D241" s="3"/>
      <c r="E241" s="3"/>
      <c r="F241" s="3"/>
      <c r="G241" s="3"/>
      <c r="H241" s="3"/>
      <c r="I241" s="3"/>
      <c r="J241" s="4" t="s">
        <v>1757</v>
      </c>
    </row>
    <row r="242">
      <c r="A242" s="4" t="s">
        <v>11975</v>
      </c>
      <c r="B242" s="13" t="s">
        <v>43</v>
      </c>
      <c r="D242" s="3"/>
      <c r="E242" s="3"/>
      <c r="F242" s="3"/>
      <c r="G242" s="3"/>
      <c r="H242" s="3"/>
      <c r="I242" s="3"/>
      <c r="J242" s="4" t="s">
        <v>1757</v>
      </c>
    </row>
    <row r="243">
      <c r="A243" s="4" t="s">
        <v>11976</v>
      </c>
      <c r="B243" s="13" t="s">
        <v>43</v>
      </c>
      <c r="D243" s="3"/>
      <c r="E243" s="3"/>
      <c r="F243" s="3"/>
      <c r="G243" s="3"/>
      <c r="H243" s="3"/>
      <c r="I243" s="3"/>
      <c r="J243" s="4" t="s">
        <v>1757</v>
      </c>
    </row>
    <row r="244">
      <c r="A244" s="4" t="s">
        <v>11977</v>
      </c>
      <c r="B244" s="13" t="s">
        <v>43</v>
      </c>
      <c r="D244" s="3"/>
      <c r="E244" s="3"/>
      <c r="F244" s="3"/>
      <c r="G244" s="3"/>
      <c r="H244" s="3"/>
      <c r="I244" s="3"/>
    </row>
    <row r="245">
      <c r="A245" s="4" t="s">
        <v>11978</v>
      </c>
      <c r="B245" s="13" t="s">
        <v>43</v>
      </c>
      <c r="D245" s="3"/>
      <c r="E245" s="3"/>
      <c r="F245" s="3"/>
      <c r="G245" s="3"/>
      <c r="H245" s="3"/>
      <c r="I245" s="3"/>
    </row>
    <row r="246">
      <c r="A246" s="4" t="s">
        <v>11979</v>
      </c>
      <c r="B246" s="13" t="s">
        <v>43</v>
      </c>
      <c r="D246" s="3"/>
      <c r="E246" s="3"/>
      <c r="F246" s="3"/>
      <c r="G246" s="3"/>
      <c r="H246" s="3"/>
      <c r="I246" s="3"/>
    </row>
    <row r="247">
      <c r="A247" s="4" t="s">
        <v>11980</v>
      </c>
      <c r="B247" s="13" t="s">
        <v>48</v>
      </c>
      <c r="C247" s="4">
        <v>2.0</v>
      </c>
      <c r="D247" s="4">
        <v>1.0</v>
      </c>
      <c r="E247" s="3"/>
      <c r="F247" s="3"/>
      <c r="G247" s="3"/>
      <c r="H247" s="3"/>
      <c r="I247" s="4">
        <v>15.0</v>
      </c>
    </row>
    <row r="248">
      <c r="A248" s="4" t="s">
        <v>11981</v>
      </c>
      <c r="B248" s="13" t="s">
        <v>48</v>
      </c>
      <c r="C248" s="4">
        <v>3.0</v>
      </c>
      <c r="D248" s="4">
        <v>1.0</v>
      </c>
      <c r="E248" s="3"/>
      <c r="F248" s="3"/>
      <c r="G248" s="3"/>
      <c r="H248" s="4">
        <v>13.0</v>
      </c>
      <c r="I248" s="4">
        <v>15.0</v>
      </c>
      <c r="J248" s="4" t="s">
        <v>1757</v>
      </c>
      <c r="K248" s="4" t="s">
        <v>1757</v>
      </c>
    </row>
    <row r="249">
      <c r="A249" s="4" t="s">
        <v>11982</v>
      </c>
      <c r="B249" s="13" t="s">
        <v>48</v>
      </c>
      <c r="C249" s="4">
        <v>3.0</v>
      </c>
      <c r="D249" s="4">
        <v>1.0</v>
      </c>
      <c r="E249" s="3"/>
      <c r="F249" s="3"/>
      <c r="G249" s="3"/>
      <c r="H249" s="4">
        <v>13.0</v>
      </c>
      <c r="I249" s="4">
        <v>15.0</v>
      </c>
      <c r="J249" s="4" t="s">
        <v>1757</v>
      </c>
      <c r="K249" s="4" t="s">
        <v>1757</v>
      </c>
    </row>
    <row r="250">
      <c r="A250" s="4" t="s">
        <v>11983</v>
      </c>
      <c r="B250" s="13" t="s">
        <v>48</v>
      </c>
      <c r="C250" s="4">
        <v>3.0</v>
      </c>
      <c r="D250" s="4">
        <v>1.0</v>
      </c>
      <c r="E250" s="3"/>
      <c r="F250" s="3"/>
      <c r="G250" s="3"/>
      <c r="H250" s="4">
        <v>13.0</v>
      </c>
      <c r="I250" s="4">
        <v>15.0</v>
      </c>
      <c r="J250" s="4" t="s">
        <v>1757</v>
      </c>
      <c r="K250" s="4" t="s">
        <v>1757</v>
      </c>
    </row>
    <row r="251">
      <c r="A251" s="4" t="s">
        <v>11984</v>
      </c>
      <c r="B251" s="13" t="s">
        <v>48</v>
      </c>
      <c r="C251" s="4">
        <v>4.0</v>
      </c>
      <c r="D251" s="4">
        <v>1.0</v>
      </c>
      <c r="E251" s="4">
        <v>2.0</v>
      </c>
      <c r="F251" s="3"/>
      <c r="G251" s="3"/>
      <c r="H251" s="4">
        <v>13.0</v>
      </c>
      <c r="I251" s="4">
        <v>15.0</v>
      </c>
      <c r="J251" s="4" t="s">
        <v>1757</v>
      </c>
    </row>
    <row r="252">
      <c r="A252" s="4" t="s">
        <v>11985</v>
      </c>
      <c r="B252" s="13" t="s">
        <v>48</v>
      </c>
      <c r="C252" s="4">
        <v>4.0</v>
      </c>
      <c r="D252" s="4">
        <v>1.0</v>
      </c>
      <c r="E252" s="4">
        <v>2.0</v>
      </c>
      <c r="F252" s="3"/>
      <c r="G252" s="3"/>
      <c r="H252" s="4">
        <v>13.0</v>
      </c>
      <c r="I252" s="4">
        <v>15.0</v>
      </c>
      <c r="J252" s="4" t="s">
        <v>1757</v>
      </c>
    </row>
    <row r="253">
      <c r="A253" s="4" t="s">
        <v>11986</v>
      </c>
      <c r="B253" s="13" t="s">
        <v>48</v>
      </c>
      <c r="C253" s="4">
        <v>5.0</v>
      </c>
      <c r="D253" s="4">
        <v>1.0</v>
      </c>
      <c r="E253" s="4">
        <v>2.0</v>
      </c>
      <c r="F253" s="4">
        <v>9.0</v>
      </c>
      <c r="G253" s="3"/>
      <c r="H253" s="4">
        <v>13.0</v>
      </c>
      <c r="I253" s="4">
        <v>15.0</v>
      </c>
      <c r="J253" s="4" t="s">
        <v>1757</v>
      </c>
      <c r="K253" s="4" t="s">
        <v>1757</v>
      </c>
    </row>
    <row r="254">
      <c r="A254" s="4" t="s">
        <v>11987</v>
      </c>
      <c r="B254" s="13" t="s">
        <v>48</v>
      </c>
      <c r="C254" s="4">
        <v>5.0</v>
      </c>
      <c r="D254" s="4">
        <v>1.0</v>
      </c>
      <c r="E254" s="4">
        <v>2.0</v>
      </c>
      <c r="F254" s="4">
        <v>9.0</v>
      </c>
      <c r="G254" s="3"/>
      <c r="H254" s="4">
        <v>13.0</v>
      </c>
      <c r="I254" s="4">
        <v>15.0</v>
      </c>
      <c r="J254" s="4" t="s">
        <v>1757</v>
      </c>
      <c r="K254" s="4" t="s">
        <v>1757</v>
      </c>
    </row>
    <row r="255">
      <c r="A255" s="4" t="s">
        <v>11988</v>
      </c>
      <c r="B255" s="13" t="s">
        <v>48</v>
      </c>
      <c r="C255" s="4">
        <v>5.0</v>
      </c>
      <c r="D255" s="4">
        <v>1.0</v>
      </c>
      <c r="E255" s="4">
        <v>2.0</v>
      </c>
      <c r="F255" s="4">
        <v>9.0</v>
      </c>
      <c r="G255" s="3"/>
      <c r="H255" s="4">
        <v>13.0</v>
      </c>
      <c r="I255" s="4">
        <v>15.0</v>
      </c>
      <c r="J255" s="4" t="s">
        <v>1757</v>
      </c>
      <c r="K255" s="4" t="s">
        <v>1757</v>
      </c>
    </row>
    <row r="256">
      <c r="A256" s="4" t="s">
        <v>11989</v>
      </c>
      <c r="B256" s="13" t="s">
        <v>48</v>
      </c>
      <c r="C256" s="4">
        <v>4.0</v>
      </c>
      <c r="D256" s="3"/>
      <c r="E256" s="4">
        <v>2.0</v>
      </c>
      <c r="F256" s="4">
        <v>9.0</v>
      </c>
      <c r="G256" s="3"/>
      <c r="H256" s="4">
        <v>13.0</v>
      </c>
      <c r="I256" s="4">
        <v>15.0</v>
      </c>
      <c r="J256" s="4" t="s">
        <v>1757</v>
      </c>
    </row>
    <row r="257">
      <c r="A257" s="4" t="s">
        <v>11990</v>
      </c>
      <c r="B257" s="13" t="s">
        <v>48</v>
      </c>
      <c r="C257" s="4">
        <v>4.0</v>
      </c>
      <c r="D257" s="3"/>
      <c r="E257" s="4">
        <v>2.0</v>
      </c>
      <c r="F257" s="4">
        <v>9.0</v>
      </c>
      <c r="G257" s="3"/>
      <c r="H257" s="4">
        <v>13.0</v>
      </c>
      <c r="I257" s="4">
        <v>15.0</v>
      </c>
      <c r="J257" s="4" t="s">
        <v>1757</v>
      </c>
    </row>
    <row r="258">
      <c r="A258" s="4" t="s">
        <v>11991</v>
      </c>
      <c r="B258" s="13" t="s">
        <v>48</v>
      </c>
      <c r="C258" s="4">
        <v>4.0</v>
      </c>
      <c r="D258" s="3"/>
      <c r="E258" s="4">
        <v>2.0</v>
      </c>
      <c r="F258" s="4">
        <v>9.0</v>
      </c>
      <c r="G258" s="3"/>
      <c r="H258" s="4">
        <v>13.0</v>
      </c>
      <c r="I258" s="4">
        <v>15.0</v>
      </c>
      <c r="J258" s="4" t="s">
        <v>1757</v>
      </c>
      <c r="K258" s="4" t="s">
        <v>1757</v>
      </c>
    </row>
    <row r="259">
      <c r="A259" s="4" t="s">
        <v>11992</v>
      </c>
      <c r="B259" s="13" t="s">
        <v>48</v>
      </c>
      <c r="C259" s="4">
        <v>1.0</v>
      </c>
      <c r="D259" s="3"/>
      <c r="E259" s="3"/>
      <c r="F259" s="4">
        <v>9.0</v>
      </c>
      <c r="G259" s="3"/>
      <c r="H259" s="3"/>
      <c r="I259" s="3"/>
      <c r="J259" s="4" t="s">
        <v>1757</v>
      </c>
    </row>
    <row r="260">
      <c r="A260" s="4" t="s">
        <v>11993</v>
      </c>
      <c r="B260" s="13" t="s">
        <v>48</v>
      </c>
      <c r="C260" s="4">
        <v>1.0</v>
      </c>
      <c r="D260" s="3"/>
      <c r="E260" s="3"/>
      <c r="F260" s="4">
        <v>9.0</v>
      </c>
      <c r="G260" s="3"/>
      <c r="H260" s="3"/>
      <c r="I260" s="3"/>
      <c r="J260" s="4" t="s">
        <v>1757</v>
      </c>
    </row>
    <row r="261">
      <c r="A261" s="4" t="s">
        <v>11994</v>
      </c>
      <c r="B261" s="19" t="s">
        <v>43</v>
      </c>
      <c r="D261" s="3"/>
      <c r="E261" s="3"/>
      <c r="F261" s="3"/>
      <c r="G261" s="3"/>
      <c r="H261" s="3"/>
      <c r="I261" s="3"/>
      <c r="J261" s="4" t="s">
        <v>1757</v>
      </c>
    </row>
    <row r="262">
      <c r="A262" s="4" t="s">
        <v>11995</v>
      </c>
      <c r="B262" s="19" t="s">
        <v>43</v>
      </c>
      <c r="D262" s="3"/>
      <c r="E262" s="3"/>
      <c r="F262" s="3"/>
      <c r="G262" s="3"/>
      <c r="H262" s="3"/>
      <c r="I262" s="3"/>
      <c r="J262" s="4" t="s">
        <v>1757</v>
      </c>
    </row>
    <row r="263">
      <c r="A263" s="4" t="s">
        <v>11996</v>
      </c>
      <c r="B263" s="19" t="s">
        <v>43</v>
      </c>
      <c r="D263" s="3"/>
      <c r="E263" s="3"/>
      <c r="F263" s="3"/>
      <c r="G263" s="3"/>
      <c r="H263" s="3"/>
      <c r="I263" s="3"/>
      <c r="J263" s="4" t="s">
        <v>1757</v>
      </c>
    </row>
    <row r="264">
      <c r="A264" s="4" t="s">
        <v>11997</v>
      </c>
      <c r="B264" s="19" t="s">
        <v>43</v>
      </c>
      <c r="D264" s="3"/>
      <c r="E264" s="3"/>
      <c r="F264" s="3"/>
      <c r="G264" s="3"/>
      <c r="H264" s="3"/>
      <c r="I264" s="3"/>
      <c r="J264" s="4" t="s">
        <v>1757</v>
      </c>
    </row>
    <row r="265">
      <c r="A265" s="4" t="s">
        <v>11998</v>
      </c>
      <c r="B265" s="19" t="s">
        <v>43</v>
      </c>
      <c r="D265" s="3"/>
      <c r="E265" s="3"/>
      <c r="F265" s="3"/>
      <c r="G265" s="3"/>
      <c r="H265" s="3"/>
      <c r="I265" s="3"/>
      <c r="J265" s="4" t="s">
        <v>1757</v>
      </c>
    </row>
    <row r="266">
      <c r="A266" s="4" t="s">
        <v>11999</v>
      </c>
      <c r="B266" s="19" t="s">
        <v>43</v>
      </c>
      <c r="D266" s="3"/>
      <c r="E266" s="3"/>
      <c r="F266" s="3"/>
      <c r="G266" s="3"/>
      <c r="H266" s="3"/>
      <c r="I266" s="3"/>
      <c r="J266" s="4" t="s">
        <v>1757</v>
      </c>
    </row>
    <row r="267">
      <c r="A267" s="4" t="s">
        <v>12000</v>
      </c>
      <c r="B267" s="19" t="s">
        <v>43</v>
      </c>
      <c r="D267" s="3"/>
      <c r="E267" s="3"/>
      <c r="F267" s="3"/>
      <c r="G267" s="3"/>
      <c r="H267" s="3"/>
      <c r="I267" s="3"/>
      <c r="J267" s="4" t="s">
        <v>1757</v>
      </c>
    </row>
    <row r="268">
      <c r="A268" s="4" t="s">
        <v>12001</v>
      </c>
      <c r="B268" s="19" t="s">
        <v>43</v>
      </c>
      <c r="D268" s="3"/>
      <c r="E268" s="3"/>
      <c r="F268" s="3"/>
      <c r="G268" s="3"/>
      <c r="H268" s="3"/>
      <c r="I268" s="3"/>
      <c r="J268" s="4" t="s">
        <v>1757</v>
      </c>
    </row>
    <row r="269">
      <c r="A269" s="4" t="s">
        <v>12002</v>
      </c>
      <c r="B269" s="19" t="s">
        <v>43</v>
      </c>
      <c r="D269" s="3"/>
      <c r="E269" s="3"/>
      <c r="F269" s="3"/>
      <c r="G269" s="3"/>
      <c r="H269" s="3"/>
      <c r="I269" s="3"/>
      <c r="J269" s="4" t="s">
        <v>1757</v>
      </c>
    </row>
    <row r="270">
      <c r="A270" s="4" t="s">
        <v>12003</v>
      </c>
      <c r="B270" s="19" t="s">
        <v>43</v>
      </c>
      <c r="D270" s="3"/>
      <c r="E270" s="3"/>
      <c r="F270" s="3"/>
      <c r="G270" s="3"/>
      <c r="H270" s="3"/>
      <c r="I270" s="3"/>
      <c r="J270" s="4" t="s">
        <v>1757</v>
      </c>
    </row>
    <row r="271">
      <c r="A271" s="4" t="s">
        <v>12004</v>
      </c>
      <c r="B271" s="19" t="s">
        <v>43</v>
      </c>
      <c r="D271" s="3"/>
      <c r="E271" s="3"/>
      <c r="F271" s="3"/>
      <c r="G271" s="3"/>
      <c r="H271" s="3"/>
      <c r="I271" s="3"/>
    </row>
    <row r="272">
      <c r="A272" s="4" t="s">
        <v>12005</v>
      </c>
      <c r="B272" s="19" t="s">
        <v>43</v>
      </c>
      <c r="D272" s="3"/>
      <c r="E272" s="3"/>
      <c r="F272" s="3"/>
      <c r="G272" s="3"/>
      <c r="H272" s="3"/>
      <c r="I272" s="3"/>
    </row>
    <row r="273">
      <c r="A273" s="4" t="s">
        <v>12006</v>
      </c>
      <c r="B273" s="19" t="s">
        <v>43</v>
      </c>
      <c r="D273" s="3"/>
      <c r="E273" s="3"/>
      <c r="F273" s="3"/>
      <c r="G273" s="3"/>
      <c r="H273" s="3"/>
      <c r="I273" s="3"/>
    </row>
    <row r="274">
      <c r="A274" s="4" t="s">
        <v>12007</v>
      </c>
      <c r="B274" s="19" t="s">
        <v>43</v>
      </c>
      <c r="D274" s="3"/>
      <c r="E274" s="3"/>
      <c r="F274" s="3"/>
      <c r="G274" s="3"/>
      <c r="H274" s="3"/>
      <c r="I274" s="3"/>
    </row>
    <row r="275">
      <c r="A275" s="4" t="s">
        <v>12008</v>
      </c>
      <c r="B275" s="19" t="s">
        <v>43</v>
      </c>
      <c r="D275" s="3"/>
      <c r="E275" s="3"/>
      <c r="F275" s="3"/>
      <c r="G275" s="3"/>
      <c r="H275" s="3"/>
      <c r="I275" s="3"/>
    </row>
    <row r="276">
      <c r="A276" s="4" t="s">
        <v>12009</v>
      </c>
      <c r="B276" s="19" t="s">
        <v>43</v>
      </c>
      <c r="D276" s="3"/>
      <c r="E276" s="3"/>
      <c r="F276" s="3"/>
      <c r="G276" s="3"/>
      <c r="H276" s="3"/>
      <c r="I276" s="3"/>
    </row>
    <row r="277">
      <c r="A277" s="4" t="s">
        <v>12010</v>
      </c>
      <c r="B277" s="19" t="s">
        <v>43</v>
      </c>
      <c r="D277" s="3"/>
      <c r="E277" s="3"/>
      <c r="F277" s="3"/>
      <c r="G277" s="3"/>
      <c r="H277" s="3"/>
      <c r="I277" s="3"/>
    </row>
    <row r="278">
      <c r="A278" s="4" t="s">
        <v>12011</v>
      </c>
      <c r="B278" s="19" t="s">
        <v>43</v>
      </c>
      <c r="D278" s="3"/>
      <c r="E278" s="3"/>
      <c r="F278" s="3"/>
      <c r="G278" s="3"/>
      <c r="H278" s="3"/>
      <c r="I278" s="3"/>
    </row>
    <row r="279">
      <c r="A279" s="4" t="s">
        <v>12012</v>
      </c>
      <c r="B279" s="19" t="s">
        <v>43</v>
      </c>
      <c r="D279" s="3"/>
      <c r="E279" s="3"/>
      <c r="F279" s="3"/>
      <c r="G279" s="3"/>
      <c r="H279" s="3"/>
      <c r="I279" s="3"/>
    </row>
    <row r="280">
      <c r="A280" s="4" t="s">
        <v>12013</v>
      </c>
      <c r="B280" s="19" t="s">
        <v>43</v>
      </c>
      <c r="D280" s="3"/>
      <c r="E280" s="3"/>
      <c r="F280" s="3"/>
      <c r="G280" s="3"/>
      <c r="H280" s="3"/>
      <c r="I280" s="3"/>
    </row>
    <row r="281">
      <c r="A281" s="4" t="s">
        <v>12014</v>
      </c>
      <c r="B281" s="19" t="s">
        <v>43</v>
      </c>
      <c r="D281" s="3"/>
      <c r="E281" s="3"/>
      <c r="F281" s="3"/>
      <c r="G281" s="3"/>
      <c r="H281" s="3"/>
      <c r="I281" s="3"/>
    </row>
    <row r="282">
      <c r="A282" s="4" t="s">
        <v>12015</v>
      </c>
      <c r="B282" s="13" t="s">
        <v>48</v>
      </c>
      <c r="C282" s="4">
        <v>1.0</v>
      </c>
      <c r="D282" s="3"/>
      <c r="E282" s="3"/>
      <c r="F282" s="4">
        <v>9.0</v>
      </c>
      <c r="G282" s="3"/>
      <c r="H282" s="3"/>
      <c r="I282" s="3"/>
    </row>
    <row r="283">
      <c r="A283" s="4" t="s">
        <v>12016</v>
      </c>
      <c r="B283" s="13" t="s">
        <v>48</v>
      </c>
      <c r="C283" s="4">
        <v>1.0</v>
      </c>
      <c r="D283" s="3"/>
      <c r="E283" s="3"/>
      <c r="F283" s="4">
        <v>9.0</v>
      </c>
      <c r="G283" s="3"/>
      <c r="H283" s="3"/>
      <c r="I283" s="3"/>
      <c r="J283" s="4" t="s">
        <v>1757</v>
      </c>
    </row>
    <row r="284">
      <c r="A284" s="4" t="s">
        <v>12017</v>
      </c>
      <c r="B284" s="13" t="s">
        <v>48</v>
      </c>
      <c r="C284" s="4">
        <v>1.0</v>
      </c>
      <c r="D284" s="3"/>
      <c r="E284" s="3"/>
      <c r="F284" s="4">
        <v>9.0</v>
      </c>
      <c r="G284" s="3"/>
      <c r="H284" s="3"/>
      <c r="I284" s="3"/>
      <c r="J284" s="4" t="s">
        <v>1757</v>
      </c>
    </row>
    <row r="285">
      <c r="A285" s="4" t="s">
        <v>12018</v>
      </c>
      <c r="B285" s="13" t="s">
        <v>48</v>
      </c>
      <c r="C285" s="4">
        <v>1.0</v>
      </c>
      <c r="D285" s="3"/>
      <c r="E285" s="3"/>
      <c r="F285" s="4">
        <v>9.0</v>
      </c>
      <c r="G285" s="3"/>
      <c r="H285" s="3"/>
      <c r="I285" s="3"/>
      <c r="J285" s="4" t="s">
        <v>1757</v>
      </c>
    </row>
    <row r="286">
      <c r="A286" s="4" t="s">
        <v>12019</v>
      </c>
      <c r="B286" s="13" t="s">
        <v>43</v>
      </c>
      <c r="D286" s="3"/>
      <c r="E286" s="3"/>
      <c r="F286" s="3"/>
      <c r="G286" s="3"/>
      <c r="H286" s="3"/>
      <c r="I286" s="3"/>
      <c r="J286" s="4" t="s">
        <v>1757</v>
      </c>
    </row>
    <row r="287">
      <c r="A287" s="4" t="s">
        <v>12020</v>
      </c>
      <c r="B287" s="13" t="s">
        <v>43</v>
      </c>
      <c r="D287" s="3"/>
      <c r="E287" s="3"/>
      <c r="F287" s="3"/>
      <c r="G287" s="3"/>
      <c r="H287" s="3"/>
      <c r="I287" s="3"/>
      <c r="J287" s="4" t="s">
        <v>1757</v>
      </c>
    </row>
    <row r="288">
      <c r="A288" s="4" t="s">
        <v>12021</v>
      </c>
      <c r="B288" s="13" t="s">
        <v>48</v>
      </c>
      <c r="C288" s="4">
        <v>1.0</v>
      </c>
      <c r="D288" s="3"/>
      <c r="E288" s="3"/>
      <c r="F288" s="3"/>
      <c r="G288" s="3"/>
      <c r="H288" s="3"/>
      <c r="I288" s="4">
        <v>15.0</v>
      </c>
      <c r="J288" s="4" t="s">
        <v>1757</v>
      </c>
    </row>
    <row r="289">
      <c r="A289" s="4" t="s">
        <v>12022</v>
      </c>
      <c r="B289" s="13" t="s">
        <v>48</v>
      </c>
      <c r="C289" s="4">
        <v>2.0</v>
      </c>
      <c r="D289" s="4">
        <v>1.0</v>
      </c>
      <c r="E289" s="3"/>
      <c r="F289" s="3"/>
      <c r="G289" s="3"/>
      <c r="H289" s="3"/>
      <c r="I289" s="4">
        <v>15.0</v>
      </c>
      <c r="J289" s="4" t="s">
        <v>1757</v>
      </c>
    </row>
    <row r="290">
      <c r="A290" s="4" t="s">
        <v>12023</v>
      </c>
      <c r="B290" s="13" t="s">
        <v>48</v>
      </c>
      <c r="C290" s="4">
        <v>2.0</v>
      </c>
      <c r="D290" s="4">
        <v>1.0</v>
      </c>
      <c r="E290" s="3"/>
      <c r="F290" s="3"/>
      <c r="G290" s="3"/>
      <c r="H290" s="3"/>
      <c r="I290" s="4">
        <v>15.0</v>
      </c>
    </row>
    <row r="291">
      <c r="A291" s="4" t="s">
        <v>12024</v>
      </c>
      <c r="B291" s="13" t="s">
        <v>48</v>
      </c>
      <c r="C291" s="4">
        <v>2.0</v>
      </c>
      <c r="D291" s="4">
        <v>1.0</v>
      </c>
      <c r="E291" s="3"/>
      <c r="F291" s="3"/>
      <c r="G291" s="3"/>
      <c r="H291" s="3"/>
      <c r="I291" s="4">
        <v>15.0</v>
      </c>
    </row>
    <row r="292">
      <c r="A292" s="4" t="s">
        <v>12025</v>
      </c>
      <c r="B292" s="13" t="s">
        <v>48</v>
      </c>
      <c r="C292" s="4">
        <v>2.0</v>
      </c>
      <c r="D292" s="4">
        <v>1.0</v>
      </c>
      <c r="E292" s="3"/>
      <c r="F292" s="3"/>
      <c r="G292" s="3"/>
      <c r="H292" s="3"/>
      <c r="I292" s="4">
        <v>15.0</v>
      </c>
      <c r="J292" s="4" t="s">
        <v>1757</v>
      </c>
    </row>
    <row r="293">
      <c r="A293" s="4" t="s">
        <v>12026</v>
      </c>
      <c r="B293" s="13" t="s">
        <v>48</v>
      </c>
      <c r="C293" s="4">
        <v>2.0</v>
      </c>
      <c r="D293" s="4">
        <v>1.0</v>
      </c>
      <c r="E293" s="3"/>
      <c r="F293" s="3"/>
      <c r="G293" s="3"/>
      <c r="H293" s="3"/>
      <c r="I293" s="4">
        <v>15.0</v>
      </c>
      <c r="J293" s="4" t="s">
        <v>1757</v>
      </c>
    </row>
    <row r="294">
      <c r="A294" s="4" t="s">
        <v>12027</v>
      </c>
      <c r="B294" s="13" t="s">
        <v>48</v>
      </c>
      <c r="C294" s="4">
        <v>3.0</v>
      </c>
      <c r="D294" s="4">
        <v>1.0</v>
      </c>
      <c r="E294" s="3"/>
      <c r="F294" s="3"/>
      <c r="G294" s="3"/>
      <c r="H294" s="4">
        <v>13.0</v>
      </c>
      <c r="I294" s="4">
        <v>15.0</v>
      </c>
      <c r="J294" s="4" t="s">
        <v>1757</v>
      </c>
    </row>
    <row r="295">
      <c r="A295" s="4" t="s">
        <v>12028</v>
      </c>
      <c r="B295" s="13" t="s">
        <v>48</v>
      </c>
      <c r="C295" s="4">
        <v>4.0</v>
      </c>
      <c r="D295" s="4">
        <v>1.0</v>
      </c>
      <c r="E295" s="3"/>
      <c r="F295" s="4">
        <v>9.0</v>
      </c>
      <c r="G295" s="3"/>
      <c r="H295" s="4">
        <v>13.0</v>
      </c>
      <c r="I295" s="4">
        <v>15.0</v>
      </c>
      <c r="J295" s="4" t="s">
        <v>1757</v>
      </c>
    </row>
    <row r="296">
      <c r="A296" s="4" t="s">
        <v>12029</v>
      </c>
      <c r="B296" s="13" t="s">
        <v>48</v>
      </c>
      <c r="C296" s="4">
        <v>5.0</v>
      </c>
      <c r="D296" s="4">
        <v>1.0</v>
      </c>
      <c r="E296" s="4">
        <v>2.0</v>
      </c>
      <c r="F296" s="4">
        <v>9.0</v>
      </c>
      <c r="G296" s="3"/>
      <c r="H296" s="4">
        <v>13.0</v>
      </c>
      <c r="I296" s="4">
        <v>15.0</v>
      </c>
      <c r="J296" s="4" t="s">
        <v>1757</v>
      </c>
      <c r="K296" s="4" t="s">
        <v>1757</v>
      </c>
    </row>
    <row r="297">
      <c r="A297" s="4" t="s">
        <v>12030</v>
      </c>
      <c r="B297" s="13" t="s">
        <v>48</v>
      </c>
      <c r="C297" s="4">
        <v>5.0</v>
      </c>
      <c r="D297" s="4">
        <v>1.0</v>
      </c>
      <c r="E297" s="4">
        <v>2.0</v>
      </c>
      <c r="F297" s="4">
        <v>9.0</v>
      </c>
      <c r="G297" s="3"/>
      <c r="H297" s="4">
        <v>13.0</v>
      </c>
      <c r="I297" s="4">
        <v>15.0</v>
      </c>
      <c r="J297" s="4" t="s">
        <v>1757</v>
      </c>
      <c r="K297" s="4" t="s">
        <v>1757</v>
      </c>
    </row>
    <row r="298">
      <c r="A298" s="4" t="s">
        <v>12031</v>
      </c>
      <c r="B298" s="13" t="s">
        <v>48</v>
      </c>
      <c r="C298" s="4">
        <v>4.0</v>
      </c>
      <c r="D298" s="3"/>
      <c r="E298" s="4">
        <v>2.0</v>
      </c>
      <c r="F298" s="4">
        <v>9.0</v>
      </c>
      <c r="G298" s="3"/>
      <c r="H298" s="4">
        <v>13.0</v>
      </c>
      <c r="I298" s="4">
        <v>15.0</v>
      </c>
      <c r="J298" s="4" t="s">
        <v>1757</v>
      </c>
      <c r="K298" s="4" t="s">
        <v>1757</v>
      </c>
    </row>
    <row r="299">
      <c r="A299" s="4" t="s">
        <v>12032</v>
      </c>
      <c r="B299" s="13" t="s">
        <v>48</v>
      </c>
      <c r="C299" s="4">
        <v>2.0</v>
      </c>
      <c r="D299" s="3"/>
      <c r="E299" s="4">
        <v>2.0</v>
      </c>
      <c r="F299" s="4">
        <v>9.0</v>
      </c>
      <c r="G299" s="3"/>
      <c r="H299" s="3"/>
      <c r="I299" s="3"/>
      <c r="J299" s="4" t="s">
        <v>1757</v>
      </c>
      <c r="K299" s="4" t="s">
        <v>1757</v>
      </c>
    </row>
    <row r="300">
      <c r="A300" s="4" t="s">
        <v>12033</v>
      </c>
      <c r="B300" s="13" t="s">
        <v>48</v>
      </c>
      <c r="C300" s="4">
        <v>3.0</v>
      </c>
      <c r="D300" s="3"/>
      <c r="E300" s="4">
        <v>2.0</v>
      </c>
      <c r="F300" s="4">
        <v>9.0</v>
      </c>
      <c r="G300" s="3"/>
      <c r="H300" s="4">
        <v>13.0</v>
      </c>
      <c r="I300" s="3"/>
      <c r="J300" s="4" t="s">
        <v>1757</v>
      </c>
      <c r="K300" s="4" t="s">
        <v>1757</v>
      </c>
    </row>
    <row r="301">
      <c r="A301" s="4" t="s">
        <v>12034</v>
      </c>
      <c r="B301" s="13" t="s">
        <v>48</v>
      </c>
      <c r="C301" s="4">
        <v>3.0</v>
      </c>
      <c r="D301" s="3"/>
      <c r="E301" s="4">
        <v>2.0</v>
      </c>
      <c r="F301" s="4">
        <v>9.0</v>
      </c>
      <c r="G301" s="3"/>
      <c r="H301" s="4">
        <v>13.0</v>
      </c>
      <c r="I301" s="3"/>
    </row>
    <row r="302">
      <c r="A302" s="4" t="s">
        <v>12035</v>
      </c>
      <c r="B302" s="13" t="s">
        <v>48</v>
      </c>
      <c r="C302" s="4">
        <v>2.0</v>
      </c>
      <c r="D302" s="3"/>
      <c r="E302" s="4">
        <v>2.0</v>
      </c>
      <c r="F302" s="4">
        <v>9.0</v>
      </c>
      <c r="G302" s="3"/>
      <c r="H302" s="3"/>
      <c r="I302" s="3"/>
    </row>
    <row r="303">
      <c r="A303" s="4" t="s">
        <v>12036</v>
      </c>
      <c r="B303" s="13" t="s">
        <v>43</v>
      </c>
      <c r="D303" s="3"/>
      <c r="E303" s="3"/>
      <c r="F303" s="3"/>
      <c r="G303" s="3"/>
      <c r="H303" s="3"/>
      <c r="I303" s="3"/>
    </row>
    <row r="304">
      <c r="A304" s="4" t="s">
        <v>12037</v>
      </c>
      <c r="B304" s="13" t="s">
        <v>43</v>
      </c>
      <c r="D304" s="3"/>
      <c r="E304" s="3"/>
      <c r="F304" s="3"/>
      <c r="G304" s="3"/>
      <c r="H304" s="3"/>
      <c r="I304" s="3"/>
    </row>
    <row r="305">
      <c r="A305" s="4" t="s">
        <v>12038</v>
      </c>
      <c r="B305" s="13" t="s">
        <v>43</v>
      </c>
      <c r="D305" s="3"/>
      <c r="E305" s="3"/>
      <c r="F305" s="3"/>
      <c r="G305" s="3"/>
      <c r="H305" s="3"/>
      <c r="I305" s="3"/>
    </row>
    <row r="306">
      <c r="A306" s="4" t="s">
        <v>12039</v>
      </c>
      <c r="B306" s="13" t="s">
        <v>48</v>
      </c>
      <c r="C306" s="4">
        <v>1.0</v>
      </c>
      <c r="D306" s="3"/>
      <c r="E306" s="3"/>
      <c r="F306" s="4">
        <v>9.0</v>
      </c>
      <c r="G306" s="3"/>
      <c r="H306" s="3"/>
      <c r="I306" s="3"/>
    </row>
    <row r="307">
      <c r="A307" s="4" t="s">
        <v>12040</v>
      </c>
      <c r="B307" s="13" t="s">
        <v>48</v>
      </c>
      <c r="C307" s="4">
        <v>1.0</v>
      </c>
      <c r="D307" s="3"/>
      <c r="E307" s="3"/>
      <c r="F307" s="4">
        <v>9.0</v>
      </c>
      <c r="G307" s="3"/>
      <c r="H307" s="3"/>
      <c r="I307" s="3"/>
      <c r="J307" s="4" t="s">
        <v>1757</v>
      </c>
    </row>
    <row r="308">
      <c r="A308" s="4" t="s">
        <v>12041</v>
      </c>
      <c r="B308" s="13" t="s">
        <v>48</v>
      </c>
      <c r="C308" s="4">
        <v>1.0</v>
      </c>
      <c r="D308" s="3"/>
      <c r="E308" s="3"/>
      <c r="F308" s="4">
        <v>9.0</v>
      </c>
      <c r="G308" s="3"/>
      <c r="H308" s="3"/>
      <c r="I308" s="3"/>
      <c r="J308" s="4" t="s">
        <v>1757</v>
      </c>
    </row>
    <row r="309">
      <c r="A309" s="4" t="s">
        <v>12042</v>
      </c>
      <c r="B309" s="13" t="s">
        <v>48</v>
      </c>
      <c r="C309" s="4">
        <v>1.0</v>
      </c>
      <c r="D309" s="3"/>
      <c r="E309" s="3"/>
      <c r="F309" s="4">
        <v>9.0</v>
      </c>
      <c r="G309" s="3"/>
      <c r="H309" s="3"/>
      <c r="I309" s="3"/>
      <c r="J309" s="4" t="s">
        <v>1757</v>
      </c>
    </row>
    <row r="310">
      <c r="A310" s="4" t="s">
        <v>12043</v>
      </c>
      <c r="B310" s="13" t="s">
        <v>48</v>
      </c>
      <c r="C310" s="4">
        <v>1.0</v>
      </c>
      <c r="D310" s="3"/>
      <c r="E310" s="3"/>
      <c r="F310" s="4">
        <v>9.0</v>
      </c>
      <c r="G310" s="3"/>
      <c r="H310" s="3"/>
      <c r="I310" s="3"/>
      <c r="J310" s="4" t="s">
        <v>1757</v>
      </c>
    </row>
    <row r="311">
      <c r="A311" s="4" t="s">
        <v>12044</v>
      </c>
      <c r="B311" s="13" t="s">
        <v>48</v>
      </c>
      <c r="C311" s="4">
        <v>1.0</v>
      </c>
      <c r="D311" s="3"/>
      <c r="E311" s="3"/>
      <c r="F311" s="4">
        <v>9.0</v>
      </c>
      <c r="G311" s="3"/>
      <c r="H311" s="3"/>
      <c r="I311" s="3"/>
      <c r="J311" s="4" t="s">
        <v>1757</v>
      </c>
    </row>
    <row r="312">
      <c r="A312" s="4" t="s">
        <v>12045</v>
      </c>
      <c r="B312" s="13" t="s">
        <v>48</v>
      </c>
      <c r="C312" s="4">
        <v>1.0</v>
      </c>
      <c r="D312" s="3"/>
      <c r="E312" s="3"/>
      <c r="F312" s="4">
        <v>9.0</v>
      </c>
      <c r="G312" s="3"/>
      <c r="H312" s="3"/>
      <c r="I312" s="3"/>
      <c r="J312" s="4" t="s">
        <v>1757</v>
      </c>
    </row>
    <row r="313">
      <c r="A313" s="4" t="s">
        <v>12046</v>
      </c>
      <c r="B313" s="13" t="s">
        <v>48</v>
      </c>
      <c r="C313" s="4">
        <v>1.0</v>
      </c>
      <c r="D313" s="3"/>
      <c r="E313" s="3"/>
      <c r="F313" s="24">
        <v>9.0</v>
      </c>
      <c r="G313" s="3"/>
      <c r="H313" s="3"/>
      <c r="I313" s="3"/>
    </row>
    <row r="314">
      <c r="A314" s="4" t="s">
        <v>12047</v>
      </c>
      <c r="B314" s="13" t="s">
        <v>48</v>
      </c>
      <c r="C314" s="4">
        <v>1.0</v>
      </c>
      <c r="D314" s="3"/>
      <c r="E314" s="3"/>
      <c r="F314" s="24">
        <v>9.0</v>
      </c>
      <c r="G314" s="3"/>
      <c r="H314" s="3"/>
      <c r="I314" s="3"/>
    </row>
    <row r="315">
      <c r="A315" s="4" t="s">
        <v>12048</v>
      </c>
      <c r="B315" s="13" t="s">
        <v>48</v>
      </c>
      <c r="C315" s="4">
        <v>1.0</v>
      </c>
      <c r="D315" s="3"/>
      <c r="E315" s="3"/>
      <c r="F315" s="24">
        <v>9.0</v>
      </c>
      <c r="G315" s="3"/>
      <c r="H315" s="3"/>
      <c r="I315" s="3"/>
    </row>
    <row r="316">
      <c r="A316" s="4" t="s">
        <v>12049</v>
      </c>
      <c r="B316" s="13" t="s">
        <v>48</v>
      </c>
      <c r="C316" s="4">
        <v>1.0</v>
      </c>
      <c r="D316" s="3"/>
      <c r="E316" s="3"/>
      <c r="F316" s="24">
        <v>9.0</v>
      </c>
      <c r="G316" s="3"/>
      <c r="H316" s="3"/>
      <c r="I316" s="3"/>
    </row>
    <row r="317">
      <c r="A317" s="4" t="s">
        <v>12050</v>
      </c>
      <c r="B317" s="13" t="s">
        <v>48</v>
      </c>
      <c r="C317" s="4">
        <v>1.0</v>
      </c>
      <c r="D317" s="3"/>
      <c r="E317" s="3"/>
      <c r="F317" s="24">
        <v>9.0</v>
      </c>
      <c r="G317" s="3"/>
      <c r="H317" s="3"/>
      <c r="I317" s="3"/>
    </row>
    <row r="318">
      <c r="A318" s="4" t="s">
        <v>12051</v>
      </c>
      <c r="B318" s="13" t="s">
        <v>48</v>
      </c>
      <c r="C318" s="4">
        <v>1.0</v>
      </c>
      <c r="D318" s="3"/>
      <c r="E318" s="3"/>
      <c r="F318" s="24">
        <v>9.0</v>
      </c>
      <c r="G318" s="3"/>
      <c r="H318" s="3"/>
      <c r="I318" s="3"/>
    </row>
    <row r="319">
      <c r="A319" s="4" t="s">
        <v>12052</v>
      </c>
      <c r="B319" s="13" t="s">
        <v>43</v>
      </c>
      <c r="D319" s="3"/>
      <c r="E319" s="3"/>
      <c r="F319" s="3"/>
      <c r="G319" s="3"/>
      <c r="H319" s="3"/>
      <c r="I319" s="3"/>
    </row>
    <row r="320">
      <c r="A320" s="4" t="s">
        <v>12053</v>
      </c>
      <c r="B320" s="13" t="s">
        <v>43</v>
      </c>
      <c r="D320" s="3"/>
      <c r="E320" s="3"/>
      <c r="F320" s="3"/>
      <c r="G320" s="3"/>
      <c r="H320" s="3"/>
      <c r="I320" s="3"/>
    </row>
    <row r="321">
      <c r="A321" s="4" t="s">
        <v>12054</v>
      </c>
      <c r="B321" s="13" t="s">
        <v>48</v>
      </c>
      <c r="C321" s="4">
        <v>1.0</v>
      </c>
      <c r="D321" s="3"/>
      <c r="E321" s="3"/>
      <c r="F321" s="24">
        <v>9.0</v>
      </c>
      <c r="G321" s="3"/>
      <c r="H321" s="3"/>
      <c r="I321" s="3"/>
    </row>
    <row r="322">
      <c r="A322" s="4" t="s">
        <v>12055</v>
      </c>
      <c r="B322" s="13" t="s">
        <v>48</v>
      </c>
      <c r="C322" s="4">
        <v>1.0</v>
      </c>
      <c r="D322" s="3"/>
      <c r="E322" s="3"/>
      <c r="F322" s="24">
        <v>9.0</v>
      </c>
      <c r="G322" s="3"/>
      <c r="H322" s="3"/>
      <c r="I322" s="3"/>
    </row>
    <row r="323">
      <c r="A323" s="4" t="s">
        <v>12056</v>
      </c>
      <c r="B323" s="13" t="s">
        <v>48</v>
      </c>
      <c r="C323" s="4">
        <v>1.0</v>
      </c>
      <c r="D323" s="3"/>
      <c r="E323" s="3"/>
      <c r="F323" s="24">
        <v>9.0</v>
      </c>
      <c r="G323" s="3"/>
      <c r="H323" s="3"/>
      <c r="I323" s="3"/>
    </row>
    <row r="324">
      <c r="A324" s="4" t="s">
        <v>12057</v>
      </c>
      <c r="B324" s="13" t="s">
        <v>48</v>
      </c>
      <c r="C324" s="4">
        <v>1.0</v>
      </c>
      <c r="D324" s="3"/>
      <c r="E324" s="3"/>
      <c r="F324" s="24">
        <v>9.0</v>
      </c>
      <c r="G324" s="3"/>
      <c r="H324" s="3"/>
      <c r="I324" s="3"/>
      <c r="J324" s="4" t="s">
        <v>1757</v>
      </c>
    </row>
    <row r="325">
      <c r="A325" s="4" t="s">
        <v>12058</v>
      </c>
      <c r="B325" s="13" t="s">
        <v>48</v>
      </c>
      <c r="C325" s="4">
        <v>1.0</v>
      </c>
      <c r="D325" s="3"/>
      <c r="E325" s="3"/>
      <c r="F325" s="24">
        <v>9.0</v>
      </c>
      <c r="G325" s="3"/>
      <c r="H325" s="3"/>
      <c r="I325" s="3"/>
      <c r="J325" s="4" t="s">
        <v>1757</v>
      </c>
    </row>
    <row r="326">
      <c r="A326" s="4" t="s">
        <v>12059</v>
      </c>
      <c r="B326" s="13" t="s">
        <v>48</v>
      </c>
      <c r="C326" s="4">
        <v>1.0</v>
      </c>
      <c r="D326" s="3"/>
      <c r="E326" s="3"/>
      <c r="F326" s="24">
        <v>9.0</v>
      </c>
      <c r="G326" s="3"/>
      <c r="H326" s="3"/>
      <c r="I326" s="3"/>
      <c r="J326" s="4" t="s">
        <v>1757</v>
      </c>
    </row>
    <row r="327">
      <c r="A327" s="4" t="s">
        <v>12060</v>
      </c>
      <c r="B327" s="13" t="s">
        <v>48</v>
      </c>
      <c r="C327" s="4">
        <v>1.0</v>
      </c>
      <c r="D327" s="3"/>
      <c r="E327" s="3"/>
      <c r="F327" s="24">
        <v>9.0</v>
      </c>
      <c r="G327" s="3"/>
      <c r="H327" s="3"/>
      <c r="I327" s="3"/>
      <c r="J327" s="4" t="s">
        <v>1757</v>
      </c>
    </row>
    <row r="328">
      <c r="A328" s="4" t="s">
        <v>12061</v>
      </c>
      <c r="B328" s="13" t="s">
        <v>48</v>
      </c>
      <c r="C328" s="4">
        <v>1.0</v>
      </c>
      <c r="D328" s="3"/>
      <c r="E328" s="3"/>
      <c r="F328" s="24">
        <v>9.0</v>
      </c>
      <c r="G328" s="3"/>
      <c r="H328" s="3"/>
      <c r="I328" s="3"/>
      <c r="J328" s="4" t="s">
        <v>1757</v>
      </c>
    </row>
    <row r="329">
      <c r="A329" s="4" t="s">
        <v>12062</v>
      </c>
      <c r="B329" s="13" t="s">
        <v>43</v>
      </c>
      <c r="D329" s="3"/>
      <c r="E329" s="3"/>
      <c r="F329" s="3"/>
      <c r="G329" s="3"/>
      <c r="H329" s="3"/>
      <c r="I329" s="3"/>
      <c r="J329" s="4" t="s">
        <v>1757</v>
      </c>
    </row>
    <row r="330">
      <c r="A330" s="4" t="s">
        <v>12063</v>
      </c>
      <c r="B330" s="13" t="s">
        <v>48</v>
      </c>
      <c r="C330" s="4">
        <v>1.0</v>
      </c>
      <c r="D330" s="3"/>
      <c r="E330" s="3"/>
      <c r="F330" s="3"/>
      <c r="G330" s="3"/>
      <c r="H330" s="3"/>
      <c r="I330" s="4">
        <v>15.0</v>
      </c>
      <c r="J330" s="4" t="s">
        <v>1757</v>
      </c>
    </row>
    <row r="331">
      <c r="A331" s="4" t="s">
        <v>12064</v>
      </c>
      <c r="B331" s="13" t="s">
        <v>48</v>
      </c>
      <c r="C331" s="4">
        <v>1.0</v>
      </c>
      <c r="D331" s="3"/>
      <c r="E331" s="3"/>
      <c r="F331" s="3"/>
      <c r="G331" s="3"/>
      <c r="H331" s="3"/>
      <c r="I331" s="4">
        <v>15.0</v>
      </c>
    </row>
    <row r="332">
      <c r="A332" s="4" t="s">
        <v>12065</v>
      </c>
      <c r="B332" s="13" t="s">
        <v>43</v>
      </c>
      <c r="D332" s="3"/>
      <c r="E332" s="3"/>
      <c r="F332" s="3"/>
      <c r="G332" s="3"/>
      <c r="H332" s="3"/>
      <c r="I332" s="3"/>
    </row>
    <row r="333">
      <c r="A333" s="4" t="s">
        <v>12066</v>
      </c>
      <c r="B333" s="13" t="s">
        <v>43</v>
      </c>
      <c r="D333" s="3"/>
      <c r="E333" s="3"/>
      <c r="F333" s="3"/>
      <c r="G333" s="3"/>
      <c r="H333" s="3"/>
      <c r="I333" s="3"/>
    </row>
    <row r="334">
      <c r="A334" s="4" t="s">
        <v>12067</v>
      </c>
      <c r="B334" s="13" t="s">
        <v>43</v>
      </c>
      <c r="D334" s="3"/>
      <c r="E334" s="3"/>
      <c r="F334" s="3"/>
      <c r="G334" s="3"/>
      <c r="H334" s="3"/>
      <c r="I334" s="3"/>
    </row>
    <row r="335">
      <c r="A335" s="4" t="s">
        <v>12068</v>
      </c>
      <c r="B335" s="13" t="s">
        <v>48</v>
      </c>
      <c r="C335" s="4">
        <v>1.0</v>
      </c>
      <c r="D335" s="4">
        <v>1.0</v>
      </c>
      <c r="E335" s="3"/>
      <c r="F335" s="3"/>
      <c r="G335" s="3"/>
      <c r="H335" s="3"/>
      <c r="I335" s="3"/>
    </row>
    <row r="336">
      <c r="A336" s="4" t="s">
        <v>12069</v>
      </c>
      <c r="B336" s="13" t="s">
        <v>48</v>
      </c>
      <c r="C336" s="4">
        <v>1.0</v>
      </c>
      <c r="D336" s="4">
        <v>1.0</v>
      </c>
      <c r="E336" s="3"/>
      <c r="F336" s="3"/>
      <c r="G336" s="3"/>
      <c r="H336" s="3"/>
      <c r="I336" s="3"/>
    </row>
    <row r="337">
      <c r="A337" s="4" t="s">
        <v>12070</v>
      </c>
      <c r="B337" s="13" t="s">
        <v>48</v>
      </c>
      <c r="C337" s="4">
        <v>1.0</v>
      </c>
      <c r="D337" s="4">
        <v>1.0</v>
      </c>
      <c r="E337" s="3"/>
      <c r="F337" s="3"/>
      <c r="G337" s="3"/>
      <c r="H337" s="3"/>
      <c r="I337" s="3"/>
    </row>
    <row r="338">
      <c r="A338" s="4" t="s">
        <v>12071</v>
      </c>
      <c r="B338" s="13" t="s">
        <v>48</v>
      </c>
      <c r="C338" s="4">
        <v>1.0</v>
      </c>
      <c r="D338" s="4">
        <v>1.0</v>
      </c>
      <c r="E338" s="3"/>
      <c r="F338" s="3"/>
      <c r="G338" s="3"/>
      <c r="H338" s="3"/>
      <c r="I338" s="3"/>
    </row>
    <row r="339">
      <c r="A339" s="4" t="s">
        <v>12072</v>
      </c>
      <c r="B339" s="13" t="s">
        <v>48</v>
      </c>
      <c r="C339" s="4">
        <v>1.0</v>
      </c>
      <c r="D339" s="4">
        <v>1.0</v>
      </c>
      <c r="E339" s="3"/>
      <c r="F339" s="3"/>
      <c r="G339" s="3"/>
      <c r="H339" s="3"/>
      <c r="I339" s="3"/>
    </row>
    <row r="340">
      <c r="A340" s="4" t="s">
        <v>12073</v>
      </c>
      <c r="B340" s="13" t="s">
        <v>48</v>
      </c>
      <c r="C340" s="4">
        <v>1.0</v>
      </c>
      <c r="D340" s="4">
        <v>1.0</v>
      </c>
      <c r="E340" s="3"/>
      <c r="F340" s="3"/>
      <c r="G340" s="3"/>
      <c r="H340" s="3"/>
      <c r="I340" s="3"/>
    </row>
    <row r="341">
      <c r="A341" s="4" t="s">
        <v>12074</v>
      </c>
      <c r="B341" s="13" t="s">
        <v>48</v>
      </c>
      <c r="C341" s="4">
        <v>1.0</v>
      </c>
      <c r="D341" s="4">
        <v>1.0</v>
      </c>
      <c r="E341" s="3"/>
      <c r="F341" s="3"/>
      <c r="G341" s="3"/>
      <c r="H341" s="3"/>
      <c r="I341" s="3"/>
    </row>
    <row r="342">
      <c r="A342" s="4" t="s">
        <v>12075</v>
      </c>
      <c r="B342" s="13" t="s">
        <v>48</v>
      </c>
      <c r="C342" s="4">
        <v>1.0</v>
      </c>
      <c r="D342" s="4">
        <v>1.0</v>
      </c>
      <c r="E342" s="3"/>
      <c r="F342" s="3"/>
      <c r="G342" s="3"/>
      <c r="H342" s="3"/>
      <c r="I342" s="3"/>
    </row>
    <row r="343">
      <c r="A343" s="4" t="s">
        <v>12076</v>
      </c>
      <c r="B343" s="13" t="s">
        <v>48</v>
      </c>
      <c r="C343" s="4">
        <v>1.0</v>
      </c>
      <c r="D343" s="4">
        <v>1.0</v>
      </c>
      <c r="E343" s="3"/>
      <c r="F343" s="3"/>
      <c r="G343" s="3"/>
      <c r="H343" s="3"/>
      <c r="I343" s="3"/>
    </row>
    <row r="344">
      <c r="A344" s="4" t="s">
        <v>12077</v>
      </c>
      <c r="B344" s="13" t="s">
        <v>48</v>
      </c>
      <c r="C344" s="4">
        <v>1.0</v>
      </c>
      <c r="D344" s="4">
        <v>1.0</v>
      </c>
      <c r="E344" s="3"/>
      <c r="F344" s="3"/>
      <c r="G344" s="3"/>
      <c r="H344" s="3"/>
      <c r="I344" s="3"/>
    </row>
    <row r="345">
      <c r="A345" s="4" t="s">
        <v>12078</v>
      </c>
      <c r="B345" s="13" t="s">
        <v>48</v>
      </c>
      <c r="C345" s="4">
        <v>1.0</v>
      </c>
      <c r="D345" s="4">
        <v>1.0</v>
      </c>
      <c r="E345" s="3"/>
      <c r="F345" s="3"/>
      <c r="G345" s="3"/>
      <c r="H345" s="3"/>
      <c r="I345" s="3"/>
    </row>
    <row r="346">
      <c r="A346" s="4" t="s">
        <v>12079</v>
      </c>
      <c r="B346" s="13" t="s">
        <v>48</v>
      </c>
      <c r="C346" s="4">
        <v>1.0</v>
      </c>
      <c r="D346" s="4">
        <v>1.0</v>
      </c>
      <c r="E346" s="3"/>
      <c r="F346" s="3"/>
      <c r="G346" s="3"/>
      <c r="H346" s="3"/>
      <c r="I346" s="3"/>
    </row>
    <row r="347">
      <c r="A347" s="4" t="s">
        <v>12080</v>
      </c>
      <c r="B347" s="13" t="s">
        <v>48</v>
      </c>
      <c r="C347" s="4">
        <v>1.0</v>
      </c>
      <c r="D347" s="4">
        <v>1.0</v>
      </c>
      <c r="E347" s="3"/>
      <c r="F347" s="3"/>
      <c r="G347" s="3"/>
      <c r="H347" s="3"/>
      <c r="I347" s="3"/>
      <c r="J347" s="4" t="s">
        <v>1757</v>
      </c>
    </row>
    <row r="348">
      <c r="A348" s="4" t="s">
        <v>12081</v>
      </c>
      <c r="B348" s="13" t="s">
        <v>48</v>
      </c>
      <c r="C348" s="4">
        <v>2.0</v>
      </c>
      <c r="D348" s="4">
        <v>1.0</v>
      </c>
      <c r="E348" s="3"/>
      <c r="F348" s="3"/>
      <c r="G348" s="3"/>
      <c r="H348" s="4">
        <v>13.0</v>
      </c>
      <c r="I348" s="3"/>
      <c r="J348" s="4" t="s">
        <v>1757</v>
      </c>
    </row>
    <row r="349">
      <c r="A349" s="4" t="s">
        <v>12082</v>
      </c>
      <c r="B349" s="13" t="s">
        <v>48</v>
      </c>
      <c r="C349" s="4">
        <v>2.0</v>
      </c>
      <c r="D349" s="4">
        <v>1.0</v>
      </c>
      <c r="E349" s="3"/>
      <c r="F349" s="3"/>
      <c r="G349" s="3"/>
      <c r="H349" s="4">
        <v>13.0</v>
      </c>
      <c r="I349" s="3"/>
      <c r="J349" s="4" t="s">
        <v>1757</v>
      </c>
    </row>
    <row r="350">
      <c r="A350" s="4" t="s">
        <v>12083</v>
      </c>
      <c r="B350" s="13" t="s">
        <v>48</v>
      </c>
      <c r="C350" s="4">
        <v>2.0</v>
      </c>
      <c r="D350" s="4">
        <v>1.0</v>
      </c>
      <c r="E350" s="3"/>
      <c r="F350" s="3"/>
      <c r="G350" s="3"/>
      <c r="H350" s="4">
        <v>13.0</v>
      </c>
      <c r="I350" s="3"/>
      <c r="J350" s="4" t="s">
        <v>1757</v>
      </c>
    </row>
    <row r="351">
      <c r="A351" s="4" t="s">
        <v>12084</v>
      </c>
      <c r="B351" s="13" t="s">
        <v>48</v>
      </c>
      <c r="C351" s="4">
        <v>3.0</v>
      </c>
      <c r="D351" s="3"/>
      <c r="E351" s="3"/>
      <c r="F351" s="4">
        <v>9.0</v>
      </c>
      <c r="G351" s="3"/>
      <c r="H351" s="4">
        <v>13.0</v>
      </c>
      <c r="I351" s="4">
        <v>15.0</v>
      </c>
      <c r="J351" s="4" t="s">
        <v>1757</v>
      </c>
    </row>
    <row r="352">
      <c r="A352" s="4" t="s">
        <v>12085</v>
      </c>
      <c r="B352" s="13" t="s">
        <v>48</v>
      </c>
      <c r="C352" s="4">
        <v>4.0</v>
      </c>
      <c r="D352" s="3"/>
      <c r="E352" s="4">
        <v>2.0</v>
      </c>
      <c r="F352" s="4">
        <v>9.0</v>
      </c>
      <c r="G352" s="3"/>
      <c r="H352" s="4">
        <v>13.0</v>
      </c>
      <c r="I352" s="4">
        <v>15.0</v>
      </c>
      <c r="J352" s="4" t="s">
        <v>1757</v>
      </c>
    </row>
    <row r="353">
      <c r="A353" s="4" t="s">
        <v>12086</v>
      </c>
      <c r="B353" s="13" t="s">
        <v>48</v>
      </c>
      <c r="C353" s="4">
        <v>4.0</v>
      </c>
      <c r="D353" s="3"/>
      <c r="E353" s="4">
        <v>2.0</v>
      </c>
      <c r="F353" s="4">
        <v>9.0</v>
      </c>
      <c r="G353" s="3"/>
      <c r="H353" s="4">
        <v>13.0</v>
      </c>
      <c r="I353" s="4">
        <v>15.0</v>
      </c>
      <c r="J353" s="4" t="s">
        <v>1757</v>
      </c>
    </row>
    <row r="354">
      <c r="A354" s="4" t="s">
        <v>12087</v>
      </c>
      <c r="B354" s="13" t="s">
        <v>48</v>
      </c>
      <c r="C354" s="4">
        <v>4.0</v>
      </c>
      <c r="D354" s="3"/>
      <c r="E354" s="4">
        <v>2.0</v>
      </c>
      <c r="F354" s="4">
        <v>9.0</v>
      </c>
      <c r="G354" s="3"/>
      <c r="H354" s="4">
        <v>13.0</v>
      </c>
      <c r="I354" s="4">
        <v>15.0</v>
      </c>
      <c r="J354" s="4" t="s">
        <v>1757</v>
      </c>
      <c r="K354" s="4" t="s">
        <v>1757</v>
      </c>
    </row>
    <row r="355">
      <c r="A355" s="4" t="s">
        <v>12088</v>
      </c>
      <c r="B355" s="13" t="s">
        <v>48</v>
      </c>
      <c r="C355" s="4">
        <v>4.0</v>
      </c>
      <c r="D355" s="3"/>
      <c r="E355" s="4">
        <v>2.0</v>
      </c>
      <c r="F355" s="4">
        <v>9.0</v>
      </c>
      <c r="G355" s="3"/>
      <c r="H355" s="4">
        <v>13.0</v>
      </c>
      <c r="I355" s="4">
        <v>15.0</v>
      </c>
      <c r="J355" s="4" t="s">
        <v>1757</v>
      </c>
      <c r="K355" s="4" t="s">
        <v>1757</v>
      </c>
    </row>
    <row r="356">
      <c r="A356" s="4" t="s">
        <v>12089</v>
      </c>
      <c r="B356" s="13" t="s">
        <v>48</v>
      </c>
      <c r="C356" s="4">
        <v>4.0</v>
      </c>
      <c r="D356" s="3"/>
      <c r="E356" s="4">
        <v>2.0</v>
      </c>
      <c r="F356" s="4">
        <v>9.0</v>
      </c>
      <c r="G356" s="3"/>
      <c r="H356" s="4">
        <v>13.0</v>
      </c>
      <c r="I356" s="4">
        <v>15.0</v>
      </c>
      <c r="J356" s="4" t="s">
        <v>1757</v>
      </c>
      <c r="K356" s="4" t="s">
        <v>1757</v>
      </c>
    </row>
    <row r="357">
      <c r="A357" s="4" t="s">
        <v>12090</v>
      </c>
      <c r="B357" s="13" t="s">
        <v>48</v>
      </c>
      <c r="C357" s="4">
        <v>3.0</v>
      </c>
      <c r="D357" s="3"/>
      <c r="E357" s="4">
        <v>2.0</v>
      </c>
      <c r="F357" s="4">
        <v>9.0</v>
      </c>
      <c r="G357" s="3"/>
      <c r="H357" s="4">
        <v>13.0</v>
      </c>
      <c r="I357" s="3"/>
      <c r="J357" s="4" t="s">
        <v>1757</v>
      </c>
    </row>
    <row r="358">
      <c r="A358" s="4" t="s">
        <v>12091</v>
      </c>
      <c r="B358" s="13" t="s">
        <v>48</v>
      </c>
      <c r="C358" s="4">
        <v>3.0</v>
      </c>
      <c r="D358" s="3"/>
      <c r="E358" s="4">
        <v>2.0</v>
      </c>
      <c r="F358" s="4">
        <v>9.0</v>
      </c>
      <c r="G358" s="3"/>
      <c r="H358" s="4">
        <v>13.0</v>
      </c>
      <c r="I358" s="3"/>
      <c r="J358" s="4" t="s">
        <v>1757</v>
      </c>
    </row>
    <row r="359">
      <c r="A359" s="4" t="s">
        <v>12092</v>
      </c>
      <c r="B359" s="13" t="s">
        <v>48</v>
      </c>
      <c r="C359" s="4">
        <v>2.0</v>
      </c>
      <c r="D359" s="3"/>
      <c r="E359" s="4">
        <v>2.0</v>
      </c>
      <c r="F359" s="3"/>
      <c r="G359" s="3"/>
      <c r="H359" s="4">
        <v>13.0</v>
      </c>
      <c r="I359" s="3"/>
      <c r="J359" s="4" t="s">
        <v>1757</v>
      </c>
    </row>
    <row r="360">
      <c r="A360" s="4" t="s">
        <v>12093</v>
      </c>
      <c r="B360" s="13" t="s">
        <v>48</v>
      </c>
      <c r="C360" s="4">
        <v>2.0</v>
      </c>
      <c r="D360" s="3"/>
      <c r="E360" s="4">
        <v>2.0</v>
      </c>
      <c r="F360" s="3"/>
      <c r="G360" s="3"/>
      <c r="H360" s="4">
        <v>13.0</v>
      </c>
      <c r="I360" s="3"/>
      <c r="J360" s="4" t="s">
        <v>1757</v>
      </c>
    </row>
    <row r="361">
      <c r="A361" s="4" t="s">
        <v>12094</v>
      </c>
      <c r="B361" s="13" t="s">
        <v>48</v>
      </c>
      <c r="C361" s="4">
        <v>2.0</v>
      </c>
      <c r="D361" s="4">
        <v>1.0</v>
      </c>
      <c r="E361" s="3"/>
      <c r="F361" s="3"/>
      <c r="G361" s="3"/>
      <c r="H361" s="4">
        <v>13.0</v>
      </c>
      <c r="I361" s="3"/>
      <c r="J361" s="4" t="s">
        <v>1757</v>
      </c>
    </row>
    <row r="362">
      <c r="A362" s="4" t="s">
        <v>12095</v>
      </c>
      <c r="B362" s="13" t="s">
        <v>48</v>
      </c>
      <c r="C362" s="4">
        <v>2.0</v>
      </c>
      <c r="D362" s="4">
        <v>1.0</v>
      </c>
      <c r="E362" s="3"/>
      <c r="F362" s="3"/>
      <c r="G362" s="3"/>
      <c r="H362" s="4">
        <v>13.0</v>
      </c>
      <c r="I362" s="3"/>
      <c r="J362" s="4" t="s">
        <v>1757</v>
      </c>
    </row>
    <row r="363">
      <c r="A363" s="4" t="s">
        <v>12096</v>
      </c>
      <c r="B363" s="13" t="s">
        <v>48</v>
      </c>
      <c r="C363" s="4">
        <v>2.0</v>
      </c>
      <c r="D363" s="4">
        <v>1.0</v>
      </c>
      <c r="E363" s="3"/>
      <c r="F363" s="3"/>
      <c r="G363" s="3"/>
      <c r="H363" s="4">
        <v>13.0</v>
      </c>
      <c r="I363" s="3"/>
      <c r="J363" s="4" t="s">
        <v>1757</v>
      </c>
    </row>
    <row r="364">
      <c r="A364" s="4" t="s">
        <v>12097</v>
      </c>
      <c r="B364" s="13" t="s">
        <v>48</v>
      </c>
      <c r="C364" s="4">
        <v>2.0</v>
      </c>
      <c r="D364" s="4">
        <v>1.0</v>
      </c>
      <c r="E364" s="3"/>
      <c r="F364" s="3"/>
      <c r="G364" s="3"/>
      <c r="H364" s="4">
        <v>13.0</v>
      </c>
      <c r="I364" s="3"/>
      <c r="J364" s="4" t="s">
        <v>1757</v>
      </c>
    </row>
    <row r="365">
      <c r="A365" s="4" t="s">
        <v>12098</v>
      </c>
      <c r="B365" s="13" t="s">
        <v>48</v>
      </c>
      <c r="C365" s="4">
        <v>4.0</v>
      </c>
      <c r="D365" s="4">
        <v>1.0</v>
      </c>
      <c r="E365" s="3"/>
      <c r="F365" s="4">
        <v>9.0</v>
      </c>
      <c r="G365" s="3"/>
      <c r="H365" s="4">
        <v>13.0</v>
      </c>
      <c r="I365" s="4">
        <v>15.0</v>
      </c>
      <c r="J365" s="4" t="s">
        <v>1757</v>
      </c>
    </row>
    <row r="366">
      <c r="A366" s="4" t="s">
        <v>12099</v>
      </c>
      <c r="B366" s="13" t="s">
        <v>48</v>
      </c>
      <c r="C366" s="4">
        <v>5.0</v>
      </c>
      <c r="D366" s="4">
        <v>1.0</v>
      </c>
      <c r="E366" s="4">
        <v>2.0</v>
      </c>
      <c r="F366" s="4">
        <v>9.0</v>
      </c>
      <c r="G366" s="3"/>
      <c r="H366" s="4">
        <v>13.0</v>
      </c>
      <c r="I366" s="4">
        <v>15.0</v>
      </c>
      <c r="J366" s="4" t="s">
        <v>1757</v>
      </c>
    </row>
    <row r="367">
      <c r="A367" s="4" t="s">
        <v>12100</v>
      </c>
      <c r="B367" s="13" t="s">
        <v>48</v>
      </c>
      <c r="C367" s="4">
        <v>4.0</v>
      </c>
      <c r="D367" s="4">
        <v>1.0</v>
      </c>
      <c r="E367" s="3"/>
      <c r="F367" s="4">
        <v>9.0</v>
      </c>
      <c r="G367" s="3"/>
      <c r="H367" s="4">
        <v>13.0</v>
      </c>
      <c r="I367" s="4">
        <v>15.0</v>
      </c>
      <c r="J367" s="4" t="s">
        <v>1757</v>
      </c>
    </row>
    <row r="368">
      <c r="A368" s="4" t="s">
        <v>12101</v>
      </c>
      <c r="B368" s="13" t="s">
        <v>48</v>
      </c>
      <c r="C368" s="4">
        <v>3.0</v>
      </c>
      <c r="D368" s="3"/>
      <c r="E368" s="3"/>
      <c r="F368" s="4">
        <v>9.0</v>
      </c>
      <c r="G368" s="3"/>
      <c r="H368" s="4">
        <v>13.0</v>
      </c>
      <c r="I368" s="4">
        <v>15.0</v>
      </c>
      <c r="J368" s="4" t="s">
        <v>1757</v>
      </c>
    </row>
    <row r="369">
      <c r="A369" s="4" t="s">
        <v>12102</v>
      </c>
      <c r="B369" s="13" t="s">
        <v>48</v>
      </c>
      <c r="C369" s="4">
        <v>2.0</v>
      </c>
      <c r="D369" s="3"/>
      <c r="E369" s="3"/>
      <c r="F369" s="4">
        <v>9.0</v>
      </c>
      <c r="G369" s="3"/>
      <c r="H369" s="3"/>
      <c r="I369" s="4">
        <v>15.0</v>
      </c>
      <c r="J369" s="4" t="s">
        <v>1757</v>
      </c>
    </row>
    <row r="370">
      <c r="A370" s="4" t="s">
        <v>12103</v>
      </c>
      <c r="B370" s="13" t="s">
        <v>48</v>
      </c>
      <c r="C370" s="4">
        <v>1.0</v>
      </c>
      <c r="D370" s="3"/>
      <c r="E370" s="3"/>
      <c r="F370" s="3"/>
      <c r="G370" s="3"/>
      <c r="H370" s="3"/>
      <c r="I370" s="4">
        <v>15.0</v>
      </c>
      <c r="J370" s="4" t="s">
        <v>1757</v>
      </c>
    </row>
    <row r="371">
      <c r="A371" s="4" t="s">
        <v>12104</v>
      </c>
      <c r="B371" s="13" t="s">
        <v>48</v>
      </c>
      <c r="C371" s="4">
        <v>1.0</v>
      </c>
      <c r="D371" s="3"/>
      <c r="E371" s="3"/>
      <c r="F371" s="3"/>
      <c r="G371" s="3"/>
      <c r="H371" s="3"/>
      <c r="I371" s="4">
        <v>15.0</v>
      </c>
      <c r="J371" s="4" t="s">
        <v>1757</v>
      </c>
    </row>
    <row r="372">
      <c r="A372" s="4" t="s">
        <v>12105</v>
      </c>
      <c r="B372" s="13" t="s">
        <v>48</v>
      </c>
      <c r="C372" s="4">
        <v>1.0</v>
      </c>
      <c r="D372" s="3"/>
      <c r="E372" s="3"/>
      <c r="F372" s="3"/>
      <c r="G372" s="3"/>
      <c r="H372" s="3"/>
      <c r="I372" s="4">
        <v>15.0</v>
      </c>
      <c r="J372" s="4" t="s">
        <v>1757</v>
      </c>
      <c r="K372" s="4" t="s">
        <v>1757</v>
      </c>
    </row>
    <row r="373">
      <c r="A373" s="4" t="s">
        <v>12106</v>
      </c>
      <c r="B373" s="13" t="s">
        <v>48</v>
      </c>
      <c r="C373" s="4">
        <v>2.0</v>
      </c>
      <c r="D373" s="3"/>
      <c r="E373" s="3"/>
      <c r="F373" s="4">
        <v>9.0</v>
      </c>
      <c r="G373" s="3"/>
      <c r="H373" s="3"/>
      <c r="I373" s="4">
        <v>15.0</v>
      </c>
      <c r="J373" s="4" t="s">
        <v>1757</v>
      </c>
    </row>
    <row r="374">
      <c r="A374" s="4" t="s">
        <v>12107</v>
      </c>
      <c r="B374" s="13" t="s">
        <v>48</v>
      </c>
      <c r="C374" s="4">
        <v>2.0</v>
      </c>
      <c r="D374" s="3"/>
      <c r="E374" s="3"/>
      <c r="F374" s="4">
        <v>9.0</v>
      </c>
      <c r="G374" s="3"/>
      <c r="H374" s="3"/>
      <c r="I374" s="4">
        <v>15.0</v>
      </c>
      <c r="J374" s="4" t="s">
        <v>1757</v>
      </c>
    </row>
    <row r="375">
      <c r="A375" s="4" t="s">
        <v>12108</v>
      </c>
      <c r="B375" s="13" t="s">
        <v>48</v>
      </c>
      <c r="C375" s="4">
        <v>1.0</v>
      </c>
      <c r="D375" s="3"/>
      <c r="E375" s="3"/>
      <c r="F375" s="3"/>
      <c r="G375" s="3"/>
      <c r="H375" s="3"/>
      <c r="I375" s="4">
        <v>15.0</v>
      </c>
      <c r="J375" s="4" t="s">
        <v>1757</v>
      </c>
    </row>
    <row r="376">
      <c r="A376" s="4" t="s">
        <v>12109</v>
      </c>
      <c r="B376" s="13" t="s">
        <v>48</v>
      </c>
      <c r="C376" s="4">
        <v>1.0</v>
      </c>
      <c r="D376" s="3"/>
      <c r="E376" s="3"/>
      <c r="F376" s="3"/>
      <c r="G376" s="3"/>
      <c r="H376" s="3"/>
      <c r="I376" s="4">
        <v>15.0</v>
      </c>
      <c r="J376" s="4" t="s">
        <v>1757</v>
      </c>
      <c r="K376" s="4" t="s">
        <v>1757</v>
      </c>
    </row>
    <row r="377">
      <c r="A377" s="4" t="s">
        <v>12110</v>
      </c>
      <c r="B377" s="13" t="s">
        <v>48</v>
      </c>
      <c r="C377" s="4">
        <v>1.0</v>
      </c>
      <c r="D377" s="3"/>
      <c r="E377" s="3"/>
      <c r="F377" s="3"/>
      <c r="G377" s="3"/>
      <c r="H377" s="3"/>
      <c r="I377" s="4">
        <v>15.0</v>
      </c>
      <c r="J377" s="4" t="s">
        <v>1757</v>
      </c>
      <c r="K377" s="4" t="s">
        <v>1757</v>
      </c>
    </row>
    <row r="378">
      <c r="A378" s="4" t="s">
        <v>12111</v>
      </c>
      <c r="B378" s="13" t="s">
        <v>48</v>
      </c>
      <c r="C378" s="4">
        <v>1.0</v>
      </c>
      <c r="D378" s="3"/>
      <c r="E378" s="3"/>
      <c r="F378" s="3"/>
      <c r="G378" s="3"/>
      <c r="H378" s="3"/>
      <c r="I378" s="4">
        <v>15.0</v>
      </c>
      <c r="J378" s="4" t="s">
        <v>1757</v>
      </c>
      <c r="K378" s="4" t="s">
        <v>1757</v>
      </c>
    </row>
    <row r="379">
      <c r="A379" s="4" t="s">
        <v>12112</v>
      </c>
      <c r="B379" s="13" t="s">
        <v>48</v>
      </c>
      <c r="C379" s="4">
        <v>1.0</v>
      </c>
      <c r="D379" s="3"/>
      <c r="E379" s="3"/>
      <c r="F379" s="3"/>
      <c r="G379" s="3"/>
      <c r="H379" s="3"/>
      <c r="I379" s="4">
        <v>15.0</v>
      </c>
      <c r="J379" s="4" t="s">
        <v>1757</v>
      </c>
      <c r="K379" s="4" t="s">
        <v>1757</v>
      </c>
    </row>
    <row r="380">
      <c r="A380" s="4" t="s">
        <v>12113</v>
      </c>
      <c r="B380" s="13" t="s">
        <v>43</v>
      </c>
      <c r="D380" s="3"/>
      <c r="E380" s="3"/>
      <c r="F380" s="3"/>
      <c r="G380" s="3"/>
      <c r="H380" s="3"/>
      <c r="I380" s="3"/>
      <c r="J380" s="4" t="s">
        <v>1757</v>
      </c>
      <c r="K380" s="4" t="s">
        <v>1757</v>
      </c>
    </row>
    <row r="381">
      <c r="A381" s="4" t="s">
        <v>12114</v>
      </c>
      <c r="B381" s="13" t="s">
        <v>48</v>
      </c>
      <c r="C381" s="4">
        <v>1.0</v>
      </c>
      <c r="D381" s="3"/>
      <c r="E381" s="3"/>
      <c r="F381" s="4">
        <v>9.0</v>
      </c>
      <c r="G381" s="3"/>
      <c r="H381" s="3"/>
      <c r="I381" s="3"/>
      <c r="J381" s="4" t="s">
        <v>1757</v>
      </c>
    </row>
    <row r="382">
      <c r="A382" s="4" t="s">
        <v>12115</v>
      </c>
      <c r="B382" s="13" t="s">
        <v>48</v>
      </c>
      <c r="C382" s="4">
        <v>1.0</v>
      </c>
      <c r="D382" s="3"/>
      <c r="E382" s="3"/>
      <c r="F382" s="4">
        <v>9.0</v>
      </c>
      <c r="G382" s="3"/>
      <c r="H382" s="3"/>
      <c r="I382" s="3"/>
      <c r="J382" s="4" t="s">
        <v>1757</v>
      </c>
    </row>
    <row r="383">
      <c r="A383" s="4" t="s">
        <v>12116</v>
      </c>
      <c r="B383" s="13" t="s">
        <v>48</v>
      </c>
      <c r="C383" s="4">
        <v>1.0</v>
      </c>
      <c r="D383" s="3"/>
      <c r="E383" s="3"/>
      <c r="F383" s="4">
        <v>9.0</v>
      </c>
      <c r="G383" s="3"/>
      <c r="H383" s="3"/>
      <c r="I383" s="3"/>
      <c r="J383" s="4" t="s">
        <v>1757</v>
      </c>
    </row>
    <row r="384">
      <c r="A384" s="4" t="s">
        <v>12117</v>
      </c>
      <c r="B384" s="13" t="s">
        <v>48</v>
      </c>
      <c r="C384" s="4">
        <v>1.0</v>
      </c>
      <c r="D384" s="3"/>
      <c r="E384" s="3"/>
      <c r="F384" s="4">
        <v>9.0</v>
      </c>
      <c r="G384" s="3"/>
      <c r="H384" s="3"/>
      <c r="I384" s="3"/>
      <c r="J384" s="4" t="s">
        <v>1757</v>
      </c>
    </row>
    <row r="385">
      <c r="A385" s="4" t="s">
        <v>12118</v>
      </c>
      <c r="B385" s="13" t="s">
        <v>48</v>
      </c>
      <c r="C385" s="4">
        <v>1.0</v>
      </c>
      <c r="D385" s="3"/>
      <c r="E385" s="3"/>
      <c r="F385" s="4">
        <v>9.0</v>
      </c>
      <c r="G385" s="3"/>
      <c r="H385" s="3"/>
      <c r="I385" s="3"/>
      <c r="J385" s="4" t="s">
        <v>1757</v>
      </c>
    </row>
    <row r="386">
      <c r="A386" s="4" t="s">
        <v>12119</v>
      </c>
      <c r="B386" s="13" t="s">
        <v>48</v>
      </c>
      <c r="C386" s="4">
        <v>1.0</v>
      </c>
      <c r="D386" s="3"/>
      <c r="E386" s="3"/>
      <c r="F386" s="4">
        <v>9.0</v>
      </c>
      <c r="G386" s="3"/>
      <c r="H386" s="3"/>
      <c r="I386" s="3"/>
      <c r="J386" s="4" t="s">
        <v>1757</v>
      </c>
    </row>
    <row r="387">
      <c r="A387" s="4" t="s">
        <v>12120</v>
      </c>
      <c r="B387" s="13" t="s">
        <v>48</v>
      </c>
      <c r="C387" s="4">
        <v>1.0</v>
      </c>
      <c r="D387" s="3"/>
      <c r="E387" s="3"/>
      <c r="F387" s="4">
        <v>9.0</v>
      </c>
      <c r="G387" s="3"/>
      <c r="H387" s="3"/>
      <c r="I387" s="3"/>
    </row>
    <row r="388">
      <c r="A388" s="4" t="s">
        <v>12121</v>
      </c>
      <c r="B388" s="13" t="s">
        <v>48</v>
      </c>
      <c r="C388" s="4">
        <v>1.0</v>
      </c>
      <c r="D388" s="3"/>
      <c r="E388" s="3"/>
      <c r="F388" s="4">
        <v>9.0</v>
      </c>
      <c r="G388" s="3"/>
      <c r="H388" s="3"/>
      <c r="I388" s="3"/>
    </row>
    <row r="389">
      <c r="A389" s="4" t="s">
        <v>12122</v>
      </c>
      <c r="B389" s="13" t="s">
        <v>48</v>
      </c>
      <c r="C389" s="4">
        <v>1.0</v>
      </c>
      <c r="D389" s="3"/>
      <c r="E389" s="3"/>
      <c r="F389" s="4">
        <v>9.0</v>
      </c>
      <c r="G389" s="3"/>
      <c r="H389" s="3"/>
      <c r="I389" s="3"/>
    </row>
    <row r="390">
      <c r="A390" s="4" t="s">
        <v>12123</v>
      </c>
      <c r="B390" s="13" t="s">
        <v>43</v>
      </c>
      <c r="D390" s="3"/>
      <c r="E390" s="3"/>
      <c r="F390" s="3"/>
      <c r="G390" s="3"/>
      <c r="H390" s="3"/>
      <c r="I390" s="3"/>
    </row>
    <row r="391">
      <c r="A391" s="4" t="s">
        <v>12124</v>
      </c>
      <c r="B391" s="13" t="s">
        <v>43</v>
      </c>
      <c r="D391" s="3"/>
      <c r="E391" s="3"/>
      <c r="F391" s="3"/>
      <c r="G391" s="3"/>
      <c r="H391" s="3"/>
      <c r="I391" s="3"/>
    </row>
    <row r="392">
      <c r="A392" s="4" t="s">
        <v>12125</v>
      </c>
      <c r="B392" s="13" t="s">
        <v>43</v>
      </c>
      <c r="D392" s="3"/>
      <c r="E392" s="3"/>
      <c r="F392" s="3"/>
      <c r="G392" s="3"/>
      <c r="H392" s="3"/>
      <c r="I392" s="3"/>
    </row>
    <row r="393">
      <c r="A393" s="4" t="s">
        <v>12126</v>
      </c>
      <c r="B393" s="13" t="s">
        <v>43</v>
      </c>
      <c r="D393" s="3"/>
      <c r="E393" s="3"/>
      <c r="F393" s="3"/>
      <c r="G393" s="3"/>
      <c r="H393" s="3"/>
      <c r="I393" s="3"/>
    </row>
    <row r="394">
      <c r="A394" s="4" t="s">
        <v>12127</v>
      </c>
      <c r="B394" s="13" t="s">
        <v>48</v>
      </c>
      <c r="C394" s="4">
        <v>1.0</v>
      </c>
      <c r="D394" s="3"/>
      <c r="E394" s="4">
        <v>2.0</v>
      </c>
      <c r="F394" s="3"/>
      <c r="G394" s="3"/>
      <c r="H394" s="3"/>
      <c r="I394" s="3"/>
      <c r="J394" s="4" t="s">
        <v>1757</v>
      </c>
    </row>
    <row r="395">
      <c r="A395" s="4" t="s">
        <v>12128</v>
      </c>
      <c r="B395" s="13" t="s">
        <v>48</v>
      </c>
      <c r="C395" s="4">
        <v>1.0</v>
      </c>
      <c r="D395" s="3"/>
      <c r="E395" s="4">
        <v>2.0</v>
      </c>
      <c r="F395" s="3"/>
      <c r="G395" s="3"/>
      <c r="H395" s="3"/>
      <c r="I395" s="3"/>
      <c r="J395" s="4" t="s">
        <v>1757</v>
      </c>
    </row>
    <row r="396">
      <c r="A396" s="4" t="s">
        <v>12129</v>
      </c>
      <c r="B396" s="13" t="s">
        <v>48</v>
      </c>
      <c r="C396" s="4">
        <v>1.0</v>
      </c>
      <c r="D396" s="3"/>
      <c r="E396" s="4">
        <v>2.0</v>
      </c>
      <c r="F396" s="3"/>
      <c r="G396" s="3"/>
      <c r="H396" s="3"/>
      <c r="I396" s="3"/>
      <c r="J396" s="4" t="s">
        <v>1757</v>
      </c>
    </row>
    <row r="397">
      <c r="A397" s="4" t="s">
        <v>12130</v>
      </c>
      <c r="B397" s="13" t="s">
        <v>48</v>
      </c>
      <c r="C397" s="4">
        <v>1.0</v>
      </c>
      <c r="D397" s="3"/>
      <c r="E397" s="4">
        <v>2.0</v>
      </c>
      <c r="F397" s="3"/>
      <c r="G397" s="3"/>
      <c r="H397" s="3"/>
      <c r="I397" s="3"/>
      <c r="J397" s="4" t="s">
        <v>1757</v>
      </c>
    </row>
    <row r="398">
      <c r="A398" s="4" t="s">
        <v>12131</v>
      </c>
      <c r="B398" s="13" t="s">
        <v>48</v>
      </c>
      <c r="C398" s="4">
        <v>1.0</v>
      </c>
      <c r="D398" s="3"/>
      <c r="E398" s="4">
        <v>2.0</v>
      </c>
      <c r="F398" s="3"/>
      <c r="G398" s="3"/>
      <c r="H398" s="3"/>
      <c r="I398" s="3"/>
      <c r="J398" s="4" t="s">
        <v>1757</v>
      </c>
    </row>
    <row r="399">
      <c r="A399" s="4" t="s">
        <v>12132</v>
      </c>
      <c r="B399" s="13" t="s">
        <v>48</v>
      </c>
      <c r="C399" s="4">
        <v>1.0</v>
      </c>
      <c r="D399" s="3"/>
      <c r="E399" s="4">
        <v>2.0</v>
      </c>
      <c r="F399" s="3"/>
      <c r="G399" s="3"/>
      <c r="H399" s="3"/>
      <c r="I399" s="3"/>
      <c r="J399" s="4" t="s">
        <v>1757</v>
      </c>
    </row>
    <row r="400">
      <c r="A400" s="4" t="s">
        <v>12133</v>
      </c>
      <c r="B400" s="13" t="s">
        <v>48</v>
      </c>
      <c r="C400" s="4">
        <v>2.0</v>
      </c>
      <c r="D400" s="3"/>
      <c r="E400" s="4">
        <v>2.0</v>
      </c>
      <c r="F400" s="3"/>
      <c r="G400" s="3"/>
      <c r="H400" s="4">
        <v>13.0</v>
      </c>
      <c r="I400" s="3"/>
    </row>
    <row r="401">
      <c r="A401" s="4" t="s">
        <v>12134</v>
      </c>
      <c r="B401" s="13" t="s">
        <v>48</v>
      </c>
      <c r="C401" s="4">
        <v>2.0</v>
      </c>
      <c r="D401" s="3"/>
      <c r="E401" s="4">
        <v>2.0</v>
      </c>
      <c r="F401" s="3"/>
      <c r="G401" s="3"/>
      <c r="H401" s="4">
        <v>13.0</v>
      </c>
      <c r="I401" s="3"/>
    </row>
    <row r="402">
      <c r="A402" s="4" t="s">
        <v>12135</v>
      </c>
      <c r="B402" s="13" t="s">
        <v>48</v>
      </c>
      <c r="C402" s="4">
        <v>2.0</v>
      </c>
      <c r="D402" s="3"/>
      <c r="E402" s="4">
        <v>2.0</v>
      </c>
      <c r="F402" s="3"/>
      <c r="G402" s="3"/>
      <c r="H402" s="24">
        <v>13.0</v>
      </c>
      <c r="I402" s="3"/>
      <c r="J402" s="4" t="s">
        <v>1757</v>
      </c>
    </row>
    <row r="403">
      <c r="A403" s="4" t="s">
        <v>12136</v>
      </c>
      <c r="B403" s="13" t="s">
        <v>48</v>
      </c>
      <c r="C403" s="4">
        <v>2.0</v>
      </c>
      <c r="D403" s="3"/>
      <c r="E403" s="4">
        <v>2.0</v>
      </c>
      <c r="F403" s="3"/>
      <c r="G403" s="3"/>
      <c r="H403" s="24">
        <v>13.0</v>
      </c>
      <c r="I403" s="3"/>
    </row>
    <row r="404">
      <c r="A404" s="4" t="s">
        <v>12137</v>
      </c>
      <c r="B404" s="13" t="s">
        <v>48</v>
      </c>
      <c r="C404" s="4">
        <v>2.0</v>
      </c>
      <c r="D404" s="3"/>
      <c r="E404" s="4">
        <v>2.0</v>
      </c>
      <c r="F404" s="3"/>
      <c r="G404" s="3"/>
      <c r="H404" s="24">
        <v>13.0</v>
      </c>
      <c r="I404" s="3"/>
    </row>
    <row r="405">
      <c r="A405" s="4" t="s">
        <v>12138</v>
      </c>
      <c r="B405" s="13" t="s">
        <v>48</v>
      </c>
      <c r="C405" s="4">
        <v>2.0</v>
      </c>
      <c r="D405" s="3"/>
      <c r="E405" s="3"/>
      <c r="F405" s="4">
        <v>9.0</v>
      </c>
      <c r="G405" s="3"/>
      <c r="H405" s="4">
        <v>13.0</v>
      </c>
      <c r="I405" s="3"/>
    </row>
    <row r="406">
      <c r="A406" s="4" t="s">
        <v>12139</v>
      </c>
      <c r="B406" s="13" t="s">
        <v>48</v>
      </c>
      <c r="C406" s="4">
        <v>2.0</v>
      </c>
      <c r="D406" s="3"/>
      <c r="E406" s="3"/>
      <c r="F406" s="4">
        <v>9.0</v>
      </c>
      <c r="G406" s="3"/>
      <c r="H406" s="4">
        <v>13.0</v>
      </c>
      <c r="I406" s="3"/>
    </row>
    <row r="407">
      <c r="A407" s="4" t="s">
        <v>12140</v>
      </c>
      <c r="B407" s="13" t="s">
        <v>48</v>
      </c>
      <c r="C407" s="4">
        <v>2.0</v>
      </c>
      <c r="D407" s="3"/>
      <c r="E407" s="3"/>
      <c r="F407" s="4">
        <v>9.0</v>
      </c>
      <c r="G407" s="3"/>
      <c r="H407" s="4">
        <v>13.0</v>
      </c>
      <c r="I407" s="3"/>
    </row>
    <row r="408">
      <c r="A408" s="4" t="s">
        <v>12141</v>
      </c>
      <c r="B408" s="13" t="s">
        <v>48</v>
      </c>
      <c r="C408" s="4">
        <v>2.0</v>
      </c>
      <c r="D408" s="3"/>
      <c r="E408" s="3"/>
      <c r="F408" s="4">
        <v>9.0</v>
      </c>
      <c r="G408" s="3"/>
      <c r="H408" s="4">
        <v>13.0</v>
      </c>
      <c r="I408" s="3"/>
    </row>
    <row r="409">
      <c r="A409" s="4" t="s">
        <v>12142</v>
      </c>
      <c r="B409" s="13" t="s">
        <v>48</v>
      </c>
      <c r="C409" s="4">
        <v>2.0</v>
      </c>
      <c r="D409" s="3"/>
      <c r="E409" s="3"/>
      <c r="F409" s="4">
        <v>9.0</v>
      </c>
      <c r="G409" s="3"/>
      <c r="H409" s="4">
        <v>13.0</v>
      </c>
      <c r="I409" s="3"/>
      <c r="J409" s="4" t="s">
        <v>1757</v>
      </c>
      <c r="K409" s="4" t="s">
        <v>1757</v>
      </c>
    </row>
    <row r="410">
      <c r="A410" s="4" t="s">
        <v>12143</v>
      </c>
      <c r="B410" s="13" t="s">
        <v>48</v>
      </c>
      <c r="C410" s="4">
        <v>2.0</v>
      </c>
      <c r="D410" s="3"/>
      <c r="E410" s="3"/>
      <c r="F410" s="4">
        <v>9.0</v>
      </c>
      <c r="G410" s="3"/>
      <c r="H410" s="4">
        <v>13.0</v>
      </c>
      <c r="I410" s="3"/>
      <c r="J410" s="4" t="s">
        <v>1757</v>
      </c>
    </row>
    <row r="411">
      <c r="A411" s="4" t="s">
        <v>12144</v>
      </c>
      <c r="B411" s="13" t="s">
        <v>48</v>
      </c>
      <c r="C411" s="4">
        <v>2.0</v>
      </c>
      <c r="D411" s="3"/>
      <c r="E411" s="3"/>
      <c r="F411" s="4">
        <v>9.0</v>
      </c>
      <c r="G411" s="3"/>
      <c r="H411" s="4">
        <v>13.0</v>
      </c>
      <c r="I411" s="3"/>
      <c r="J411" s="4" t="s">
        <v>1757</v>
      </c>
    </row>
    <row r="412">
      <c r="A412" s="4" t="s">
        <v>12145</v>
      </c>
      <c r="B412" s="13" t="s">
        <v>48</v>
      </c>
      <c r="C412" s="4">
        <v>2.0</v>
      </c>
      <c r="D412" s="3"/>
      <c r="E412" s="3"/>
      <c r="F412" s="4">
        <v>9.0</v>
      </c>
      <c r="G412" s="3"/>
      <c r="H412" s="4">
        <v>13.0</v>
      </c>
      <c r="I412" s="3"/>
      <c r="J412" s="4" t="s">
        <v>1757</v>
      </c>
    </row>
    <row r="413">
      <c r="A413" s="4" t="s">
        <v>12146</v>
      </c>
      <c r="B413" s="13" t="s">
        <v>48</v>
      </c>
      <c r="C413" s="4">
        <v>2.0</v>
      </c>
      <c r="D413" s="3"/>
      <c r="E413" s="3"/>
      <c r="F413" s="4">
        <v>9.0</v>
      </c>
      <c r="G413" s="3"/>
      <c r="H413" s="4">
        <v>13.0</v>
      </c>
      <c r="I413" s="3"/>
      <c r="J413" s="4" t="s">
        <v>1757</v>
      </c>
    </row>
    <row r="414">
      <c r="A414" s="4" t="s">
        <v>12147</v>
      </c>
      <c r="B414" s="13" t="s">
        <v>48</v>
      </c>
      <c r="C414" s="4">
        <v>2.0</v>
      </c>
      <c r="D414" s="3"/>
      <c r="E414" s="3"/>
      <c r="F414" s="4">
        <v>9.0</v>
      </c>
      <c r="G414" s="3"/>
      <c r="H414" s="4">
        <v>13.0</v>
      </c>
      <c r="I414" s="3"/>
      <c r="J414" s="4" t="s">
        <v>1757</v>
      </c>
    </row>
    <row r="415">
      <c r="A415" s="4" t="s">
        <v>12148</v>
      </c>
      <c r="B415" s="13" t="s">
        <v>48</v>
      </c>
      <c r="C415" s="4">
        <v>2.0</v>
      </c>
      <c r="D415" s="3"/>
      <c r="E415" s="3"/>
      <c r="F415" s="3"/>
      <c r="G415" s="3"/>
      <c r="H415" s="4">
        <v>13.0</v>
      </c>
      <c r="I415" s="4">
        <v>15.0</v>
      </c>
      <c r="J415" s="4" t="s">
        <v>1757</v>
      </c>
      <c r="K415" s="4" t="s">
        <v>1757</v>
      </c>
    </row>
    <row r="416">
      <c r="A416" s="4" t="s">
        <v>12149</v>
      </c>
      <c r="B416" s="13" t="s">
        <v>48</v>
      </c>
      <c r="C416" s="4">
        <v>1.0</v>
      </c>
      <c r="D416" s="3"/>
      <c r="E416" s="3"/>
      <c r="F416" s="3"/>
      <c r="G416" s="3"/>
      <c r="H416" s="3"/>
      <c r="I416" s="4">
        <v>15.0</v>
      </c>
      <c r="J416" s="4" t="s">
        <v>1757</v>
      </c>
      <c r="K416" s="4" t="s">
        <v>1757</v>
      </c>
    </row>
    <row r="417">
      <c r="A417" s="4" t="s">
        <v>12150</v>
      </c>
      <c r="B417" s="13" t="s">
        <v>48</v>
      </c>
      <c r="C417" s="4">
        <v>1.0</v>
      </c>
      <c r="D417" s="3"/>
      <c r="E417" s="3"/>
      <c r="F417" s="3"/>
      <c r="G417" s="3"/>
      <c r="H417" s="3"/>
      <c r="I417" s="4">
        <v>15.0</v>
      </c>
      <c r="J417" s="4" t="s">
        <v>1757</v>
      </c>
      <c r="K417" s="4" t="s">
        <v>1757</v>
      </c>
    </row>
    <row r="418">
      <c r="A418" s="4" t="s">
        <v>12151</v>
      </c>
      <c r="B418" s="13" t="s">
        <v>48</v>
      </c>
      <c r="C418" s="4">
        <v>2.0</v>
      </c>
      <c r="D418" s="4">
        <v>1.0</v>
      </c>
      <c r="E418" s="3"/>
      <c r="F418" s="3"/>
      <c r="G418" s="3"/>
      <c r="H418" s="3"/>
      <c r="I418" s="4">
        <v>15.0</v>
      </c>
      <c r="J418" s="4" t="s">
        <v>1757</v>
      </c>
    </row>
    <row r="419">
      <c r="A419" s="4" t="s">
        <v>12152</v>
      </c>
      <c r="B419" s="13" t="s">
        <v>48</v>
      </c>
      <c r="C419" s="4">
        <v>1.0</v>
      </c>
      <c r="D419" s="4">
        <v>1.0</v>
      </c>
      <c r="E419" s="3"/>
      <c r="F419" s="3"/>
      <c r="G419" s="3"/>
      <c r="H419" s="3"/>
      <c r="I419" s="3"/>
      <c r="J419" s="4" t="s">
        <v>1757</v>
      </c>
    </row>
    <row r="420">
      <c r="A420" s="4" t="s">
        <v>12153</v>
      </c>
      <c r="B420" s="13" t="s">
        <v>48</v>
      </c>
      <c r="C420" s="4">
        <v>1.0</v>
      </c>
      <c r="D420" s="4">
        <v>1.0</v>
      </c>
      <c r="E420" s="3"/>
      <c r="F420" s="3"/>
      <c r="G420" s="3"/>
      <c r="H420" s="3"/>
      <c r="I420" s="3"/>
    </row>
    <row r="421">
      <c r="A421" s="4" t="s">
        <v>12154</v>
      </c>
      <c r="B421" s="13" t="s">
        <v>48</v>
      </c>
      <c r="C421" s="4">
        <v>1.0</v>
      </c>
      <c r="D421" s="4">
        <v>1.0</v>
      </c>
      <c r="E421" s="3"/>
      <c r="F421" s="3"/>
      <c r="G421" s="3"/>
      <c r="H421" s="3"/>
      <c r="I421" s="3"/>
    </row>
    <row r="422">
      <c r="A422" s="4" t="s">
        <v>12155</v>
      </c>
      <c r="B422" s="13" t="s">
        <v>48</v>
      </c>
      <c r="C422" s="4">
        <v>1.0</v>
      </c>
      <c r="D422" s="4">
        <v>1.0</v>
      </c>
      <c r="E422" s="3"/>
      <c r="F422" s="3"/>
      <c r="G422" s="3"/>
      <c r="H422" s="3"/>
      <c r="I422" s="3"/>
    </row>
    <row r="423">
      <c r="A423" s="4" t="s">
        <v>12156</v>
      </c>
      <c r="B423" s="13" t="s">
        <v>48</v>
      </c>
      <c r="C423" s="4">
        <v>1.0</v>
      </c>
      <c r="D423" s="4">
        <v>1.0</v>
      </c>
      <c r="E423" s="3"/>
      <c r="F423" s="3"/>
      <c r="G423" s="3"/>
      <c r="H423" s="3"/>
      <c r="I423" s="3"/>
    </row>
    <row r="424">
      <c r="A424" s="4" t="s">
        <v>12157</v>
      </c>
      <c r="B424" s="13" t="s">
        <v>48</v>
      </c>
      <c r="C424" s="4">
        <v>1.0</v>
      </c>
      <c r="D424" s="4">
        <v>1.0</v>
      </c>
      <c r="E424" s="3"/>
      <c r="F424" s="3"/>
      <c r="G424" s="3"/>
      <c r="H424" s="3"/>
      <c r="I424" s="3"/>
    </row>
    <row r="425">
      <c r="A425" s="4" t="s">
        <v>12158</v>
      </c>
      <c r="B425" s="13" t="s">
        <v>48</v>
      </c>
      <c r="C425" s="4">
        <v>1.0</v>
      </c>
      <c r="D425" s="4">
        <v>1.0</v>
      </c>
      <c r="E425" s="3"/>
      <c r="F425" s="3"/>
      <c r="G425" s="3"/>
      <c r="H425" s="3"/>
      <c r="I425" s="3"/>
    </row>
    <row r="426">
      <c r="A426" s="4" t="s">
        <v>12159</v>
      </c>
      <c r="B426" s="13" t="s">
        <v>48</v>
      </c>
      <c r="C426" s="4">
        <v>1.0</v>
      </c>
      <c r="D426" s="4">
        <v>1.0</v>
      </c>
      <c r="E426" s="3"/>
      <c r="F426" s="3"/>
      <c r="G426" s="3"/>
      <c r="H426" s="3"/>
      <c r="I426" s="3"/>
    </row>
    <row r="427">
      <c r="A427" s="4" t="s">
        <v>12160</v>
      </c>
      <c r="B427" s="13" t="s">
        <v>48</v>
      </c>
      <c r="C427" s="4">
        <v>1.0</v>
      </c>
      <c r="D427" s="4">
        <v>1.0</v>
      </c>
      <c r="E427" s="3"/>
      <c r="F427" s="3"/>
      <c r="G427" s="3"/>
      <c r="H427" s="3"/>
      <c r="I427" s="3"/>
    </row>
    <row r="428">
      <c r="A428" s="4" t="s">
        <v>12161</v>
      </c>
      <c r="B428" s="13" t="s">
        <v>48</v>
      </c>
      <c r="C428" s="4">
        <v>1.0</v>
      </c>
      <c r="D428" s="4">
        <v>1.0</v>
      </c>
      <c r="E428" s="3"/>
      <c r="F428" s="3"/>
      <c r="G428" s="3"/>
      <c r="H428" s="3"/>
      <c r="I428" s="3"/>
      <c r="J428" s="4" t="s">
        <v>1757</v>
      </c>
    </row>
    <row r="429">
      <c r="A429" s="4" t="s">
        <v>12162</v>
      </c>
      <c r="B429" s="13" t="s">
        <v>48</v>
      </c>
      <c r="C429" s="4">
        <v>3.0</v>
      </c>
      <c r="D429" s="4">
        <v>1.0</v>
      </c>
      <c r="E429" s="3"/>
      <c r="F429" s="4">
        <v>9.0</v>
      </c>
      <c r="G429" s="3"/>
      <c r="H429" s="4">
        <v>13.0</v>
      </c>
      <c r="I429" s="3"/>
      <c r="J429" s="4" t="s">
        <v>1757</v>
      </c>
    </row>
    <row r="430">
      <c r="A430" s="4" t="s">
        <v>12163</v>
      </c>
      <c r="B430" s="13" t="s">
        <v>48</v>
      </c>
      <c r="C430" s="4">
        <v>3.0</v>
      </c>
      <c r="D430" s="3"/>
      <c r="E430" s="4">
        <v>2.0</v>
      </c>
      <c r="F430" s="4">
        <v>9.0</v>
      </c>
      <c r="G430" s="3"/>
      <c r="H430" s="4">
        <v>13.0</v>
      </c>
      <c r="I430" s="3"/>
      <c r="J430" s="4" t="s">
        <v>1757</v>
      </c>
      <c r="K430" s="4" t="s">
        <v>1757</v>
      </c>
    </row>
    <row r="431">
      <c r="A431" s="4" t="s">
        <v>12164</v>
      </c>
      <c r="B431" s="13" t="s">
        <v>48</v>
      </c>
      <c r="C431" s="4">
        <v>3.0</v>
      </c>
      <c r="D431" s="3"/>
      <c r="E431" s="4">
        <v>2.0</v>
      </c>
      <c r="F431" s="4">
        <v>9.0</v>
      </c>
      <c r="G431" s="3"/>
      <c r="H431" s="4">
        <v>13.0</v>
      </c>
      <c r="I431" s="3"/>
      <c r="J431" s="4" t="s">
        <v>1757</v>
      </c>
      <c r="K431" s="4" t="s">
        <v>1757</v>
      </c>
    </row>
    <row r="432">
      <c r="A432" s="4" t="s">
        <v>12165</v>
      </c>
      <c r="B432" s="13" t="s">
        <v>48</v>
      </c>
      <c r="C432" s="4">
        <v>2.0</v>
      </c>
      <c r="D432" s="3"/>
      <c r="E432" s="4">
        <v>2.0</v>
      </c>
      <c r="F432" s="3"/>
      <c r="G432" s="3"/>
      <c r="H432" s="4">
        <v>13.0</v>
      </c>
      <c r="I432" s="3"/>
      <c r="J432" s="4" t="s">
        <v>1757</v>
      </c>
    </row>
    <row r="433">
      <c r="A433" s="4" t="s">
        <v>12166</v>
      </c>
      <c r="B433" s="13" t="s">
        <v>48</v>
      </c>
      <c r="C433" s="4">
        <v>1.0</v>
      </c>
      <c r="D433" s="3"/>
      <c r="E433" s="4">
        <v>2.0</v>
      </c>
      <c r="F433" s="3"/>
      <c r="G433" s="3"/>
      <c r="H433" s="3"/>
      <c r="I433" s="3"/>
      <c r="J433" s="4" t="s">
        <v>1757</v>
      </c>
    </row>
    <row r="434">
      <c r="A434" s="4" t="s">
        <v>12167</v>
      </c>
      <c r="B434" s="13" t="s">
        <v>48</v>
      </c>
      <c r="C434" s="4">
        <v>1.0</v>
      </c>
      <c r="D434" s="3"/>
      <c r="E434" s="4">
        <v>2.0</v>
      </c>
      <c r="F434" s="3"/>
      <c r="G434" s="3"/>
      <c r="H434" s="3"/>
      <c r="I434" s="3"/>
    </row>
    <row r="435">
      <c r="A435" s="4" t="s">
        <v>12168</v>
      </c>
      <c r="B435" s="13" t="s">
        <v>48</v>
      </c>
      <c r="C435" s="4">
        <v>3.0</v>
      </c>
      <c r="D435" s="3"/>
      <c r="E435" s="4">
        <v>2.0</v>
      </c>
      <c r="F435" s="4">
        <v>9.0</v>
      </c>
      <c r="G435" s="3"/>
      <c r="H435" s="4">
        <v>13.0</v>
      </c>
      <c r="I435" s="3"/>
      <c r="J435" s="4" t="s">
        <v>1757</v>
      </c>
      <c r="K435" s="4" t="s">
        <v>1757</v>
      </c>
    </row>
    <row r="436">
      <c r="A436" s="4" t="s">
        <v>12169</v>
      </c>
      <c r="B436" s="13" t="s">
        <v>48</v>
      </c>
      <c r="C436" s="4">
        <v>4.0</v>
      </c>
      <c r="D436" s="4">
        <v>1.0</v>
      </c>
      <c r="E436" s="4">
        <v>2.0</v>
      </c>
      <c r="F436" s="4">
        <v>9.0</v>
      </c>
      <c r="G436" s="3"/>
      <c r="H436" s="4">
        <v>13.0</v>
      </c>
      <c r="I436" s="3"/>
      <c r="J436" s="4" t="s">
        <v>1757</v>
      </c>
      <c r="K436" s="4" t="s">
        <v>1757</v>
      </c>
    </row>
    <row r="437">
      <c r="A437" s="4" t="s">
        <v>12170</v>
      </c>
      <c r="B437" s="13" t="s">
        <v>48</v>
      </c>
      <c r="C437" s="4">
        <v>2.0</v>
      </c>
      <c r="D437" s="4">
        <v>1.0</v>
      </c>
      <c r="E437" s="3"/>
      <c r="F437" s="3"/>
      <c r="G437" s="3"/>
      <c r="H437" s="4">
        <v>13.0</v>
      </c>
      <c r="I437" s="3"/>
      <c r="J437" s="4" t="s">
        <v>1757</v>
      </c>
    </row>
    <row r="438">
      <c r="A438" s="4" t="s">
        <v>12171</v>
      </c>
      <c r="B438" s="13" t="s">
        <v>48</v>
      </c>
      <c r="C438" s="4">
        <v>1.0</v>
      </c>
      <c r="D438" s="4">
        <v>1.0</v>
      </c>
      <c r="E438" s="3"/>
      <c r="F438" s="3"/>
      <c r="G438" s="3"/>
      <c r="H438" s="3"/>
      <c r="I438" s="3"/>
      <c r="J438" s="4" t="s">
        <v>1757</v>
      </c>
    </row>
    <row r="439">
      <c r="A439" s="4" t="s">
        <v>12172</v>
      </c>
      <c r="B439" s="13" t="s">
        <v>48</v>
      </c>
      <c r="C439" s="4">
        <v>1.0</v>
      </c>
      <c r="D439" s="4">
        <v>1.0</v>
      </c>
      <c r="E439" s="3"/>
      <c r="F439" s="3"/>
      <c r="G439" s="3"/>
      <c r="H439" s="3"/>
      <c r="I439" s="3"/>
      <c r="J439" s="4" t="s">
        <v>1757</v>
      </c>
    </row>
    <row r="440">
      <c r="A440" s="4" t="s">
        <v>12173</v>
      </c>
      <c r="B440" s="13" t="s">
        <v>48</v>
      </c>
      <c r="C440" s="4">
        <v>1.0</v>
      </c>
      <c r="D440" s="4">
        <v>1.0</v>
      </c>
      <c r="E440" s="3"/>
      <c r="F440" s="3"/>
      <c r="G440" s="3"/>
      <c r="H440" s="3"/>
      <c r="I440" s="3"/>
      <c r="J440" s="4" t="s">
        <v>1757</v>
      </c>
    </row>
    <row r="441">
      <c r="A441" s="4" t="s">
        <v>12174</v>
      </c>
      <c r="B441" s="13" t="s">
        <v>48</v>
      </c>
      <c r="C441" s="4">
        <v>1.0</v>
      </c>
      <c r="D441" s="4">
        <v>1.0</v>
      </c>
      <c r="E441" s="3"/>
      <c r="F441" s="3"/>
      <c r="G441" s="3"/>
      <c r="H441" s="3"/>
      <c r="I441" s="3"/>
      <c r="J441" s="4" t="s">
        <v>1757</v>
      </c>
    </row>
    <row r="442">
      <c r="A442" s="4" t="s">
        <v>12175</v>
      </c>
      <c r="B442" s="13" t="s">
        <v>48</v>
      </c>
      <c r="C442" s="4">
        <v>1.0</v>
      </c>
      <c r="D442" s="4">
        <v>1.0</v>
      </c>
      <c r="E442" s="3"/>
      <c r="F442" s="3"/>
      <c r="G442" s="3"/>
      <c r="H442" s="3"/>
      <c r="I442" s="3"/>
      <c r="J442" s="4" t="s">
        <v>1757</v>
      </c>
    </row>
    <row r="443">
      <c r="A443" s="4" t="s">
        <v>12176</v>
      </c>
      <c r="B443" s="13" t="s">
        <v>48</v>
      </c>
      <c r="C443" s="4">
        <v>1.0</v>
      </c>
      <c r="D443" s="4">
        <v>1.0</v>
      </c>
      <c r="E443" s="3"/>
      <c r="F443" s="3"/>
      <c r="G443" s="3"/>
      <c r="H443" s="3"/>
      <c r="I443" s="3"/>
      <c r="J443" s="4" t="s">
        <v>1757</v>
      </c>
    </row>
    <row r="444">
      <c r="A444" s="4" t="s">
        <v>12177</v>
      </c>
      <c r="B444" s="13" t="s">
        <v>48</v>
      </c>
      <c r="C444" s="4">
        <v>1.0</v>
      </c>
      <c r="D444" s="3"/>
      <c r="E444" s="3"/>
      <c r="F444" s="3"/>
      <c r="G444" s="3"/>
      <c r="H444" s="4">
        <v>13.0</v>
      </c>
      <c r="I444" s="3"/>
      <c r="J444" s="4" t="s">
        <v>1757</v>
      </c>
    </row>
    <row r="445">
      <c r="A445" s="4" t="s">
        <v>12178</v>
      </c>
      <c r="B445" s="13" t="s">
        <v>48</v>
      </c>
      <c r="C445" s="4">
        <v>1.0</v>
      </c>
      <c r="D445" s="3"/>
      <c r="E445" s="3"/>
      <c r="F445" s="3"/>
      <c r="G445" s="3"/>
      <c r="H445" s="4">
        <v>13.0</v>
      </c>
      <c r="I445" s="3"/>
      <c r="J445" s="4" t="s">
        <v>1757</v>
      </c>
    </row>
    <row r="446">
      <c r="A446" s="4" t="s">
        <v>12179</v>
      </c>
      <c r="B446" s="13" t="s">
        <v>48</v>
      </c>
      <c r="C446" s="4">
        <v>1.0</v>
      </c>
      <c r="D446" s="3"/>
      <c r="E446" s="3"/>
      <c r="F446" s="3"/>
      <c r="G446" s="3"/>
      <c r="H446" s="4">
        <v>13.0</v>
      </c>
      <c r="I446" s="3"/>
      <c r="J446" s="4" t="s">
        <v>1757</v>
      </c>
    </row>
    <row r="447">
      <c r="A447" s="4" t="s">
        <v>12180</v>
      </c>
      <c r="B447" s="13" t="s">
        <v>48</v>
      </c>
      <c r="C447" s="4">
        <v>1.0</v>
      </c>
      <c r="D447" s="3"/>
      <c r="E447" s="3"/>
      <c r="F447" s="3"/>
      <c r="G447" s="3"/>
      <c r="H447" s="4">
        <v>13.0</v>
      </c>
      <c r="I447" s="3"/>
      <c r="J447" s="4" t="s">
        <v>1757</v>
      </c>
    </row>
    <row r="448">
      <c r="A448" s="4" t="s">
        <v>12181</v>
      </c>
      <c r="B448" s="13" t="s">
        <v>48</v>
      </c>
      <c r="C448" s="4">
        <v>1.0</v>
      </c>
      <c r="D448" s="3"/>
      <c r="E448" s="3"/>
      <c r="F448" s="3"/>
      <c r="G448" s="3"/>
      <c r="H448" s="4">
        <v>13.0</v>
      </c>
      <c r="I448" s="3"/>
      <c r="J448" s="4" t="s">
        <v>1757</v>
      </c>
    </row>
    <row r="449">
      <c r="A449" s="4" t="s">
        <v>12182</v>
      </c>
      <c r="B449" s="13" t="s">
        <v>48</v>
      </c>
      <c r="C449" s="4">
        <v>1.0</v>
      </c>
      <c r="D449" s="3"/>
      <c r="E449" s="3"/>
      <c r="F449" s="3"/>
      <c r="G449" s="3"/>
      <c r="H449" s="4">
        <v>13.0</v>
      </c>
      <c r="I449" s="3"/>
      <c r="J449" s="4" t="s">
        <v>1757</v>
      </c>
    </row>
    <row r="450">
      <c r="A450" s="4" t="s">
        <v>12183</v>
      </c>
      <c r="B450" s="13" t="s">
        <v>48</v>
      </c>
      <c r="C450" s="4">
        <v>1.0</v>
      </c>
      <c r="D450" s="3"/>
      <c r="E450" s="3"/>
      <c r="F450" s="3"/>
      <c r="G450" s="3"/>
      <c r="H450" s="4">
        <v>13.0</v>
      </c>
      <c r="I450" s="3"/>
      <c r="J450" s="4" t="s">
        <v>1757</v>
      </c>
    </row>
    <row r="451">
      <c r="A451" s="4" t="s">
        <v>12184</v>
      </c>
      <c r="B451" s="13" t="s">
        <v>48</v>
      </c>
      <c r="C451" s="4">
        <v>2.0</v>
      </c>
      <c r="D451" s="3"/>
      <c r="E451" s="4">
        <v>2.0</v>
      </c>
      <c r="F451" s="3"/>
      <c r="G451" s="3"/>
      <c r="H451" s="4">
        <v>13.0</v>
      </c>
      <c r="I451" s="3"/>
    </row>
    <row r="452">
      <c r="A452" s="4" t="s">
        <v>12185</v>
      </c>
      <c r="B452" s="13" t="s">
        <v>48</v>
      </c>
      <c r="C452" s="4">
        <v>1.0</v>
      </c>
      <c r="D452" s="3"/>
      <c r="E452" s="4">
        <v>2.0</v>
      </c>
      <c r="F452" s="3"/>
      <c r="G452" s="3"/>
      <c r="H452" s="3"/>
      <c r="I452" s="3"/>
    </row>
    <row r="453">
      <c r="A453" s="4" t="s">
        <v>12186</v>
      </c>
      <c r="B453" s="13" t="s">
        <v>48</v>
      </c>
      <c r="C453" s="4">
        <v>1.0</v>
      </c>
      <c r="D453" s="3"/>
      <c r="E453" s="4">
        <v>2.0</v>
      </c>
      <c r="F453" s="3"/>
      <c r="G453" s="3"/>
      <c r="H453" s="3"/>
      <c r="I453" s="3"/>
    </row>
    <row r="454">
      <c r="A454" s="4" t="s">
        <v>12187</v>
      </c>
      <c r="B454" s="13" t="s">
        <v>48</v>
      </c>
      <c r="C454" s="4">
        <v>1.0</v>
      </c>
      <c r="D454" s="3"/>
      <c r="E454" s="4">
        <v>2.0</v>
      </c>
      <c r="F454" s="3"/>
      <c r="G454" s="3"/>
      <c r="H454" s="3"/>
      <c r="I454" s="3"/>
    </row>
    <row r="455">
      <c r="A455" s="4" t="s">
        <v>12188</v>
      </c>
      <c r="B455" s="13" t="s">
        <v>48</v>
      </c>
      <c r="C455" s="4">
        <v>1.0</v>
      </c>
      <c r="D455" s="3"/>
      <c r="E455" s="4">
        <v>2.0</v>
      </c>
      <c r="F455" s="3"/>
      <c r="G455" s="3"/>
      <c r="H455" s="3"/>
      <c r="I455" s="3"/>
    </row>
    <row r="456">
      <c r="A456" s="4" t="s">
        <v>12189</v>
      </c>
      <c r="B456" s="13" t="s">
        <v>48</v>
      </c>
      <c r="C456" s="4">
        <v>1.0</v>
      </c>
      <c r="D456" s="3"/>
      <c r="E456" s="4">
        <v>2.0</v>
      </c>
      <c r="F456" s="3"/>
      <c r="G456" s="3"/>
      <c r="H456" s="3"/>
      <c r="I456" s="3"/>
    </row>
    <row r="457">
      <c r="A457" s="4" t="s">
        <v>12190</v>
      </c>
      <c r="B457" s="13" t="s">
        <v>48</v>
      </c>
      <c r="C457" s="4">
        <v>1.0</v>
      </c>
      <c r="D457" s="3"/>
      <c r="E457" s="4">
        <v>2.0</v>
      </c>
      <c r="F457" s="3"/>
      <c r="G457" s="3"/>
      <c r="H457" s="3"/>
      <c r="I457" s="3"/>
    </row>
    <row r="458">
      <c r="A458" s="4" t="s">
        <v>12191</v>
      </c>
      <c r="B458" s="13" t="s">
        <v>48</v>
      </c>
      <c r="C458" s="4">
        <v>1.0</v>
      </c>
      <c r="D458" s="3"/>
      <c r="E458" s="4">
        <v>2.0</v>
      </c>
      <c r="F458" s="3"/>
      <c r="G458" s="3"/>
      <c r="H458" s="3"/>
      <c r="I458" s="3"/>
    </row>
    <row r="459">
      <c r="A459" s="4" t="s">
        <v>12192</v>
      </c>
      <c r="B459" s="13" t="s">
        <v>48</v>
      </c>
      <c r="C459" s="4">
        <v>1.0</v>
      </c>
      <c r="D459" s="3"/>
      <c r="E459" s="4">
        <v>2.0</v>
      </c>
      <c r="F459" s="3"/>
      <c r="G459" s="3"/>
      <c r="H459" s="3"/>
      <c r="I459" s="3"/>
    </row>
    <row r="460">
      <c r="A460" s="4" t="s">
        <v>12193</v>
      </c>
      <c r="B460" s="13" t="s">
        <v>48</v>
      </c>
      <c r="C460" s="4">
        <v>1.0</v>
      </c>
      <c r="D460" s="3"/>
      <c r="E460" s="4">
        <v>2.0</v>
      </c>
      <c r="F460" s="3"/>
      <c r="G460" s="3"/>
      <c r="H460" s="3"/>
      <c r="I460" s="3"/>
    </row>
    <row r="461">
      <c r="A461" s="4" t="s">
        <v>12194</v>
      </c>
      <c r="B461" s="13" t="s">
        <v>48</v>
      </c>
      <c r="C461" s="4">
        <v>1.0</v>
      </c>
      <c r="D461" s="3"/>
      <c r="E461" s="4">
        <v>2.0</v>
      </c>
      <c r="F461" s="3"/>
      <c r="G461" s="3"/>
      <c r="H461" s="3"/>
      <c r="I461" s="3"/>
    </row>
    <row r="462">
      <c r="A462" s="4" t="s">
        <v>12195</v>
      </c>
      <c r="B462" s="13" t="s">
        <v>48</v>
      </c>
      <c r="C462" s="4">
        <v>1.0</v>
      </c>
      <c r="D462" s="3"/>
      <c r="E462" s="4">
        <v>2.0</v>
      </c>
      <c r="F462" s="3"/>
      <c r="G462" s="3"/>
      <c r="H462" s="3"/>
      <c r="I462" s="3"/>
    </row>
    <row r="463">
      <c r="A463" s="4" t="s">
        <v>12196</v>
      </c>
      <c r="B463" s="13" t="s">
        <v>48</v>
      </c>
      <c r="C463" s="4">
        <v>1.0</v>
      </c>
      <c r="D463" s="3"/>
      <c r="E463" s="4">
        <v>2.0</v>
      </c>
      <c r="F463" s="3"/>
      <c r="G463" s="3"/>
      <c r="H463" s="3"/>
      <c r="I463" s="3"/>
    </row>
    <row r="464">
      <c r="A464" s="4" t="s">
        <v>12197</v>
      </c>
      <c r="B464" s="13" t="s">
        <v>48</v>
      </c>
      <c r="C464" s="4">
        <v>1.0</v>
      </c>
      <c r="D464" s="3"/>
      <c r="E464" s="4">
        <v>2.0</v>
      </c>
      <c r="F464" s="3"/>
      <c r="G464" s="3"/>
      <c r="H464" s="3"/>
      <c r="I464" s="3"/>
    </row>
    <row r="465">
      <c r="A465" s="4" t="s">
        <v>12198</v>
      </c>
      <c r="B465" s="13" t="s">
        <v>48</v>
      </c>
      <c r="C465" s="4">
        <v>1.0</v>
      </c>
      <c r="D465" s="3"/>
      <c r="E465" s="4">
        <v>2.0</v>
      </c>
      <c r="F465" s="3"/>
      <c r="G465" s="3"/>
      <c r="H465" s="3"/>
      <c r="I465" s="3"/>
      <c r="J465" s="4" t="s">
        <v>1757</v>
      </c>
    </row>
    <row r="466">
      <c r="A466" s="4" t="s">
        <v>12199</v>
      </c>
      <c r="B466" s="13" t="s">
        <v>48</v>
      </c>
      <c r="C466" s="4">
        <v>1.0</v>
      </c>
      <c r="D466" s="3"/>
      <c r="E466" s="3"/>
      <c r="F466" s="3"/>
      <c r="G466" s="3"/>
      <c r="H466" s="4">
        <v>13.0</v>
      </c>
      <c r="I466" s="3"/>
      <c r="J466" s="4" t="s">
        <v>1757</v>
      </c>
    </row>
    <row r="467">
      <c r="A467" s="4" t="s">
        <v>12200</v>
      </c>
      <c r="B467" s="13" t="s">
        <v>48</v>
      </c>
      <c r="C467" s="4">
        <v>1.0</v>
      </c>
      <c r="D467" s="3"/>
      <c r="E467" s="3"/>
      <c r="F467" s="3"/>
      <c r="G467" s="3"/>
      <c r="H467" s="4">
        <v>13.0</v>
      </c>
      <c r="I467" s="3"/>
      <c r="J467" s="4" t="s">
        <v>1757</v>
      </c>
    </row>
    <row r="468">
      <c r="A468" s="4" t="s">
        <v>12201</v>
      </c>
      <c r="B468" s="13" t="s">
        <v>48</v>
      </c>
      <c r="C468" s="4">
        <v>1.0</v>
      </c>
      <c r="D468" s="3"/>
      <c r="E468" s="3"/>
      <c r="F468" s="3"/>
      <c r="G468" s="3"/>
      <c r="H468" s="4">
        <v>13.0</v>
      </c>
      <c r="I468" s="3"/>
      <c r="J468" s="4" t="s">
        <v>1757</v>
      </c>
      <c r="K468" s="4" t="s">
        <v>1757</v>
      </c>
    </row>
    <row r="469">
      <c r="A469" s="4" t="s">
        <v>12202</v>
      </c>
      <c r="B469" s="13" t="s">
        <v>48</v>
      </c>
      <c r="C469" s="4">
        <v>1.0</v>
      </c>
      <c r="D469" s="3"/>
      <c r="E469" s="3"/>
      <c r="F469" s="3"/>
      <c r="G469" s="3"/>
      <c r="H469" s="4">
        <v>13.0</v>
      </c>
      <c r="I469" s="3"/>
      <c r="J469" s="4" t="s">
        <v>1757</v>
      </c>
      <c r="K469" s="4" t="s">
        <v>1757</v>
      </c>
    </row>
    <row r="470">
      <c r="A470" s="4" t="s">
        <v>12203</v>
      </c>
      <c r="B470" s="13" t="s">
        <v>48</v>
      </c>
      <c r="C470" s="4">
        <v>1.0</v>
      </c>
      <c r="D470" s="3"/>
      <c r="E470" s="3"/>
      <c r="F470" s="3"/>
      <c r="G470" s="3"/>
      <c r="H470" s="4">
        <v>13.0</v>
      </c>
      <c r="I470" s="3"/>
      <c r="J470" s="4" t="s">
        <v>1757</v>
      </c>
      <c r="K470" s="4" t="s">
        <v>1757</v>
      </c>
    </row>
    <row r="471">
      <c r="A471" s="4" t="s">
        <v>12204</v>
      </c>
      <c r="B471" s="13" t="s">
        <v>48</v>
      </c>
      <c r="C471" s="4">
        <v>1.0</v>
      </c>
      <c r="D471" s="3"/>
      <c r="E471" s="3"/>
      <c r="F471" s="3"/>
      <c r="G471" s="3"/>
      <c r="H471" s="4">
        <v>13.0</v>
      </c>
      <c r="I471" s="3"/>
      <c r="J471" s="4" t="s">
        <v>1757</v>
      </c>
    </row>
    <row r="472">
      <c r="A472" s="4" t="s">
        <v>12205</v>
      </c>
      <c r="B472" s="13" t="s">
        <v>48</v>
      </c>
      <c r="C472" s="4">
        <v>1.0</v>
      </c>
      <c r="D472" s="3"/>
      <c r="E472" s="3"/>
      <c r="F472" s="3"/>
      <c r="G472" s="3"/>
      <c r="H472" s="4">
        <v>13.0</v>
      </c>
      <c r="I472" s="3"/>
      <c r="J472" s="4" t="s">
        <v>1757</v>
      </c>
    </row>
    <row r="473">
      <c r="A473" s="4" t="s">
        <v>12206</v>
      </c>
      <c r="B473" s="13" t="s">
        <v>48</v>
      </c>
      <c r="C473" s="4">
        <v>1.0</v>
      </c>
      <c r="D473" s="3"/>
      <c r="E473" s="3"/>
      <c r="F473" s="3"/>
      <c r="G473" s="3"/>
      <c r="H473" s="4">
        <v>13.0</v>
      </c>
      <c r="I473" s="3"/>
      <c r="J473" s="4" t="s">
        <v>1757</v>
      </c>
    </row>
    <row r="474">
      <c r="A474" s="4" t="s">
        <v>12207</v>
      </c>
      <c r="B474" s="13" t="s">
        <v>48</v>
      </c>
      <c r="C474" s="4">
        <v>1.0</v>
      </c>
      <c r="D474" s="3"/>
      <c r="E474" s="3"/>
      <c r="F474" s="3"/>
      <c r="G474" s="3"/>
      <c r="H474" s="4">
        <v>13.0</v>
      </c>
      <c r="I474" s="3"/>
      <c r="J474" s="4" t="s">
        <v>1757</v>
      </c>
    </row>
    <row r="475">
      <c r="A475" s="4" t="s">
        <v>12208</v>
      </c>
      <c r="B475" s="13" t="s">
        <v>48</v>
      </c>
      <c r="C475" s="4">
        <v>1.0</v>
      </c>
      <c r="D475" s="3"/>
      <c r="E475" s="3"/>
      <c r="F475" s="3"/>
      <c r="G475" s="3"/>
      <c r="H475" s="4">
        <v>13.0</v>
      </c>
      <c r="I475" s="3"/>
      <c r="J475" s="4" t="s">
        <v>1757</v>
      </c>
    </row>
    <row r="476">
      <c r="A476" s="4" t="s">
        <v>12209</v>
      </c>
      <c r="B476" s="13" t="s">
        <v>43</v>
      </c>
      <c r="D476" s="3"/>
      <c r="E476" s="3"/>
      <c r="F476" s="3"/>
      <c r="G476" s="3"/>
      <c r="H476" s="3"/>
      <c r="I476" s="3"/>
      <c r="J476" s="4" t="s">
        <v>1757</v>
      </c>
    </row>
    <row r="477">
      <c r="A477" s="4" t="s">
        <v>12210</v>
      </c>
      <c r="B477" s="13" t="s">
        <v>48</v>
      </c>
      <c r="C477" s="4">
        <v>1.0</v>
      </c>
      <c r="D477" s="4">
        <v>1.0</v>
      </c>
      <c r="E477" s="3"/>
      <c r="F477" s="3"/>
      <c r="G477" s="3"/>
      <c r="H477" s="3"/>
      <c r="I477" s="3"/>
      <c r="J477" s="4" t="s">
        <v>1757</v>
      </c>
    </row>
    <row r="478">
      <c r="A478" s="4" t="s">
        <v>12211</v>
      </c>
      <c r="B478" s="13" t="s">
        <v>48</v>
      </c>
      <c r="C478" s="4">
        <v>1.0</v>
      </c>
      <c r="D478" s="4">
        <v>1.0</v>
      </c>
      <c r="E478" s="3"/>
      <c r="F478" s="3"/>
      <c r="G478" s="3"/>
      <c r="H478" s="3"/>
      <c r="I478" s="3"/>
      <c r="J478" s="4" t="s">
        <v>1757</v>
      </c>
    </row>
    <row r="479">
      <c r="A479" s="4" t="s">
        <v>12212</v>
      </c>
      <c r="B479" s="13" t="s">
        <v>48</v>
      </c>
      <c r="C479" s="4">
        <v>1.0</v>
      </c>
      <c r="D479" s="4">
        <v>1.0</v>
      </c>
      <c r="E479" s="3"/>
      <c r="F479" s="3"/>
      <c r="G479" s="3"/>
      <c r="H479" s="3"/>
      <c r="I479" s="3"/>
      <c r="J479" s="4" t="s">
        <v>1757</v>
      </c>
    </row>
    <row r="480">
      <c r="A480" s="4" t="s">
        <v>12213</v>
      </c>
      <c r="B480" s="13" t="s">
        <v>48</v>
      </c>
      <c r="C480" s="4">
        <v>1.0</v>
      </c>
      <c r="D480" s="4">
        <v>1.0</v>
      </c>
      <c r="E480" s="3"/>
      <c r="F480" s="3"/>
      <c r="G480" s="3"/>
      <c r="H480" s="3"/>
      <c r="I480" s="3"/>
      <c r="J480" s="4" t="s">
        <v>1757</v>
      </c>
    </row>
    <row r="481">
      <c r="A481" s="4" t="s">
        <v>12214</v>
      </c>
      <c r="B481" s="13" t="s">
        <v>48</v>
      </c>
      <c r="C481" s="4">
        <v>1.0</v>
      </c>
      <c r="D481" s="4">
        <v>1.0</v>
      </c>
      <c r="E481" s="3"/>
      <c r="F481" s="3"/>
      <c r="G481" s="3"/>
      <c r="H481" s="3"/>
      <c r="I481" s="3"/>
    </row>
    <row r="482">
      <c r="A482" s="4" t="s">
        <v>12215</v>
      </c>
      <c r="B482" s="13" t="s">
        <v>48</v>
      </c>
      <c r="C482" s="4">
        <v>1.0</v>
      </c>
      <c r="D482" s="4">
        <v>1.0</v>
      </c>
      <c r="E482" s="3"/>
      <c r="F482" s="3"/>
      <c r="G482" s="3"/>
      <c r="H482" s="3"/>
      <c r="I482" s="3"/>
    </row>
    <row r="483">
      <c r="A483" s="4" t="s">
        <v>12216</v>
      </c>
      <c r="B483" s="13" t="s">
        <v>48</v>
      </c>
      <c r="C483" s="4">
        <v>1.0</v>
      </c>
      <c r="D483" s="4">
        <v>1.0</v>
      </c>
      <c r="E483" s="3"/>
      <c r="F483" s="3"/>
      <c r="G483" s="3"/>
      <c r="H483" s="3"/>
      <c r="I483" s="3"/>
    </row>
    <row r="484">
      <c r="A484" s="4" t="s">
        <v>12217</v>
      </c>
      <c r="B484" s="13" t="s">
        <v>48</v>
      </c>
      <c r="C484" s="4">
        <v>1.0</v>
      </c>
      <c r="D484" s="4">
        <v>1.0</v>
      </c>
      <c r="E484" s="3"/>
      <c r="F484" s="3"/>
      <c r="G484" s="3"/>
      <c r="H484" s="3"/>
      <c r="I484" s="3"/>
    </row>
    <row r="485">
      <c r="A485" s="4" t="s">
        <v>12218</v>
      </c>
      <c r="B485" s="13" t="s">
        <v>48</v>
      </c>
      <c r="C485" s="4">
        <v>1.0</v>
      </c>
      <c r="D485" s="4">
        <v>1.0</v>
      </c>
      <c r="E485" s="3"/>
      <c r="F485" s="3"/>
      <c r="G485" s="3"/>
      <c r="H485" s="3"/>
      <c r="I485" s="3"/>
    </row>
    <row r="486">
      <c r="A486" s="4" t="s">
        <v>12219</v>
      </c>
      <c r="B486" s="13" t="s">
        <v>48</v>
      </c>
      <c r="C486" s="4">
        <v>1.0</v>
      </c>
      <c r="D486" s="4">
        <v>1.0</v>
      </c>
      <c r="E486" s="3"/>
      <c r="F486" s="3"/>
      <c r="G486" s="3"/>
      <c r="H486" s="3"/>
      <c r="I486" s="3"/>
    </row>
    <row r="487">
      <c r="A487" s="4" t="s">
        <v>12220</v>
      </c>
      <c r="B487" s="13" t="s">
        <v>48</v>
      </c>
      <c r="C487" s="4">
        <v>1.0</v>
      </c>
      <c r="D487" s="4">
        <v>1.0</v>
      </c>
      <c r="E487" s="3"/>
      <c r="F487" s="3"/>
      <c r="G487" s="3"/>
      <c r="H487" s="3"/>
      <c r="I487" s="3"/>
    </row>
    <row r="488">
      <c r="A488" s="4" t="s">
        <v>12221</v>
      </c>
      <c r="B488" s="13" t="s">
        <v>48</v>
      </c>
      <c r="C488" s="4">
        <v>1.0</v>
      </c>
      <c r="D488" s="4">
        <v>1.0</v>
      </c>
      <c r="E488" s="3"/>
      <c r="F488" s="3"/>
      <c r="G488" s="3"/>
      <c r="H488" s="3"/>
      <c r="I488" s="3"/>
      <c r="J488" s="4" t="s">
        <v>1757</v>
      </c>
    </row>
    <row r="489">
      <c r="A489" s="4" t="s">
        <v>12222</v>
      </c>
      <c r="B489" s="13" t="s">
        <v>48</v>
      </c>
      <c r="C489" s="4">
        <v>1.0</v>
      </c>
      <c r="D489" s="4">
        <v>1.0</v>
      </c>
      <c r="E489" s="3"/>
      <c r="F489" s="3"/>
      <c r="G489" s="3"/>
      <c r="H489" s="3"/>
      <c r="I489" s="3"/>
      <c r="J489" s="4" t="s">
        <v>1757</v>
      </c>
    </row>
    <row r="490">
      <c r="A490" s="4" t="s">
        <v>12223</v>
      </c>
      <c r="B490" s="13" t="s">
        <v>48</v>
      </c>
      <c r="C490" s="4">
        <v>1.0</v>
      </c>
      <c r="D490" s="4">
        <v>1.0</v>
      </c>
      <c r="E490" s="3"/>
      <c r="F490" s="3"/>
      <c r="G490" s="3"/>
      <c r="H490" s="3"/>
      <c r="I490" s="3"/>
      <c r="J490" s="4" t="s">
        <v>1757</v>
      </c>
    </row>
    <row r="491">
      <c r="A491" s="4" t="s">
        <v>12224</v>
      </c>
      <c r="B491" s="13" t="s">
        <v>48</v>
      </c>
      <c r="C491" s="4">
        <v>1.0</v>
      </c>
      <c r="D491" s="4">
        <v>1.0</v>
      </c>
      <c r="E491" s="3"/>
      <c r="F491" s="3"/>
      <c r="G491" s="3"/>
      <c r="H491" s="3"/>
      <c r="I491" s="3"/>
      <c r="J491" s="4" t="s">
        <v>1757</v>
      </c>
    </row>
    <row r="492">
      <c r="A492" s="4" t="s">
        <v>12225</v>
      </c>
      <c r="B492" s="13" t="s">
        <v>48</v>
      </c>
      <c r="C492" s="4">
        <v>1.0</v>
      </c>
      <c r="D492" s="4">
        <v>1.0</v>
      </c>
      <c r="E492" s="3"/>
      <c r="F492" s="3"/>
      <c r="G492" s="3"/>
      <c r="H492" s="3"/>
      <c r="I492" s="3"/>
      <c r="J492" s="4" t="s">
        <v>1757</v>
      </c>
    </row>
    <row r="493">
      <c r="A493" s="4" t="s">
        <v>12226</v>
      </c>
      <c r="B493" s="13" t="s">
        <v>48</v>
      </c>
      <c r="C493" s="4">
        <v>2.0</v>
      </c>
      <c r="D493" s="4">
        <v>1.0</v>
      </c>
      <c r="E493" s="3"/>
      <c r="F493" s="3"/>
      <c r="G493" s="3"/>
      <c r="H493" s="4">
        <v>13.0</v>
      </c>
      <c r="I493" s="3"/>
      <c r="J493" s="4" t="s">
        <v>1757</v>
      </c>
    </row>
    <row r="494">
      <c r="A494" s="4" t="s">
        <v>12227</v>
      </c>
      <c r="B494" s="13" t="s">
        <v>48</v>
      </c>
      <c r="C494" s="4">
        <v>1.0</v>
      </c>
      <c r="D494" s="3"/>
      <c r="E494" s="3"/>
      <c r="F494" s="3"/>
      <c r="G494" s="3"/>
      <c r="H494" s="4">
        <v>13.0</v>
      </c>
      <c r="I494" s="3"/>
      <c r="J494" s="4" t="s">
        <v>1757</v>
      </c>
      <c r="K494" s="4" t="s">
        <v>1757</v>
      </c>
    </row>
    <row r="495">
      <c r="A495" s="4" t="s">
        <v>12228</v>
      </c>
      <c r="B495" s="13" t="s">
        <v>48</v>
      </c>
      <c r="C495" s="4">
        <v>1.0</v>
      </c>
      <c r="D495" s="3"/>
      <c r="E495" s="3"/>
      <c r="F495" s="3"/>
      <c r="G495" s="3"/>
      <c r="H495" s="4">
        <v>13.0</v>
      </c>
      <c r="I495" s="3"/>
      <c r="J495" s="4" t="s">
        <v>1757</v>
      </c>
      <c r="K495" s="4" t="s">
        <v>1757</v>
      </c>
    </row>
    <row r="496">
      <c r="A496" s="4" t="s">
        <v>12229</v>
      </c>
      <c r="B496" s="13" t="s">
        <v>48</v>
      </c>
      <c r="C496" s="4">
        <v>3.0</v>
      </c>
      <c r="D496" s="3"/>
      <c r="E496" s="4">
        <v>2.0</v>
      </c>
      <c r="F496" s="4">
        <v>9.0</v>
      </c>
      <c r="G496" s="3"/>
      <c r="H496" s="4">
        <v>13.0</v>
      </c>
      <c r="I496" s="3"/>
      <c r="J496" s="4" t="s">
        <v>1757</v>
      </c>
      <c r="K496" s="4" t="s">
        <v>1757</v>
      </c>
    </row>
    <row r="497">
      <c r="A497" s="4" t="s">
        <v>12230</v>
      </c>
      <c r="B497" s="13" t="s">
        <v>48</v>
      </c>
      <c r="C497" s="4">
        <v>3.0</v>
      </c>
      <c r="D497" s="3"/>
      <c r="E497" s="4">
        <v>2.0</v>
      </c>
      <c r="F497" s="4">
        <v>9.0</v>
      </c>
      <c r="G497" s="3"/>
      <c r="H497" s="4">
        <v>13.0</v>
      </c>
      <c r="I497" s="3"/>
      <c r="J497" s="4" t="s">
        <v>1757</v>
      </c>
      <c r="K497" s="4" t="s">
        <v>1757</v>
      </c>
    </row>
    <row r="498">
      <c r="A498" s="4" t="s">
        <v>12231</v>
      </c>
      <c r="B498" s="13" t="s">
        <v>48</v>
      </c>
      <c r="C498" s="4">
        <v>3.0</v>
      </c>
      <c r="D498" s="3"/>
      <c r="E498" s="4">
        <v>2.0</v>
      </c>
      <c r="F498" s="4">
        <v>9.0</v>
      </c>
      <c r="G498" s="3"/>
      <c r="H498" s="4">
        <v>13.0</v>
      </c>
      <c r="I498" s="3"/>
      <c r="J498" s="4" t="s">
        <v>1757</v>
      </c>
      <c r="K498" s="4" t="s">
        <v>1757</v>
      </c>
    </row>
    <row r="499">
      <c r="A499" s="4" t="s">
        <v>12232</v>
      </c>
      <c r="B499" s="13" t="s">
        <v>48</v>
      </c>
      <c r="C499" s="4">
        <v>3.0</v>
      </c>
      <c r="D499" s="3"/>
      <c r="E499" s="4">
        <v>2.0</v>
      </c>
      <c r="F499" s="4">
        <v>9.0</v>
      </c>
      <c r="G499" s="3"/>
      <c r="H499" s="4">
        <v>13.0</v>
      </c>
      <c r="I499" s="3"/>
    </row>
    <row r="500">
      <c r="A500" s="4" t="s">
        <v>12233</v>
      </c>
      <c r="B500" s="13" t="s">
        <v>48</v>
      </c>
      <c r="C500" s="4">
        <v>3.0</v>
      </c>
      <c r="D500" s="3"/>
      <c r="E500" s="4">
        <v>2.0</v>
      </c>
      <c r="F500" s="4">
        <v>9.0</v>
      </c>
      <c r="G500" s="3"/>
      <c r="H500" s="4">
        <v>13.0</v>
      </c>
      <c r="I500" s="3"/>
    </row>
    <row r="501">
      <c r="A501" s="4" t="s">
        <v>12234</v>
      </c>
      <c r="B501" s="13" t="s">
        <v>48</v>
      </c>
      <c r="C501" s="4">
        <v>3.0</v>
      </c>
      <c r="D501" s="3"/>
      <c r="E501" s="4">
        <v>2.0</v>
      </c>
      <c r="F501" s="4">
        <v>9.0</v>
      </c>
      <c r="G501" s="3"/>
      <c r="H501" s="4">
        <v>13.0</v>
      </c>
      <c r="I501" s="3"/>
      <c r="J501" s="4" t="s">
        <v>1757</v>
      </c>
    </row>
    <row r="502">
      <c r="A502" s="4" t="s">
        <v>12235</v>
      </c>
      <c r="B502" s="13" t="s">
        <v>48</v>
      </c>
      <c r="C502" s="4">
        <v>4.0</v>
      </c>
      <c r="D502" s="3"/>
      <c r="E502" s="4">
        <v>2.0</v>
      </c>
      <c r="F502" s="4">
        <v>9.0</v>
      </c>
      <c r="G502" s="4">
        <v>10.0</v>
      </c>
      <c r="H502" s="4">
        <v>13.0</v>
      </c>
      <c r="I502" s="3"/>
      <c r="J502" s="4" t="s">
        <v>1757</v>
      </c>
    </row>
    <row r="503">
      <c r="A503" s="4" t="s">
        <v>12236</v>
      </c>
      <c r="B503" s="13" t="s">
        <v>48</v>
      </c>
      <c r="C503" s="4">
        <v>5.0</v>
      </c>
      <c r="D503" s="3"/>
      <c r="E503" s="4">
        <v>2.0</v>
      </c>
      <c r="F503" s="4">
        <v>9.0</v>
      </c>
      <c r="G503" s="4">
        <v>10.0</v>
      </c>
      <c r="H503" s="4">
        <v>13.0</v>
      </c>
      <c r="I503" s="4">
        <v>15.0</v>
      </c>
      <c r="J503" s="4" t="s">
        <v>1757</v>
      </c>
      <c r="K503" s="4" t="s">
        <v>1757</v>
      </c>
    </row>
    <row r="504">
      <c r="A504" s="4" t="s">
        <v>12237</v>
      </c>
      <c r="B504" s="13" t="s">
        <v>48</v>
      </c>
      <c r="C504" s="4">
        <v>5.0</v>
      </c>
      <c r="D504" s="3"/>
      <c r="E504" s="4">
        <v>2.0</v>
      </c>
      <c r="F504" s="4">
        <v>9.0</v>
      </c>
      <c r="G504" s="4">
        <v>10.0</v>
      </c>
      <c r="H504" s="4">
        <v>13.0</v>
      </c>
      <c r="I504" s="4">
        <v>15.0</v>
      </c>
      <c r="J504" s="4" t="s">
        <v>1757</v>
      </c>
      <c r="K504" s="4" t="s">
        <v>1757</v>
      </c>
    </row>
    <row r="505">
      <c r="A505" s="4" t="s">
        <v>12238</v>
      </c>
      <c r="B505" s="13" t="s">
        <v>48</v>
      </c>
      <c r="C505" s="4">
        <v>5.0</v>
      </c>
      <c r="D505" s="3"/>
      <c r="E505" s="4">
        <v>2.0</v>
      </c>
      <c r="F505" s="4">
        <v>9.0</v>
      </c>
      <c r="G505" s="4">
        <v>10.0</v>
      </c>
      <c r="H505" s="4">
        <v>13.0</v>
      </c>
      <c r="I505" s="4">
        <v>15.0</v>
      </c>
      <c r="J505" s="4" t="s">
        <v>1757</v>
      </c>
      <c r="K505" s="4" t="s">
        <v>1757</v>
      </c>
    </row>
    <row r="506">
      <c r="A506" s="4" t="s">
        <v>12239</v>
      </c>
      <c r="B506" s="13" t="s">
        <v>48</v>
      </c>
      <c r="C506" s="4">
        <v>2.0</v>
      </c>
      <c r="D506" s="3"/>
      <c r="E506" s="3"/>
      <c r="F506" s="4">
        <v>9.0</v>
      </c>
      <c r="G506" s="3"/>
      <c r="H506" s="4">
        <v>13.0</v>
      </c>
      <c r="I506" s="3"/>
      <c r="J506" s="4" t="s">
        <v>1757</v>
      </c>
      <c r="K506" s="4" t="s">
        <v>1757</v>
      </c>
    </row>
    <row r="507">
      <c r="A507" s="4" t="s">
        <v>12240</v>
      </c>
      <c r="B507" s="13" t="s">
        <v>48</v>
      </c>
      <c r="C507" s="4">
        <v>1.0</v>
      </c>
      <c r="D507" s="3"/>
      <c r="E507" s="3"/>
      <c r="F507" s="3"/>
      <c r="G507" s="3"/>
      <c r="H507" s="4">
        <v>13.0</v>
      </c>
      <c r="I507" s="3"/>
      <c r="J507" s="4" t="s">
        <v>1757</v>
      </c>
      <c r="K507" s="4" t="s">
        <v>1757</v>
      </c>
    </row>
    <row r="508">
      <c r="A508" s="4" t="s">
        <v>12241</v>
      </c>
      <c r="B508" s="13" t="s">
        <v>48</v>
      </c>
      <c r="C508" s="4">
        <v>1.0</v>
      </c>
      <c r="D508" s="3"/>
      <c r="E508" s="3"/>
      <c r="F508" s="3"/>
      <c r="G508" s="3"/>
      <c r="H508" s="4">
        <v>13.0</v>
      </c>
      <c r="I508" s="3"/>
      <c r="J508" s="4" t="s">
        <v>1757</v>
      </c>
      <c r="K508" s="4" t="s">
        <v>1757</v>
      </c>
    </row>
    <row r="509">
      <c r="A509" s="4" t="s">
        <v>12242</v>
      </c>
      <c r="B509" s="13" t="s">
        <v>48</v>
      </c>
      <c r="C509" s="4">
        <v>1.0</v>
      </c>
      <c r="D509" s="3"/>
      <c r="E509" s="3"/>
      <c r="F509" s="3"/>
      <c r="G509" s="3"/>
      <c r="H509" s="4">
        <v>13.0</v>
      </c>
      <c r="I509" s="3"/>
      <c r="J509" s="4" t="s">
        <v>1757</v>
      </c>
    </row>
    <row r="510">
      <c r="A510" s="4" t="s">
        <v>12243</v>
      </c>
      <c r="B510" s="13" t="s">
        <v>48</v>
      </c>
      <c r="C510" s="4">
        <v>1.0</v>
      </c>
      <c r="D510" s="3"/>
      <c r="E510" s="3"/>
      <c r="F510" s="3"/>
      <c r="G510" s="3"/>
      <c r="H510" s="4">
        <v>13.0</v>
      </c>
      <c r="I510" s="3"/>
      <c r="J510" s="4" t="s">
        <v>1757</v>
      </c>
      <c r="K510" s="4" t="s">
        <v>1757</v>
      </c>
    </row>
    <row r="511">
      <c r="A511" s="4" t="s">
        <v>12244</v>
      </c>
      <c r="B511" s="13" t="s">
        <v>48</v>
      </c>
      <c r="C511" s="4">
        <v>1.0</v>
      </c>
      <c r="D511" s="3"/>
      <c r="E511" s="3"/>
      <c r="F511" s="3"/>
      <c r="G511" s="3"/>
      <c r="H511" s="4">
        <v>13.0</v>
      </c>
      <c r="I511" s="3"/>
      <c r="J511" s="4" t="s">
        <v>1757</v>
      </c>
      <c r="K511" s="4" t="s">
        <v>1757</v>
      </c>
    </row>
    <row r="512">
      <c r="A512" s="4" t="s">
        <v>12245</v>
      </c>
      <c r="B512" s="13" t="s">
        <v>48</v>
      </c>
      <c r="C512" s="4">
        <v>1.0</v>
      </c>
      <c r="D512" s="3"/>
      <c r="E512" s="3"/>
      <c r="F512" s="3"/>
      <c r="G512" s="3"/>
      <c r="H512" s="4">
        <v>13.0</v>
      </c>
      <c r="I512" s="3"/>
      <c r="J512" s="4" t="s">
        <v>1757</v>
      </c>
      <c r="K512" s="4" t="s">
        <v>1757</v>
      </c>
    </row>
    <row r="513">
      <c r="A513" s="4" t="s">
        <v>12246</v>
      </c>
      <c r="B513" s="13" t="s">
        <v>48</v>
      </c>
      <c r="C513" s="4">
        <v>2.0</v>
      </c>
      <c r="D513" s="3"/>
      <c r="E513" s="4">
        <v>2.0</v>
      </c>
      <c r="F513" s="3"/>
      <c r="G513" s="3"/>
      <c r="H513" s="4">
        <v>13.0</v>
      </c>
      <c r="I513" s="3"/>
      <c r="J513" s="4" t="s">
        <v>1757</v>
      </c>
    </row>
    <row r="514">
      <c r="A514" s="4" t="s">
        <v>12247</v>
      </c>
      <c r="B514" s="13" t="s">
        <v>48</v>
      </c>
      <c r="C514" s="4">
        <v>2.0</v>
      </c>
      <c r="D514" s="3"/>
      <c r="E514" s="4">
        <v>2.0</v>
      </c>
      <c r="F514" s="3"/>
      <c r="G514" s="3"/>
      <c r="H514" s="4">
        <v>13.0</v>
      </c>
      <c r="I514" s="3"/>
      <c r="J514" s="4" t="s">
        <v>1757</v>
      </c>
    </row>
    <row r="515">
      <c r="A515" s="4" t="s">
        <v>12248</v>
      </c>
      <c r="B515" s="13" t="s">
        <v>48</v>
      </c>
      <c r="C515" s="4">
        <v>1.0</v>
      </c>
      <c r="D515" s="3"/>
      <c r="E515" s="4">
        <v>2.0</v>
      </c>
      <c r="F515" s="3"/>
      <c r="G515" s="3"/>
      <c r="H515" s="3"/>
      <c r="I515" s="3"/>
      <c r="J515" s="4" t="s">
        <v>1757</v>
      </c>
    </row>
    <row r="516">
      <c r="A516" s="4" t="s">
        <v>12249</v>
      </c>
      <c r="B516" s="13" t="s">
        <v>48</v>
      </c>
      <c r="C516" s="4">
        <v>1.0</v>
      </c>
      <c r="D516" s="3"/>
      <c r="E516" s="4">
        <v>2.0</v>
      </c>
      <c r="F516" s="3"/>
      <c r="G516" s="3"/>
      <c r="H516" s="3"/>
      <c r="I516" s="3"/>
    </row>
    <row r="517">
      <c r="A517" s="4" t="s">
        <v>12250</v>
      </c>
      <c r="B517" s="13" t="s">
        <v>43</v>
      </c>
      <c r="D517" s="3"/>
      <c r="E517" s="3"/>
      <c r="F517" s="3"/>
      <c r="G517" s="3"/>
      <c r="H517" s="3"/>
      <c r="I517" s="3"/>
    </row>
    <row r="518">
      <c r="A518" s="4" t="s">
        <v>12251</v>
      </c>
      <c r="B518" s="13" t="s">
        <v>43</v>
      </c>
      <c r="D518" s="3"/>
      <c r="E518" s="3"/>
      <c r="F518" s="3"/>
      <c r="G518" s="3"/>
      <c r="H518" s="3"/>
      <c r="I518" s="3"/>
    </row>
    <row r="519">
      <c r="A519" s="4" t="s">
        <v>12252</v>
      </c>
      <c r="B519" s="13" t="s">
        <v>43</v>
      </c>
      <c r="D519" s="3"/>
      <c r="E519" s="3"/>
      <c r="F519" s="3"/>
      <c r="G519" s="3"/>
      <c r="H519" s="3"/>
      <c r="I519" s="3"/>
    </row>
    <row r="520">
      <c r="A520" s="4" t="s">
        <v>12253</v>
      </c>
      <c r="B520" s="13" t="s">
        <v>43</v>
      </c>
      <c r="D520" s="3"/>
      <c r="E520" s="3"/>
      <c r="F520" s="3"/>
      <c r="G520" s="3"/>
      <c r="H520" s="3"/>
      <c r="I520" s="3"/>
      <c r="J520" s="4" t="s">
        <v>1757</v>
      </c>
    </row>
    <row r="521">
      <c r="A521" s="4" t="s">
        <v>12254</v>
      </c>
      <c r="B521" s="13" t="s">
        <v>43</v>
      </c>
      <c r="D521" s="3"/>
      <c r="E521" s="3"/>
      <c r="F521" s="3"/>
      <c r="G521" s="3"/>
      <c r="H521" s="3"/>
      <c r="I521" s="3"/>
      <c r="J521" s="4" t="s">
        <v>1757</v>
      </c>
    </row>
    <row r="522">
      <c r="A522" s="4" t="s">
        <v>12255</v>
      </c>
      <c r="B522" s="13" t="s">
        <v>43</v>
      </c>
      <c r="D522" s="3"/>
      <c r="E522" s="3"/>
      <c r="F522" s="3"/>
      <c r="G522" s="3"/>
      <c r="H522" s="3"/>
      <c r="I522" s="3"/>
      <c r="J522" s="4" t="s">
        <v>1757</v>
      </c>
    </row>
    <row r="523">
      <c r="A523" s="4" t="s">
        <v>12256</v>
      </c>
      <c r="B523" s="13" t="s">
        <v>43</v>
      </c>
      <c r="D523" s="3"/>
      <c r="E523" s="3"/>
      <c r="F523" s="3"/>
      <c r="G523" s="3"/>
      <c r="H523" s="3"/>
      <c r="I523" s="3"/>
      <c r="J523" s="4" t="s">
        <v>1757</v>
      </c>
    </row>
    <row r="524">
      <c r="A524" s="4" t="s">
        <v>12257</v>
      </c>
      <c r="B524" s="13" t="s">
        <v>43</v>
      </c>
      <c r="D524" s="3"/>
      <c r="E524" s="3"/>
      <c r="F524" s="3"/>
      <c r="G524" s="3"/>
      <c r="H524" s="3"/>
      <c r="I524" s="3"/>
      <c r="J524" s="4" t="s">
        <v>1757</v>
      </c>
    </row>
    <row r="525">
      <c r="A525" s="4" t="s">
        <v>12258</v>
      </c>
      <c r="B525" s="13" t="s">
        <v>43</v>
      </c>
      <c r="D525" s="3"/>
      <c r="E525" s="3"/>
      <c r="F525" s="3"/>
      <c r="G525" s="3"/>
      <c r="H525" s="3"/>
      <c r="I525" s="3"/>
      <c r="J525" s="4" t="s">
        <v>1757</v>
      </c>
    </row>
    <row r="526">
      <c r="A526" s="4" t="s">
        <v>12259</v>
      </c>
      <c r="B526" s="13" t="s">
        <v>43</v>
      </c>
      <c r="D526" s="3"/>
      <c r="E526" s="3"/>
      <c r="F526" s="3"/>
      <c r="G526" s="3"/>
      <c r="H526" s="3"/>
      <c r="I526" s="3"/>
      <c r="J526" s="4" t="s">
        <v>1757</v>
      </c>
    </row>
    <row r="527">
      <c r="A527" s="4" t="s">
        <v>12260</v>
      </c>
      <c r="B527" s="13" t="s">
        <v>43</v>
      </c>
      <c r="D527" s="3"/>
      <c r="E527" s="3"/>
      <c r="F527" s="3"/>
      <c r="G527" s="3"/>
      <c r="H527" s="3"/>
      <c r="I527" s="3"/>
      <c r="J527" s="4" t="s">
        <v>1757</v>
      </c>
    </row>
    <row r="528">
      <c r="A528" s="4" t="s">
        <v>12261</v>
      </c>
      <c r="B528" s="13" t="s">
        <v>43</v>
      </c>
      <c r="D528" s="3"/>
      <c r="E528" s="3"/>
      <c r="F528" s="3"/>
      <c r="G528" s="3"/>
      <c r="H528" s="3"/>
      <c r="I528" s="3"/>
      <c r="J528" s="4" t="s">
        <v>1757</v>
      </c>
    </row>
    <row r="529">
      <c r="A529" s="4" t="s">
        <v>12262</v>
      </c>
      <c r="B529" s="13" t="s">
        <v>43</v>
      </c>
      <c r="D529" s="3"/>
      <c r="E529" s="3"/>
      <c r="F529" s="3"/>
      <c r="G529" s="3"/>
      <c r="H529" s="3"/>
      <c r="I529" s="3"/>
      <c r="J529" s="4" t="s">
        <v>1757</v>
      </c>
    </row>
    <row r="530">
      <c r="A530" s="4" t="s">
        <v>12263</v>
      </c>
      <c r="B530" s="13" t="s">
        <v>43</v>
      </c>
      <c r="D530" s="3"/>
      <c r="E530" s="3"/>
      <c r="F530" s="3"/>
      <c r="G530" s="3"/>
      <c r="H530" s="3"/>
      <c r="I530" s="3"/>
      <c r="J530" s="4" t="s">
        <v>1757</v>
      </c>
    </row>
    <row r="531">
      <c r="A531" s="4" t="s">
        <v>12264</v>
      </c>
      <c r="B531" s="13" t="s">
        <v>43</v>
      </c>
      <c r="D531" s="3"/>
      <c r="E531" s="3"/>
      <c r="F531" s="3"/>
      <c r="G531" s="3"/>
      <c r="H531" s="3"/>
      <c r="I531" s="3"/>
      <c r="J531" s="4" t="s">
        <v>1757</v>
      </c>
    </row>
    <row r="532">
      <c r="A532" s="4" t="s">
        <v>12265</v>
      </c>
      <c r="B532" s="19" t="s">
        <v>48</v>
      </c>
      <c r="C532" s="4">
        <v>1.0</v>
      </c>
      <c r="D532" s="3"/>
      <c r="E532" s="3"/>
      <c r="F532" s="3"/>
      <c r="G532" s="3"/>
      <c r="H532" s="4">
        <v>13.0</v>
      </c>
      <c r="I532" s="3"/>
      <c r="J532" s="4" t="s">
        <v>1757</v>
      </c>
      <c r="K532" s="4" t="s">
        <v>1757</v>
      </c>
    </row>
    <row r="533">
      <c r="A533" s="4" t="s">
        <v>12266</v>
      </c>
      <c r="B533" s="19" t="s">
        <v>48</v>
      </c>
      <c r="C533" s="4">
        <v>1.0</v>
      </c>
      <c r="D533" s="3"/>
      <c r="E533" s="3"/>
      <c r="F533" s="3"/>
      <c r="G533" s="3"/>
      <c r="H533" s="4">
        <v>13.0</v>
      </c>
      <c r="I533" s="3"/>
      <c r="J533" s="4" t="s">
        <v>1757</v>
      </c>
    </row>
    <row r="534">
      <c r="A534" s="4" t="s">
        <v>12267</v>
      </c>
      <c r="B534" s="19" t="s">
        <v>48</v>
      </c>
      <c r="C534" s="4">
        <v>1.0</v>
      </c>
      <c r="D534" s="3"/>
      <c r="E534" s="3"/>
      <c r="F534" s="3"/>
      <c r="G534" s="3"/>
      <c r="H534" s="4">
        <v>13.0</v>
      </c>
      <c r="I534" s="3"/>
      <c r="J534" s="4" t="s">
        <v>1757</v>
      </c>
      <c r="K534" s="4" t="s">
        <v>1757</v>
      </c>
    </row>
    <row r="535">
      <c r="A535" s="4" t="s">
        <v>12268</v>
      </c>
      <c r="B535" s="19" t="s">
        <v>48</v>
      </c>
      <c r="C535" s="4">
        <v>1.0</v>
      </c>
      <c r="D535" s="3"/>
      <c r="E535" s="3"/>
      <c r="F535" s="3"/>
      <c r="G535" s="3"/>
      <c r="H535" s="4">
        <v>13.0</v>
      </c>
      <c r="I535" s="3"/>
      <c r="J535" s="4" t="s">
        <v>1757</v>
      </c>
      <c r="K535" s="4" t="s">
        <v>1757</v>
      </c>
    </row>
    <row r="536">
      <c r="A536" s="4" t="s">
        <v>12269</v>
      </c>
      <c r="B536" s="19" t="s">
        <v>48</v>
      </c>
      <c r="C536" s="4">
        <v>1.0</v>
      </c>
      <c r="D536" s="3"/>
      <c r="E536" s="3"/>
      <c r="F536" s="3"/>
      <c r="G536" s="3"/>
      <c r="H536" s="4">
        <v>13.0</v>
      </c>
      <c r="I536" s="3"/>
      <c r="J536" s="4" t="s">
        <v>1757</v>
      </c>
    </row>
    <row r="537">
      <c r="A537" s="4" t="s">
        <v>12270</v>
      </c>
      <c r="B537" s="19" t="s">
        <v>48</v>
      </c>
      <c r="C537" s="4">
        <v>1.0</v>
      </c>
      <c r="D537" s="3"/>
      <c r="E537" s="3"/>
      <c r="F537" s="3"/>
      <c r="G537" s="3"/>
      <c r="H537" s="4">
        <v>13.0</v>
      </c>
      <c r="I537" s="3"/>
      <c r="J537" s="4" t="s">
        <v>1757</v>
      </c>
    </row>
    <row r="538">
      <c r="A538" s="4" t="s">
        <v>12271</v>
      </c>
      <c r="B538" s="19" t="s">
        <v>48</v>
      </c>
      <c r="C538" s="4">
        <v>1.0</v>
      </c>
      <c r="D538" s="3"/>
      <c r="E538" s="3"/>
      <c r="F538" s="3"/>
      <c r="G538" s="3"/>
      <c r="H538" s="4">
        <v>13.0</v>
      </c>
      <c r="I538" s="3"/>
      <c r="J538" s="4" t="s">
        <v>1757</v>
      </c>
    </row>
    <row r="539">
      <c r="A539" s="4" t="s">
        <v>12272</v>
      </c>
      <c r="B539" s="19" t="s">
        <v>48</v>
      </c>
      <c r="C539" s="4">
        <v>1.0</v>
      </c>
      <c r="D539" s="4">
        <v>1.0</v>
      </c>
      <c r="E539" s="3"/>
      <c r="F539" s="3"/>
      <c r="G539" s="3"/>
      <c r="H539" s="3"/>
      <c r="I539" s="3"/>
      <c r="J539" s="4" t="s">
        <v>1757</v>
      </c>
    </row>
    <row r="540">
      <c r="A540" s="4" t="s">
        <v>12273</v>
      </c>
      <c r="B540" s="19" t="s">
        <v>48</v>
      </c>
      <c r="C540" s="4">
        <v>1.0</v>
      </c>
      <c r="D540" s="4">
        <v>1.0</v>
      </c>
      <c r="E540" s="3"/>
      <c r="F540" s="3"/>
      <c r="G540" s="3"/>
      <c r="H540" s="3"/>
      <c r="I540" s="3"/>
      <c r="J540" s="4" t="s">
        <v>1757</v>
      </c>
    </row>
    <row r="541">
      <c r="A541" s="4" t="s">
        <v>12274</v>
      </c>
      <c r="B541" s="19" t="s">
        <v>48</v>
      </c>
      <c r="C541" s="4">
        <v>1.0</v>
      </c>
      <c r="D541" s="4">
        <v>1.0</v>
      </c>
      <c r="E541" s="3"/>
      <c r="F541" s="3"/>
      <c r="G541" s="3"/>
      <c r="H541" s="3"/>
      <c r="I541" s="3"/>
      <c r="J541" s="4" t="s">
        <v>1757</v>
      </c>
    </row>
    <row r="542">
      <c r="A542" s="4" t="s">
        <v>12275</v>
      </c>
      <c r="B542" s="19" t="s">
        <v>48</v>
      </c>
      <c r="C542" s="4">
        <v>1.0</v>
      </c>
      <c r="D542" s="4">
        <v>1.0</v>
      </c>
      <c r="E542" s="3"/>
      <c r="F542" s="3"/>
      <c r="G542" s="3"/>
      <c r="H542" s="3"/>
      <c r="I542" s="3"/>
      <c r="J542" s="4" t="s">
        <v>1757</v>
      </c>
    </row>
    <row r="543">
      <c r="A543" s="4" t="s">
        <v>12276</v>
      </c>
      <c r="B543" s="19" t="s">
        <v>48</v>
      </c>
      <c r="C543" s="4">
        <v>1.0</v>
      </c>
      <c r="D543" s="4">
        <v>1.0</v>
      </c>
      <c r="E543" s="3"/>
      <c r="F543" s="3"/>
      <c r="G543" s="3"/>
      <c r="H543" s="3"/>
      <c r="I543" s="3"/>
    </row>
    <row r="544">
      <c r="A544" s="4" t="s">
        <v>12277</v>
      </c>
      <c r="B544" s="19" t="s">
        <v>48</v>
      </c>
      <c r="C544" s="4">
        <v>1.0</v>
      </c>
      <c r="D544" s="4">
        <v>1.0</v>
      </c>
      <c r="E544" s="3"/>
      <c r="F544" s="3"/>
      <c r="G544" s="3"/>
      <c r="H544" s="3"/>
      <c r="I544" s="3"/>
    </row>
    <row r="545">
      <c r="A545" s="4" t="s">
        <v>12278</v>
      </c>
      <c r="B545" s="13" t="s">
        <v>43</v>
      </c>
      <c r="D545" s="3"/>
      <c r="E545" s="3"/>
      <c r="F545" s="3"/>
      <c r="G545" s="3"/>
      <c r="H545" s="3"/>
      <c r="I545" s="3"/>
    </row>
    <row r="546">
      <c r="A546" s="4" t="s">
        <v>12279</v>
      </c>
      <c r="B546" s="13" t="s">
        <v>43</v>
      </c>
      <c r="D546" s="3"/>
      <c r="E546" s="3"/>
      <c r="F546" s="3"/>
      <c r="G546" s="3"/>
      <c r="H546" s="3"/>
      <c r="I546" s="3"/>
    </row>
    <row r="547">
      <c r="A547" s="4" t="s">
        <v>12280</v>
      </c>
      <c r="B547" s="13" t="s">
        <v>43</v>
      </c>
      <c r="D547" s="3"/>
      <c r="E547" s="3"/>
      <c r="F547" s="3"/>
      <c r="G547" s="3"/>
      <c r="H547" s="3"/>
      <c r="I547" s="3"/>
    </row>
    <row r="548">
      <c r="A548" s="4" t="s">
        <v>12281</v>
      </c>
      <c r="B548" s="13" t="s">
        <v>43</v>
      </c>
      <c r="D548" s="3"/>
      <c r="E548" s="3"/>
      <c r="F548" s="3"/>
      <c r="G548" s="3"/>
      <c r="H548" s="3"/>
      <c r="I548" s="3"/>
    </row>
    <row r="549">
      <c r="A549" s="4" t="s">
        <v>12282</v>
      </c>
      <c r="B549" s="13" t="s">
        <v>43</v>
      </c>
      <c r="D549" s="3"/>
      <c r="E549" s="3"/>
      <c r="F549" s="3"/>
      <c r="G549" s="3"/>
      <c r="H549" s="3"/>
      <c r="I549" s="3"/>
    </row>
    <row r="550">
      <c r="A550" s="4" t="s">
        <v>12283</v>
      </c>
      <c r="B550" s="13" t="s">
        <v>43</v>
      </c>
      <c r="D550" s="3"/>
      <c r="E550" s="3"/>
      <c r="F550" s="3"/>
      <c r="G550" s="3"/>
      <c r="H550" s="3"/>
      <c r="I550" s="3"/>
    </row>
    <row r="551">
      <c r="A551" s="4" t="s">
        <v>12284</v>
      </c>
      <c r="B551" s="13" t="s">
        <v>43</v>
      </c>
      <c r="D551" s="3"/>
      <c r="E551" s="3"/>
      <c r="F551" s="3"/>
      <c r="G551" s="3"/>
      <c r="H551" s="3"/>
      <c r="I551" s="3"/>
    </row>
    <row r="552">
      <c r="A552" s="4" t="s">
        <v>12285</v>
      </c>
      <c r="B552" s="13" t="s">
        <v>43</v>
      </c>
      <c r="D552" s="3"/>
      <c r="E552" s="3"/>
      <c r="F552" s="3"/>
      <c r="G552" s="3"/>
      <c r="H552" s="3"/>
      <c r="I552" s="3"/>
    </row>
    <row r="553">
      <c r="A553" s="4" t="s">
        <v>12286</v>
      </c>
      <c r="B553" s="13" t="s">
        <v>43</v>
      </c>
      <c r="D553" s="3"/>
      <c r="E553" s="3"/>
      <c r="F553" s="3"/>
      <c r="G553" s="3"/>
      <c r="H553" s="3"/>
      <c r="I553" s="3"/>
    </row>
    <row r="554">
      <c r="A554" s="4" t="s">
        <v>12287</v>
      </c>
      <c r="B554" s="13" t="s">
        <v>43</v>
      </c>
      <c r="D554" s="3"/>
      <c r="E554" s="3"/>
      <c r="F554" s="3"/>
      <c r="G554" s="3"/>
      <c r="H554" s="3"/>
      <c r="I554" s="3"/>
      <c r="R554" s="18"/>
    </row>
    <row r="555">
      <c r="A555" s="4" t="s">
        <v>12288</v>
      </c>
      <c r="B555" s="13" t="s">
        <v>43</v>
      </c>
      <c r="D555" s="3"/>
      <c r="E555" s="3"/>
      <c r="F555" s="3"/>
      <c r="G555" s="3"/>
      <c r="H555" s="3"/>
      <c r="I555" s="3"/>
      <c r="J555" s="4" t="s">
        <v>1757</v>
      </c>
      <c r="R555" s="18"/>
    </row>
    <row r="556">
      <c r="A556" s="4" t="s">
        <v>12289</v>
      </c>
      <c r="B556" s="13" t="s">
        <v>43</v>
      </c>
      <c r="D556" s="3"/>
      <c r="E556" s="3"/>
      <c r="F556" s="3"/>
      <c r="G556" s="3"/>
      <c r="H556" s="3"/>
      <c r="I556" s="3"/>
      <c r="J556" s="4" t="s">
        <v>1757</v>
      </c>
      <c r="R556" s="18"/>
    </row>
    <row r="557">
      <c r="A557" s="4" t="s">
        <v>12290</v>
      </c>
      <c r="B557" s="13" t="s">
        <v>43</v>
      </c>
      <c r="D557" s="3"/>
      <c r="E557" s="3"/>
      <c r="F557" s="3"/>
      <c r="G557" s="3"/>
      <c r="H557" s="3"/>
      <c r="I557" s="3"/>
      <c r="J557" s="4" t="s">
        <v>1757</v>
      </c>
      <c r="R557" s="18"/>
    </row>
    <row r="558">
      <c r="A558" s="4" t="s">
        <v>12291</v>
      </c>
      <c r="B558" s="13" t="s">
        <v>43</v>
      </c>
      <c r="D558" s="3"/>
      <c r="E558" s="3"/>
      <c r="F558" s="3"/>
      <c r="G558" s="3"/>
      <c r="H558" s="3"/>
      <c r="I558" s="3"/>
      <c r="J558" s="4" t="s">
        <v>1757</v>
      </c>
      <c r="R558" s="18"/>
    </row>
    <row r="559">
      <c r="A559" s="4" t="s">
        <v>12292</v>
      </c>
      <c r="B559" s="13" t="s">
        <v>48</v>
      </c>
      <c r="C559" s="4">
        <v>1.0</v>
      </c>
      <c r="D559" s="3"/>
      <c r="E559" s="3"/>
      <c r="F559" s="3"/>
      <c r="G559" s="3"/>
      <c r="H559" s="4">
        <v>13.0</v>
      </c>
      <c r="I559" s="3"/>
      <c r="R559" s="18"/>
    </row>
    <row r="560">
      <c r="A560" s="4" t="s">
        <v>12293</v>
      </c>
      <c r="B560" s="13" t="s">
        <v>43</v>
      </c>
      <c r="D560" s="3"/>
      <c r="E560" s="3"/>
      <c r="F560" s="3"/>
      <c r="G560" s="3"/>
      <c r="H560" s="3"/>
      <c r="I560" s="3"/>
      <c r="J560" s="4" t="s">
        <v>1757</v>
      </c>
      <c r="R560" s="18"/>
    </row>
    <row r="561">
      <c r="A561" s="4" t="s">
        <v>12294</v>
      </c>
      <c r="B561" s="13" t="s">
        <v>43</v>
      </c>
      <c r="D561" s="3"/>
      <c r="E561" s="3"/>
      <c r="F561" s="3"/>
      <c r="G561" s="3"/>
      <c r="H561" s="3"/>
      <c r="I561" s="3"/>
      <c r="J561" s="4" t="s">
        <v>1757</v>
      </c>
      <c r="R561" s="18"/>
    </row>
    <row r="562">
      <c r="A562" s="4" t="s">
        <v>12295</v>
      </c>
      <c r="B562" s="13" t="s">
        <v>43</v>
      </c>
      <c r="D562" s="3"/>
      <c r="E562" s="3"/>
      <c r="F562" s="3"/>
      <c r="G562" s="3"/>
      <c r="H562" s="3"/>
      <c r="I562" s="3"/>
      <c r="J562" s="4" t="s">
        <v>1757</v>
      </c>
      <c r="R562" s="18"/>
    </row>
    <row r="563">
      <c r="A563" s="4" t="s">
        <v>12296</v>
      </c>
      <c r="B563" s="13" t="s">
        <v>43</v>
      </c>
      <c r="D563" s="3"/>
      <c r="E563" s="3"/>
      <c r="F563" s="3"/>
      <c r="G563" s="3"/>
      <c r="H563" s="3"/>
      <c r="I563" s="3"/>
      <c r="R563" s="18"/>
    </row>
    <row r="564">
      <c r="A564" s="4" t="s">
        <v>12297</v>
      </c>
      <c r="B564" s="13" t="s">
        <v>43</v>
      </c>
      <c r="D564" s="3"/>
      <c r="E564" s="3"/>
      <c r="F564" s="3"/>
      <c r="G564" s="3"/>
      <c r="H564" s="3"/>
      <c r="I564" s="3"/>
      <c r="R564" s="18"/>
    </row>
    <row r="565">
      <c r="A565" s="4" t="s">
        <v>12298</v>
      </c>
      <c r="B565" s="13" t="s">
        <v>43</v>
      </c>
      <c r="D565" s="3"/>
      <c r="E565" s="3"/>
      <c r="F565" s="3"/>
      <c r="G565" s="3"/>
      <c r="H565" s="3"/>
      <c r="I565" s="3"/>
      <c r="J565" s="4" t="s">
        <v>1757</v>
      </c>
      <c r="R565" s="18"/>
    </row>
    <row r="566">
      <c r="A566" s="4" t="s">
        <v>12299</v>
      </c>
      <c r="B566" s="13" t="s">
        <v>48</v>
      </c>
      <c r="C566" s="4">
        <v>1.0</v>
      </c>
      <c r="D566" s="3"/>
      <c r="E566" s="3"/>
      <c r="F566" s="3"/>
      <c r="G566" s="3"/>
      <c r="H566" s="4">
        <v>13.0</v>
      </c>
      <c r="I566" s="3"/>
      <c r="J566" s="4" t="s">
        <v>1757</v>
      </c>
      <c r="R566" s="18"/>
    </row>
    <row r="567">
      <c r="A567" s="4" t="s">
        <v>12300</v>
      </c>
      <c r="B567" s="13" t="s">
        <v>48</v>
      </c>
      <c r="C567" s="4">
        <v>1.0</v>
      </c>
      <c r="D567" s="3"/>
      <c r="E567" s="3"/>
      <c r="F567" s="3"/>
      <c r="G567" s="3"/>
      <c r="H567" s="4">
        <v>13.0</v>
      </c>
      <c r="I567" s="3"/>
      <c r="J567" s="4" t="s">
        <v>1757</v>
      </c>
      <c r="R567" s="18"/>
    </row>
    <row r="568">
      <c r="A568" s="4" t="s">
        <v>12301</v>
      </c>
      <c r="B568" s="13" t="s">
        <v>48</v>
      </c>
      <c r="C568" s="4">
        <v>2.0</v>
      </c>
      <c r="D568" s="3"/>
      <c r="E568" s="4">
        <v>2.0</v>
      </c>
      <c r="F568" s="3"/>
      <c r="G568" s="3"/>
      <c r="H568" s="4">
        <v>13.0</v>
      </c>
      <c r="I568" s="3"/>
      <c r="J568" s="4" t="s">
        <v>1757</v>
      </c>
      <c r="R568" s="18"/>
    </row>
    <row r="569">
      <c r="A569" s="4" t="s">
        <v>12302</v>
      </c>
      <c r="B569" s="13" t="s">
        <v>48</v>
      </c>
      <c r="C569" s="4">
        <v>1.0</v>
      </c>
      <c r="D569" s="3"/>
      <c r="E569" s="4">
        <v>2.0</v>
      </c>
      <c r="F569" s="3"/>
      <c r="G569" s="3"/>
      <c r="H569" s="3"/>
      <c r="I569" s="3"/>
      <c r="J569" s="4" t="s">
        <v>1757</v>
      </c>
    </row>
    <row r="570">
      <c r="A570" s="4" t="s">
        <v>12303</v>
      </c>
      <c r="B570" s="13" t="s">
        <v>48</v>
      </c>
      <c r="C570" s="4">
        <v>1.0</v>
      </c>
      <c r="D570" s="3"/>
      <c r="E570" s="4">
        <v>2.0</v>
      </c>
      <c r="F570" s="3"/>
      <c r="G570" s="3"/>
      <c r="H570" s="3"/>
      <c r="I570" s="3"/>
      <c r="J570" s="4" t="s">
        <v>1757</v>
      </c>
    </row>
    <row r="571">
      <c r="A571" s="4" t="s">
        <v>12304</v>
      </c>
      <c r="B571" s="13" t="s">
        <v>48</v>
      </c>
      <c r="C571" s="4">
        <v>1.0</v>
      </c>
      <c r="D571" s="3"/>
      <c r="E571" s="4">
        <v>2.0</v>
      </c>
      <c r="F571" s="3"/>
      <c r="G571" s="3"/>
      <c r="H571" s="3"/>
      <c r="I571" s="3"/>
    </row>
    <row r="572">
      <c r="A572" s="4" t="s">
        <v>12305</v>
      </c>
      <c r="B572" s="13" t="s">
        <v>48</v>
      </c>
      <c r="C572" s="4">
        <v>1.0</v>
      </c>
      <c r="D572" s="3"/>
      <c r="E572" s="4">
        <v>2.0</v>
      </c>
      <c r="F572" s="3"/>
      <c r="G572" s="3"/>
      <c r="H572" s="3"/>
      <c r="I572" s="3"/>
    </row>
    <row r="573">
      <c r="A573" s="4" t="s">
        <v>12306</v>
      </c>
      <c r="B573" s="13" t="s">
        <v>43</v>
      </c>
      <c r="D573" s="3"/>
      <c r="E573" s="3"/>
      <c r="F573" s="3"/>
      <c r="G573" s="3"/>
      <c r="H573" s="3"/>
      <c r="I573" s="3"/>
    </row>
    <row r="574">
      <c r="A574" s="4" t="s">
        <v>12307</v>
      </c>
      <c r="B574" s="13" t="s">
        <v>43</v>
      </c>
      <c r="D574" s="3"/>
      <c r="E574" s="3"/>
      <c r="F574" s="3"/>
      <c r="G574" s="3"/>
      <c r="H574" s="3"/>
      <c r="I574" s="3"/>
    </row>
    <row r="575">
      <c r="A575" s="4" t="s">
        <v>12308</v>
      </c>
      <c r="B575" s="13" t="s">
        <v>43</v>
      </c>
      <c r="D575" s="3"/>
      <c r="E575" s="3"/>
      <c r="F575" s="3"/>
      <c r="G575" s="3"/>
      <c r="H575" s="3"/>
      <c r="I575" s="3"/>
    </row>
    <row r="576">
      <c r="A576" s="4" t="s">
        <v>12309</v>
      </c>
      <c r="B576" s="13" t="s">
        <v>43</v>
      </c>
      <c r="D576" s="3"/>
      <c r="E576" s="3"/>
      <c r="F576" s="3"/>
      <c r="G576" s="3"/>
      <c r="H576" s="3"/>
      <c r="I576" s="3"/>
    </row>
    <row r="577">
      <c r="A577" s="4" t="s">
        <v>12310</v>
      </c>
      <c r="B577" s="13" t="s">
        <v>43</v>
      </c>
      <c r="D577" s="3"/>
      <c r="E577" s="3"/>
      <c r="F577" s="3"/>
      <c r="G577" s="3"/>
      <c r="H577" s="3"/>
      <c r="I577" s="3"/>
      <c r="J577" s="4" t="s">
        <v>1757</v>
      </c>
    </row>
    <row r="578">
      <c r="A578" s="4" t="s">
        <v>12311</v>
      </c>
      <c r="B578" s="13" t="s">
        <v>43</v>
      </c>
      <c r="D578" s="3"/>
      <c r="E578" s="3"/>
      <c r="F578" s="3"/>
      <c r="G578" s="3"/>
      <c r="H578" s="3"/>
      <c r="I578" s="3"/>
      <c r="J578" s="4" t="s">
        <v>1757</v>
      </c>
    </row>
    <row r="579">
      <c r="A579" s="4" t="s">
        <v>12312</v>
      </c>
      <c r="B579" s="13" t="s">
        <v>43</v>
      </c>
      <c r="D579" s="3"/>
      <c r="E579" s="3"/>
      <c r="F579" s="3"/>
      <c r="G579" s="3"/>
      <c r="H579" s="3"/>
      <c r="I579" s="3"/>
      <c r="J579" s="4" t="s">
        <v>1757</v>
      </c>
    </row>
    <row r="580">
      <c r="A580" s="4" t="s">
        <v>12313</v>
      </c>
      <c r="B580" s="13" t="s">
        <v>43</v>
      </c>
      <c r="D580" s="3"/>
      <c r="E580" s="3"/>
      <c r="F580" s="3"/>
      <c r="G580" s="3"/>
      <c r="H580" s="3"/>
      <c r="I580" s="3"/>
      <c r="J580" s="4" t="s">
        <v>1757</v>
      </c>
    </row>
    <row r="581">
      <c r="A581" s="4" t="s">
        <v>12314</v>
      </c>
      <c r="B581" s="13" t="s">
        <v>43</v>
      </c>
      <c r="D581" s="3"/>
      <c r="E581" s="3"/>
      <c r="F581" s="3"/>
      <c r="G581" s="3"/>
      <c r="H581" s="3"/>
      <c r="I581" s="3"/>
      <c r="J581" s="4" t="s">
        <v>1757</v>
      </c>
    </row>
    <row r="582">
      <c r="A582" s="4" t="s">
        <v>12315</v>
      </c>
      <c r="B582" s="13" t="s">
        <v>43</v>
      </c>
      <c r="D582" s="3"/>
      <c r="E582" s="3"/>
      <c r="F582" s="3"/>
      <c r="G582" s="3"/>
      <c r="H582" s="3"/>
      <c r="I582" s="3"/>
      <c r="J582" s="4" t="s">
        <v>1757</v>
      </c>
    </row>
    <row r="583">
      <c r="A583" s="4" t="s">
        <v>12316</v>
      </c>
      <c r="B583" s="13" t="s">
        <v>43</v>
      </c>
      <c r="D583" s="3"/>
      <c r="E583" s="3"/>
      <c r="F583" s="3"/>
      <c r="G583" s="3"/>
      <c r="H583" s="3"/>
      <c r="I583" s="3"/>
      <c r="J583" s="4" t="s">
        <v>1757</v>
      </c>
    </row>
    <row r="584">
      <c r="A584" s="4" t="s">
        <v>12317</v>
      </c>
      <c r="B584" s="13" t="s">
        <v>43</v>
      </c>
      <c r="D584" s="3"/>
      <c r="E584" s="3"/>
      <c r="F584" s="3"/>
      <c r="G584" s="3"/>
      <c r="H584" s="3"/>
      <c r="I584" s="3"/>
      <c r="J584" s="4" t="s">
        <v>1757</v>
      </c>
    </row>
    <row r="585">
      <c r="A585" s="4" t="s">
        <v>12318</v>
      </c>
      <c r="B585" s="13" t="s">
        <v>43</v>
      </c>
      <c r="D585" s="3"/>
      <c r="E585" s="3"/>
      <c r="F585" s="3"/>
      <c r="G585" s="3"/>
      <c r="H585" s="3"/>
      <c r="I585" s="3"/>
      <c r="J585" s="4" t="s">
        <v>1757</v>
      </c>
    </row>
    <row r="586">
      <c r="A586" s="4" t="s">
        <v>12319</v>
      </c>
      <c r="B586" s="13" t="s">
        <v>43</v>
      </c>
      <c r="D586" s="3"/>
      <c r="E586" s="3"/>
      <c r="F586" s="3"/>
      <c r="G586" s="3"/>
      <c r="H586" s="3"/>
      <c r="I586" s="3"/>
      <c r="J586" s="4" t="s">
        <v>1757</v>
      </c>
    </row>
    <row r="587">
      <c r="A587" s="4" t="s">
        <v>12320</v>
      </c>
      <c r="B587" s="13" t="s">
        <v>43</v>
      </c>
      <c r="D587" s="3"/>
      <c r="E587" s="3"/>
      <c r="F587" s="3"/>
      <c r="G587" s="3"/>
      <c r="H587" s="3"/>
      <c r="I587" s="3"/>
      <c r="J587" s="4" t="s">
        <v>1757</v>
      </c>
    </row>
    <row r="588">
      <c r="A588" s="4" t="s">
        <v>12321</v>
      </c>
      <c r="B588" s="13" t="s">
        <v>43</v>
      </c>
      <c r="D588" s="3"/>
      <c r="E588" s="3"/>
      <c r="F588" s="3"/>
      <c r="G588" s="3"/>
      <c r="H588" s="3"/>
      <c r="I588" s="3"/>
    </row>
    <row r="589">
      <c r="A589" s="4" t="s">
        <v>12322</v>
      </c>
      <c r="B589" s="13" t="s">
        <v>43</v>
      </c>
      <c r="D589" s="3"/>
      <c r="E589" s="3"/>
      <c r="F589" s="3"/>
      <c r="G589" s="3"/>
      <c r="H589" s="3"/>
      <c r="I589" s="3"/>
    </row>
    <row r="590">
      <c r="A590" s="4" t="s">
        <v>12323</v>
      </c>
      <c r="B590" s="13" t="s">
        <v>43</v>
      </c>
      <c r="D590" s="3"/>
      <c r="E590" s="3"/>
      <c r="F590" s="3"/>
      <c r="G590" s="3"/>
      <c r="H590" s="3"/>
      <c r="I590" s="3"/>
    </row>
    <row r="591">
      <c r="A591" s="4" t="s">
        <v>12324</v>
      </c>
      <c r="B591" s="13" t="s">
        <v>43</v>
      </c>
      <c r="D591" s="3"/>
      <c r="E591" s="3"/>
      <c r="F591" s="3"/>
      <c r="G591" s="3"/>
      <c r="H591" s="3"/>
      <c r="I591" s="3"/>
    </row>
    <row r="592">
      <c r="A592" s="4" t="s">
        <v>12325</v>
      </c>
      <c r="B592" s="13" t="s">
        <v>43</v>
      </c>
      <c r="D592" s="3"/>
      <c r="E592" s="3"/>
      <c r="F592" s="3"/>
      <c r="G592" s="3"/>
      <c r="H592" s="3"/>
      <c r="I592" s="3"/>
    </row>
    <row r="593">
      <c r="A593" s="4" t="s">
        <v>12326</v>
      </c>
      <c r="B593" s="13" t="s">
        <v>43</v>
      </c>
      <c r="D593" s="3"/>
      <c r="E593" s="3"/>
      <c r="F593" s="3"/>
      <c r="G593" s="3"/>
      <c r="H593" s="3"/>
      <c r="I593" s="3"/>
    </row>
    <row r="594">
      <c r="A594" s="4" t="s">
        <v>12327</v>
      </c>
      <c r="B594" s="13" t="s">
        <v>43</v>
      </c>
      <c r="D594" s="3"/>
      <c r="E594" s="3"/>
      <c r="F594" s="3"/>
      <c r="G594" s="3"/>
      <c r="H594" s="3"/>
      <c r="I594" s="3"/>
    </row>
    <row r="595">
      <c r="A595" s="4" t="s">
        <v>12328</v>
      </c>
      <c r="B595" s="13" t="s">
        <v>43</v>
      </c>
      <c r="D595" s="3"/>
      <c r="E595" s="3"/>
      <c r="F595" s="3"/>
      <c r="G595" s="3"/>
      <c r="H595" s="3"/>
      <c r="I595" s="3"/>
    </row>
    <row r="596">
      <c r="A596" s="4" t="s">
        <v>12329</v>
      </c>
      <c r="B596" s="13" t="s">
        <v>43</v>
      </c>
      <c r="D596" s="3"/>
      <c r="E596" s="3"/>
      <c r="F596" s="3"/>
      <c r="G596" s="3"/>
      <c r="H596" s="3"/>
      <c r="I596" s="3"/>
    </row>
    <row r="597">
      <c r="A597" s="4" t="s">
        <v>12330</v>
      </c>
      <c r="B597" s="13" t="s">
        <v>43</v>
      </c>
      <c r="D597" s="3"/>
      <c r="E597" s="3"/>
      <c r="F597" s="3"/>
      <c r="G597" s="3"/>
      <c r="H597" s="3"/>
      <c r="I597" s="3"/>
    </row>
    <row r="598">
      <c r="A598" s="4" t="s">
        <v>12331</v>
      </c>
      <c r="B598" s="13" t="s">
        <v>43</v>
      </c>
      <c r="D598" s="3"/>
      <c r="E598" s="3"/>
      <c r="F598" s="3"/>
      <c r="G598" s="3"/>
      <c r="H598" s="3"/>
      <c r="I598" s="3"/>
    </row>
    <row r="599">
      <c r="A599" s="4" t="s">
        <v>12332</v>
      </c>
      <c r="B599" s="13" t="s">
        <v>43</v>
      </c>
      <c r="D599" s="3"/>
      <c r="E599" s="3"/>
      <c r="F599" s="3"/>
      <c r="G599" s="3"/>
      <c r="H599" s="3"/>
      <c r="I599" s="3"/>
    </row>
    <row r="600">
      <c r="A600" s="4" t="s">
        <v>12333</v>
      </c>
      <c r="B600" s="13" t="s">
        <v>43</v>
      </c>
      <c r="D600" s="3"/>
      <c r="E600" s="3"/>
      <c r="F600" s="3"/>
      <c r="G600" s="3"/>
      <c r="H600" s="3"/>
      <c r="I600" s="3"/>
    </row>
    <row r="601">
      <c r="A601" s="4" t="s">
        <v>12334</v>
      </c>
      <c r="B601" s="13" t="s">
        <v>43</v>
      </c>
      <c r="D601" s="3"/>
      <c r="E601" s="3"/>
      <c r="F601" s="3"/>
      <c r="G601" s="3"/>
      <c r="H601" s="3"/>
      <c r="I601" s="3"/>
    </row>
    <row r="602">
      <c r="A602" s="4" t="s">
        <v>12335</v>
      </c>
      <c r="B602" s="13" t="s">
        <v>43</v>
      </c>
      <c r="D602" s="3"/>
      <c r="E602" s="3"/>
      <c r="F602" s="3"/>
      <c r="G602" s="3"/>
      <c r="H602" s="3"/>
      <c r="I602" s="3"/>
    </row>
    <row r="603">
      <c r="A603" s="4" t="s">
        <v>12336</v>
      </c>
      <c r="B603" s="13" t="s">
        <v>43</v>
      </c>
      <c r="D603" s="3"/>
      <c r="E603" s="3"/>
      <c r="F603" s="3"/>
      <c r="G603" s="3"/>
      <c r="H603" s="3"/>
      <c r="I603" s="3"/>
    </row>
    <row r="604">
      <c r="A604" s="4" t="s">
        <v>12337</v>
      </c>
      <c r="B604" s="13" t="s">
        <v>43</v>
      </c>
      <c r="D604" s="3"/>
      <c r="E604" s="3"/>
      <c r="F604" s="3"/>
      <c r="G604" s="3"/>
      <c r="H604" s="3"/>
      <c r="I604" s="3"/>
    </row>
    <row r="605">
      <c r="A605" s="4" t="s">
        <v>12338</v>
      </c>
      <c r="B605" s="13" t="s">
        <v>43</v>
      </c>
      <c r="D605" s="3"/>
      <c r="E605" s="3"/>
      <c r="F605" s="3"/>
      <c r="G605" s="3"/>
      <c r="H605" s="3"/>
      <c r="I605" s="3"/>
    </row>
    <row r="606">
      <c r="A606" s="4" t="s">
        <v>12339</v>
      </c>
      <c r="B606" s="13" t="s">
        <v>43</v>
      </c>
      <c r="D606" s="3"/>
      <c r="E606" s="3"/>
      <c r="F606" s="3"/>
      <c r="G606" s="3"/>
      <c r="H606" s="3"/>
      <c r="I606" s="3"/>
    </row>
    <row r="607">
      <c r="A607" s="4" t="s">
        <v>12340</v>
      </c>
      <c r="B607" s="13" t="s">
        <v>43</v>
      </c>
      <c r="D607" s="3"/>
      <c r="E607" s="3"/>
      <c r="F607" s="3"/>
      <c r="G607" s="3"/>
      <c r="H607" s="3"/>
      <c r="I607" s="3"/>
    </row>
    <row r="608">
      <c r="A608" s="4" t="s">
        <v>12341</v>
      </c>
      <c r="B608" s="13" t="s">
        <v>43</v>
      </c>
      <c r="D608" s="3"/>
      <c r="E608" s="3"/>
      <c r="F608" s="3"/>
      <c r="G608" s="3"/>
      <c r="H608" s="3"/>
      <c r="I608" s="3"/>
    </row>
    <row r="609">
      <c r="A609" s="4" t="s">
        <v>12342</v>
      </c>
      <c r="B609" s="13" t="s">
        <v>43</v>
      </c>
      <c r="D609" s="3"/>
      <c r="E609" s="3"/>
      <c r="F609" s="3"/>
      <c r="G609" s="3"/>
      <c r="H609" s="3"/>
      <c r="I609" s="3"/>
    </row>
    <row r="610">
      <c r="A610" s="4" t="s">
        <v>12343</v>
      </c>
      <c r="B610" s="13" t="s">
        <v>43</v>
      </c>
      <c r="D610" s="3"/>
      <c r="E610" s="3"/>
      <c r="F610" s="3"/>
      <c r="G610" s="3"/>
      <c r="H610" s="3"/>
      <c r="I610" s="3"/>
    </row>
    <row r="611">
      <c r="A611" s="4" t="s">
        <v>12344</v>
      </c>
      <c r="B611" s="13" t="s">
        <v>43</v>
      </c>
      <c r="D611" s="3"/>
      <c r="E611" s="3"/>
      <c r="F611" s="3"/>
      <c r="G611" s="3"/>
      <c r="H611" s="3"/>
      <c r="I611" s="3"/>
    </row>
    <row r="612">
      <c r="A612" s="4" t="s">
        <v>12345</v>
      </c>
      <c r="B612" s="13" t="s">
        <v>43</v>
      </c>
      <c r="D612" s="3"/>
      <c r="E612" s="3"/>
      <c r="F612" s="3"/>
      <c r="G612" s="3"/>
      <c r="H612" s="3"/>
      <c r="I612" s="3"/>
    </row>
    <row r="613">
      <c r="A613" s="4" t="s">
        <v>12346</v>
      </c>
      <c r="B613" s="13" t="s">
        <v>43</v>
      </c>
      <c r="D613" s="3"/>
      <c r="E613" s="3"/>
      <c r="F613" s="3"/>
      <c r="G613" s="3"/>
      <c r="H613" s="3"/>
      <c r="I613" s="3"/>
    </row>
    <row r="614">
      <c r="A614" s="4" t="s">
        <v>12347</v>
      </c>
      <c r="B614" s="13" t="s">
        <v>43</v>
      </c>
      <c r="D614" s="3"/>
      <c r="E614" s="3"/>
      <c r="F614" s="3"/>
      <c r="G614" s="3"/>
      <c r="H614" s="3"/>
      <c r="I614" s="3"/>
      <c r="L614" s="4" t="s">
        <v>1757</v>
      </c>
    </row>
    <row r="615">
      <c r="A615" s="4" t="s">
        <v>12348</v>
      </c>
      <c r="B615" s="13" t="s">
        <v>43</v>
      </c>
      <c r="D615" s="3"/>
      <c r="E615" s="3"/>
      <c r="F615" s="3"/>
      <c r="G615" s="3"/>
      <c r="H615" s="3"/>
      <c r="I615" s="3"/>
      <c r="L615" s="4" t="s">
        <v>1757</v>
      </c>
    </row>
    <row r="616">
      <c r="A616" s="4" t="s">
        <v>12349</v>
      </c>
      <c r="B616" s="13" t="s">
        <v>43</v>
      </c>
      <c r="D616" s="3"/>
      <c r="E616" s="3"/>
      <c r="F616" s="3"/>
      <c r="G616" s="3"/>
      <c r="H616" s="3"/>
      <c r="I616" s="3"/>
    </row>
    <row r="617">
      <c r="A617" s="4" t="s">
        <v>12350</v>
      </c>
      <c r="B617" s="13" t="s">
        <v>43</v>
      </c>
      <c r="D617" s="3"/>
      <c r="E617" s="3"/>
      <c r="F617" s="3"/>
      <c r="G617" s="3"/>
      <c r="H617" s="3"/>
      <c r="I617" s="3"/>
    </row>
    <row r="618">
      <c r="A618" s="4" t="s">
        <v>12351</v>
      </c>
      <c r="B618" s="13" t="s">
        <v>43</v>
      </c>
      <c r="D618" s="3"/>
      <c r="E618" s="3"/>
      <c r="F618" s="3"/>
      <c r="G618" s="3"/>
      <c r="H618" s="3"/>
      <c r="I618" s="3"/>
    </row>
    <row r="619">
      <c r="A619" s="4" t="s">
        <v>12352</v>
      </c>
      <c r="B619" s="13" t="s">
        <v>43</v>
      </c>
      <c r="D619" s="3"/>
      <c r="E619" s="3"/>
      <c r="F619" s="3"/>
      <c r="G619" s="3"/>
      <c r="H619" s="3"/>
      <c r="I619" s="3"/>
    </row>
    <row r="620">
      <c r="A620" s="4" t="s">
        <v>12353</v>
      </c>
      <c r="B620" s="13" t="s">
        <v>43</v>
      </c>
      <c r="D620" s="3"/>
      <c r="E620" s="3"/>
      <c r="F620" s="3"/>
      <c r="G620" s="3"/>
      <c r="H620" s="3"/>
      <c r="I620" s="3"/>
    </row>
    <row r="621">
      <c r="A621" s="4" t="s">
        <v>12354</v>
      </c>
      <c r="B621" s="13" t="s">
        <v>43</v>
      </c>
      <c r="D621" s="3"/>
      <c r="E621" s="3"/>
      <c r="F621" s="3"/>
      <c r="G621" s="3"/>
      <c r="H621" s="3"/>
      <c r="I621" s="3"/>
    </row>
    <row r="622">
      <c r="A622" s="4" t="s">
        <v>12355</v>
      </c>
      <c r="B622" s="13" t="s">
        <v>43</v>
      </c>
      <c r="D622" s="3"/>
      <c r="E622" s="3"/>
      <c r="F622" s="3"/>
      <c r="G622" s="3"/>
      <c r="H622" s="3"/>
      <c r="I622" s="3"/>
    </row>
    <row r="623">
      <c r="A623" s="4" t="s">
        <v>12356</v>
      </c>
      <c r="B623" s="13" t="s">
        <v>43</v>
      </c>
      <c r="D623" s="3"/>
      <c r="E623" s="3"/>
      <c r="F623" s="3"/>
      <c r="G623" s="3"/>
      <c r="H623" s="3"/>
      <c r="I623" s="3"/>
    </row>
    <row r="624">
      <c r="A624" s="4" t="s">
        <v>12357</v>
      </c>
      <c r="B624" s="13" t="s">
        <v>43</v>
      </c>
      <c r="D624" s="3"/>
      <c r="E624" s="3"/>
      <c r="F624" s="3"/>
      <c r="G624" s="3"/>
      <c r="H624" s="3"/>
      <c r="I624" s="3"/>
    </row>
    <row r="625">
      <c r="A625" s="4" t="s">
        <v>12358</v>
      </c>
      <c r="B625" s="13" t="s">
        <v>43</v>
      </c>
      <c r="D625" s="3"/>
      <c r="E625" s="3"/>
      <c r="F625" s="3"/>
      <c r="G625" s="3"/>
      <c r="H625" s="3"/>
      <c r="I625" s="3"/>
    </row>
    <row r="626">
      <c r="A626" s="4" t="s">
        <v>12359</v>
      </c>
      <c r="B626" s="13" t="s">
        <v>43</v>
      </c>
      <c r="D626" s="3"/>
      <c r="E626" s="3"/>
      <c r="F626" s="3"/>
      <c r="G626" s="3"/>
      <c r="H626" s="3"/>
      <c r="I626" s="3"/>
    </row>
    <row r="627">
      <c r="A627" s="4" t="s">
        <v>12360</v>
      </c>
      <c r="B627" s="13" t="s">
        <v>43</v>
      </c>
      <c r="D627" s="3"/>
      <c r="E627" s="3"/>
      <c r="F627" s="3"/>
      <c r="G627" s="3"/>
      <c r="H627" s="3"/>
      <c r="I627" s="3"/>
    </row>
    <row r="628">
      <c r="A628" s="4" t="s">
        <v>12361</v>
      </c>
      <c r="B628" s="13" t="s">
        <v>43</v>
      </c>
      <c r="D628" s="3"/>
      <c r="E628" s="3"/>
      <c r="F628" s="3"/>
      <c r="G628" s="3"/>
      <c r="H628" s="3"/>
      <c r="I628" s="3"/>
    </row>
    <row r="629">
      <c r="A629" s="4" t="s">
        <v>12362</v>
      </c>
      <c r="B629" s="13" t="s">
        <v>43</v>
      </c>
      <c r="D629" s="3"/>
      <c r="E629" s="3"/>
      <c r="F629" s="3"/>
      <c r="G629" s="3"/>
      <c r="H629" s="3"/>
      <c r="I629" s="3"/>
    </row>
    <row r="630">
      <c r="A630" s="4" t="s">
        <v>12363</v>
      </c>
      <c r="B630" s="13" t="s">
        <v>43</v>
      </c>
      <c r="D630" s="3"/>
      <c r="E630" s="3"/>
      <c r="F630" s="3"/>
      <c r="G630" s="3"/>
      <c r="H630" s="3"/>
      <c r="I630" s="3"/>
    </row>
    <row r="631">
      <c r="A631" s="4" t="s">
        <v>12364</v>
      </c>
      <c r="B631" s="13" t="s">
        <v>43</v>
      </c>
      <c r="D631" s="3"/>
      <c r="E631" s="3"/>
      <c r="F631" s="3"/>
      <c r="G631" s="3"/>
      <c r="H631" s="3"/>
      <c r="I631" s="3"/>
    </row>
    <row r="632">
      <c r="A632" s="4" t="s">
        <v>12365</v>
      </c>
      <c r="B632" s="13" t="s">
        <v>43</v>
      </c>
      <c r="D632" s="3"/>
      <c r="E632" s="3"/>
      <c r="F632" s="3"/>
      <c r="G632" s="3"/>
      <c r="H632" s="3"/>
      <c r="I632" s="3"/>
    </row>
    <row r="633">
      <c r="A633" s="4" t="s">
        <v>12366</v>
      </c>
      <c r="B633" s="13" t="s">
        <v>43</v>
      </c>
      <c r="D633" s="3"/>
      <c r="E633" s="3"/>
      <c r="F633" s="3"/>
      <c r="G633" s="3"/>
      <c r="H633" s="3"/>
      <c r="I633" s="3"/>
    </row>
    <row r="634">
      <c r="A634" s="4" t="s">
        <v>12367</v>
      </c>
      <c r="B634" s="13" t="s">
        <v>43</v>
      </c>
      <c r="D634" s="3"/>
      <c r="E634" s="3"/>
      <c r="F634" s="3"/>
      <c r="G634" s="3"/>
      <c r="H634" s="3"/>
      <c r="I634" s="3"/>
    </row>
    <row r="635">
      <c r="A635" s="4" t="s">
        <v>12368</v>
      </c>
      <c r="B635" s="13" t="s">
        <v>43</v>
      </c>
      <c r="D635" s="3"/>
      <c r="E635" s="3"/>
      <c r="F635" s="3"/>
      <c r="G635" s="3"/>
      <c r="H635" s="3"/>
      <c r="I635" s="3"/>
    </row>
    <row r="636">
      <c r="A636" s="4" t="s">
        <v>12369</v>
      </c>
      <c r="B636" s="13" t="s">
        <v>43</v>
      </c>
      <c r="D636" s="3"/>
      <c r="E636" s="3"/>
      <c r="F636" s="3"/>
      <c r="G636" s="3"/>
      <c r="H636" s="3"/>
      <c r="I636" s="3"/>
    </row>
    <row r="637">
      <c r="A637" s="4" t="s">
        <v>12370</v>
      </c>
      <c r="B637" s="13" t="s">
        <v>43</v>
      </c>
      <c r="D637" s="3"/>
      <c r="E637" s="3"/>
      <c r="F637" s="3"/>
      <c r="G637" s="3"/>
      <c r="H637" s="3"/>
      <c r="I637" s="3"/>
    </row>
    <row r="638">
      <c r="A638" s="4" t="s">
        <v>12371</v>
      </c>
      <c r="B638" s="13" t="s">
        <v>43</v>
      </c>
      <c r="D638" s="3"/>
      <c r="E638" s="3"/>
      <c r="F638" s="3"/>
      <c r="G638" s="3"/>
      <c r="H638" s="3"/>
      <c r="I638" s="3"/>
    </row>
    <row r="639">
      <c r="A639" s="4" t="s">
        <v>12372</v>
      </c>
      <c r="B639" s="13" t="s">
        <v>43</v>
      </c>
      <c r="D639" s="3"/>
      <c r="E639" s="3"/>
      <c r="F639" s="3"/>
      <c r="G639" s="3"/>
      <c r="H639" s="3"/>
      <c r="I639" s="3"/>
    </row>
    <row r="640">
      <c r="A640" s="4" t="s">
        <v>12373</v>
      </c>
      <c r="B640" s="13" t="s">
        <v>43</v>
      </c>
      <c r="D640" s="3"/>
      <c r="E640" s="3"/>
      <c r="F640" s="3"/>
      <c r="G640" s="3"/>
      <c r="H640" s="3"/>
      <c r="I640" s="3"/>
    </row>
    <row r="641">
      <c r="A641" s="4" t="s">
        <v>12374</v>
      </c>
      <c r="B641" s="13" t="s">
        <v>43</v>
      </c>
      <c r="D641" s="3"/>
      <c r="E641" s="3"/>
      <c r="F641" s="3"/>
      <c r="G641" s="3"/>
      <c r="H641" s="3"/>
      <c r="I641" s="3"/>
    </row>
    <row r="642">
      <c r="A642" s="4" t="s">
        <v>12375</v>
      </c>
      <c r="B642" s="13" t="s">
        <v>43</v>
      </c>
      <c r="D642" s="3"/>
      <c r="E642" s="3"/>
      <c r="F642" s="3"/>
      <c r="G642" s="3"/>
      <c r="H642" s="3"/>
      <c r="I642" s="3"/>
    </row>
    <row r="643">
      <c r="A643" s="4" t="s">
        <v>12376</v>
      </c>
      <c r="B643" s="13" t="s">
        <v>43</v>
      </c>
      <c r="D643" s="3"/>
      <c r="E643" s="3"/>
      <c r="F643" s="3"/>
      <c r="G643" s="3"/>
      <c r="H643" s="3"/>
      <c r="I643" s="3"/>
    </row>
    <row r="644">
      <c r="A644" s="4" t="s">
        <v>12377</v>
      </c>
      <c r="B644" s="13" t="s">
        <v>43</v>
      </c>
      <c r="D644" s="3"/>
      <c r="E644" s="3"/>
      <c r="F644" s="3"/>
      <c r="G644" s="3"/>
      <c r="H644" s="3"/>
      <c r="I644" s="3"/>
    </row>
    <row r="645">
      <c r="A645" s="4" t="s">
        <v>12378</v>
      </c>
      <c r="B645" s="13" t="s">
        <v>43</v>
      </c>
      <c r="D645" s="3"/>
      <c r="E645" s="3"/>
      <c r="F645" s="3"/>
      <c r="G645" s="3"/>
      <c r="H645" s="3"/>
      <c r="I645" s="3"/>
    </row>
    <row r="646">
      <c r="A646" s="4" t="s">
        <v>12379</v>
      </c>
      <c r="B646" s="13" t="s">
        <v>43</v>
      </c>
      <c r="D646" s="3"/>
      <c r="E646" s="3"/>
      <c r="F646" s="3"/>
      <c r="G646" s="3"/>
      <c r="H646" s="3"/>
      <c r="I646" s="3"/>
    </row>
    <row r="647">
      <c r="A647" s="4" t="s">
        <v>12380</v>
      </c>
      <c r="B647" s="13" t="s">
        <v>43</v>
      </c>
      <c r="D647" s="3"/>
      <c r="E647" s="3"/>
      <c r="F647" s="3"/>
      <c r="G647" s="3"/>
      <c r="H647" s="3"/>
      <c r="I647" s="3"/>
    </row>
    <row r="648">
      <c r="A648" s="4" t="s">
        <v>12381</v>
      </c>
      <c r="B648" s="13" t="s">
        <v>43</v>
      </c>
      <c r="D648" s="3"/>
      <c r="E648" s="3"/>
      <c r="F648" s="3"/>
      <c r="G648" s="3"/>
      <c r="H648" s="3"/>
      <c r="I648" s="3"/>
    </row>
    <row r="649">
      <c r="A649" s="4" t="s">
        <v>12382</v>
      </c>
      <c r="B649" s="13" t="s">
        <v>43</v>
      </c>
      <c r="D649" s="3"/>
      <c r="E649" s="3"/>
      <c r="F649" s="3"/>
      <c r="G649" s="3"/>
      <c r="H649" s="3"/>
      <c r="I649" s="3"/>
    </row>
    <row r="650">
      <c r="A650" s="4" t="s">
        <v>12383</v>
      </c>
      <c r="B650" s="13" t="s">
        <v>43</v>
      </c>
      <c r="D650" s="3"/>
      <c r="E650" s="3"/>
      <c r="F650" s="3"/>
      <c r="G650" s="3"/>
      <c r="H650" s="3"/>
      <c r="I650" s="3"/>
    </row>
    <row r="651">
      <c r="A651" s="4" t="s">
        <v>12384</v>
      </c>
      <c r="B651" s="13" t="s">
        <v>43</v>
      </c>
      <c r="D651" s="3"/>
      <c r="E651" s="3"/>
      <c r="F651" s="3"/>
      <c r="G651" s="3"/>
      <c r="H651" s="3"/>
      <c r="I651" s="3"/>
      <c r="J651" s="4" t="s">
        <v>1757</v>
      </c>
    </row>
    <row r="652">
      <c r="A652" s="4" t="s">
        <v>12385</v>
      </c>
      <c r="B652" s="13" t="s">
        <v>43</v>
      </c>
      <c r="D652" s="3"/>
      <c r="E652" s="3"/>
      <c r="F652" s="3"/>
      <c r="G652" s="3"/>
      <c r="H652" s="3"/>
      <c r="I652" s="3"/>
      <c r="J652" s="4" t="s">
        <v>1757</v>
      </c>
    </row>
    <row r="653">
      <c r="A653" s="4" t="s">
        <v>12386</v>
      </c>
      <c r="B653" s="13" t="s">
        <v>43</v>
      </c>
      <c r="D653" s="3"/>
      <c r="E653" s="3"/>
      <c r="F653" s="3"/>
      <c r="G653" s="3"/>
      <c r="H653" s="3"/>
      <c r="I653" s="3"/>
      <c r="J653" s="4" t="s">
        <v>1757</v>
      </c>
    </row>
    <row r="654">
      <c r="A654" s="4" t="s">
        <v>12387</v>
      </c>
      <c r="B654" s="13" t="s">
        <v>43</v>
      </c>
      <c r="D654" s="3"/>
      <c r="E654" s="3"/>
      <c r="F654" s="3"/>
      <c r="G654" s="3"/>
      <c r="H654" s="3"/>
      <c r="I654" s="3"/>
      <c r="J654" s="4" t="s">
        <v>1757</v>
      </c>
    </row>
    <row r="655">
      <c r="A655" s="4" t="s">
        <v>12388</v>
      </c>
      <c r="B655" s="13" t="s">
        <v>43</v>
      </c>
      <c r="D655" s="3"/>
      <c r="E655" s="3"/>
      <c r="F655" s="3"/>
      <c r="G655" s="3"/>
      <c r="H655" s="3"/>
      <c r="I655" s="3"/>
    </row>
    <row r="656">
      <c r="A656" s="4" t="s">
        <v>12389</v>
      </c>
      <c r="B656" s="13" t="s">
        <v>43</v>
      </c>
      <c r="D656" s="3"/>
      <c r="E656" s="3"/>
      <c r="F656" s="3"/>
      <c r="G656" s="3"/>
      <c r="H656" s="3"/>
      <c r="I656" s="3"/>
    </row>
    <row r="657">
      <c r="A657" s="4" t="s">
        <v>12390</v>
      </c>
      <c r="B657" s="13" t="s">
        <v>43</v>
      </c>
      <c r="D657" s="3"/>
      <c r="E657" s="3"/>
      <c r="F657" s="3"/>
      <c r="G657" s="3"/>
      <c r="H657" s="3"/>
      <c r="I657" s="3"/>
    </row>
    <row r="658">
      <c r="A658" s="4" t="s">
        <v>12391</v>
      </c>
      <c r="B658" s="13" t="s">
        <v>43</v>
      </c>
      <c r="D658" s="3"/>
      <c r="E658" s="3"/>
      <c r="F658" s="3"/>
      <c r="G658" s="3"/>
      <c r="H658" s="3"/>
      <c r="I658" s="3"/>
    </row>
    <row r="659">
      <c r="A659" s="4" t="s">
        <v>12392</v>
      </c>
      <c r="B659" s="13" t="s">
        <v>43</v>
      </c>
      <c r="D659" s="3"/>
      <c r="E659" s="3"/>
      <c r="F659" s="3"/>
      <c r="G659" s="3"/>
      <c r="H659" s="3"/>
      <c r="I659" s="3"/>
    </row>
    <row r="660">
      <c r="A660" s="4" t="s">
        <v>12393</v>
      </c>
      <c r="B660" s="13" t="s">
        <v>43</v>
      </c>
      <c r="D660" s="3"/>
      <c r="E660" s="3"/>
      <c r="F660" s="3"/>
      <c r="G660" s="3"/>
      <c r="H660" s="3"/>
      <c r="I660" s="3"/>
    </row>
    <row r="661">
      <c r="A661" s="4" t="s">
        <v>12394</v>
      </c>
      <c r="B661" s="13" t="s">
        <v>43</v>
      </c>
      <c r="D661" s="3"/>
      <c r="E661" s="3"/>
      <c r="F661" s="3"/>
      <c r="G661" s="3"/>
      <c r="H661" s="3"/>
      <c r="I661" s="3"/>
    </row>
    <row r="662">
      <c r="A662" s="4" t="s">
        <v>12395</v>
      </c>
      <c r="B662" s="13" t="s">
        <v>43</v>
      </c>
      <c r="D662" s="3"/>
      <c r="E662" s="3"/>
      <c r="F662" s="3"/>
      <c r="G662" s="3"/>
      <c r="H662" s="3"/>
      <c r="I662" s="3"/>
    </row>
    <row r="663">
      <c r="A663" s="4" t="s">
        <v>12396</v>
      </c>
      <c r="B663" s="13" t="s">
        <v>48</v>
      </c>
      <c r="C663" s="4">
        <v>1.0</v>
      </c>
      <c r="D663" s="3"/>
      <c r="E663" s="4">
        <v>2.0</v>
      </c>
      <c r="F663" s="3"/>
      <c r="G663" s="3"/>
      <c r="H663" s="3"/>
      <c r="I663" s="3"/>
    </row>
    <row r="664">
      <c r="A664" s="4" t="s">
        <v>12397</v>
      </c>
      <c r="B664" s="13" t="s">
        <v>48</v>
      </c>
      <c r="C664" s="4">
        <v>1.0</v>
      </c>
      <c r="D664" s="3"/>
      <c r="E664" s="4">
        <v>2.0</v>
      </c>
      <c r="F664" s="3"/>
      <c r="G664" s="3"/>
      <c r="H664" s="3"/>
      <c r="I664" s="3"/>
    </row>
    <row r="665">
      <c r="A665" s="4" t="s">
        <v>12398</v>
      </c>
      <c r="B665" s="13" t="s">
        <v>48</v>
      </c>
      <c r="C665" s="4">
        <v>1.0</v>
      </c>
      <c r="D665" s="3"/>
      <c r="E665" s="4">
        <v>2.0</v>
      </c>
      <c r="F665" s="3"/>
      <c r="G665" s="3"/>
      <c r="H665" s="3"/>
      <c r="I665" s="3"/>
    </row>
    <row r="666">
      <c r="A666" s="4" t="s">
        <v>12399</v>
      </c>
      <c r="B666" s="13" t="s">
        <v>48</v>
      </c>
      <c r="C666" s="4">
        <v>1.0</v>
      </c>
      <c r="D666" s="3"/>
      <c r="E666" s="4">
        <v>2.0</v>
      </c>
      <c r="F666" s="3"/>
      <c r="G666" s="3"/>
      <c r="H666" s="3"/>
      <c r="I666" s="3"/>
      <c r="J666" s="4" t="s">
        <v>1757</v>
      </c>
    </row>
    <row r="667">
      <c r="A667" s="4" t="s">
        <v>12400</v>
      </c>
      <c r="B667" s="13" t="s">
        <v>48</v>
      </c>
      <c r="C667" s="4">
        <v>1.0</v>
      </c>
      <c r="D667" s="3"/>
      <c r="E667" s="4">
        <v>2.0</v>
      </c>
      <c r="F667" s="3"/>
      <c r="G667" s="3"/>
      <c r="H667" s="3"/>
      <c r="I667" s="3"/>
      <c r="J667" s="4" t="s">
        <v>1757</v>
      </c>
    </row>
    <row r="668">
      <c r="A668" s="4" t="s">
        <v>12401</v>
      </c>
      <c r="B668" s="19" t="s">
        <v>43</v>
      </c>
      <c r="D668" s="3"/>
      <c r="E668" s="3"/>
      <c r="F668" s="3"/>
      <c r="G668" s="3"/>
      <c r="H668" s="3"/>
      <c r="I668" s="3"/>
      <c r="J668" s="4" t="s">
        <v>1757</v>
      </c>
    </row>
    <row r="669">
      <c r="A669" s="4" t="s">
        <v>12402</v>
      </c>
      <c r="B669" s="19" t="s">
        <v>43</v>
      </c>
      <c r="D669" s="3"/>
      <c r="E669" s="3"/>
      <c r="F669" s="3"/>
      <c r="G669" s="3"/>
      <c r="H669" s="3"/>
      <c r="I669" s="3"/>
      <c r="J669" s="4" t="s">
        <v>1757</v>
      </c>
    </row>
    <row r="670">
      <c r="A670" s="4" t="s">
        <v>12403</v>
      </c>
      <c r="B670" s="19" t="s">
        <v>43</v>
      </c>
      <c r="D670" s="3"/>
      <c r="E670" s="3"/>
      <c r="F670" s="3"/>
      <c r="G670" s="3"/>
      <c r="H670" s="3"/>
      <c r="I670" s="3"/>
      <c r="J670" s="4" t="s">
        <v>1757</v>
      </c>
    </row>
    <row r="671">
      <c r="A671" s="4" t="s">
        <v>12404</v>
      </c>
      <c r="B671" s="19" t="s">
        <v>43</v>
      </c>
      <c r="D671" s="3"/>
      <c r="E671" s="3"/>
      <c r="F671" s="3"/>
      <c r="G671" s="3"/>
      <c r="H671" s="3"/>
      <c r="I671" s="3"/>
      <c r="J671" s="4" t="s">
        <v>1757</v>
      </c>
    </row>
    <row r="672">
      <c r="A672" s="4" t="s">
        <v>12405</v>
      </c>
      <c r="B672" s="19" t="s">
        <v>43</v>
      </c>
      <c r="D672" s="3"/>
      <c r="E672" s="3"/>
      <c r="F672" s="3"/>
      <c r="G672" s="3"/>
      <c r="H672" s="3"/>
      <c r="I672" s="3"/>
      <c r="J672" s="4" t="s">
        <v>1757</v>
      </c>
    </row>
    <row r="673">
      <c r="A673" s="4" t="s">
        <v>12406</v>
      </c>
      <c r="B673" s="19" t="s">
        <v>43</v>
      </c>
      <c r="D673" s="3"/>
      <c r="E673" s="3"/>
      <c r="F673" s="3"/>
      <c r="G673" s="3"/>
      <c r="H673" s="3"/>
      <c r="I673" s="3"/>
      <c r="J673" s="4" t="s">
        <v>1757</v>
      </c>
    </row>
    <row r="674">
      <c r="A674" s="4" t="s">
        <v>12407</v>
      </c>
      <c r="B674" s="19" t="s">
        <v>43</v>
      </c>
      <c r="D674" s="3"/>
      <c r="E674" s="3"/>
      <c r="F674" s="3"/>
      <c r="G674" s="3"/>
      <c r="H674" s="3"/>
      <c r="I674" s="3"/>
      <c r="J674" s="4" t="s">
        <v>1757</v>
      </c>
    </row>
    <row r="675">
      <c r="A675" s="4" t="s">
        <v>12408</v>
      </c>
      <c r="B675" s="19" t="s">
        <v>43</v>
      </c>
      <c r="D675" s="3"/>
      <c r="E675" s="3"/>
      <c r="F675" s="3"/>
      <c r="G675" s="3"/>
      <c r="H675" s="3"/>
      <c r="I675" s="3"/>
    </row>
    <row r="676">
      <c r="A676" s="4" t="s">
        <v>12409</v>
      </c>
      <c r="B676" s="19" t="s">
        <v>43</v>
      </c>
      <c r="D676" s="3"/>
      <c r="E676" s="3"/>
      <c r="F676" s="3"/>
      <c r="G676" s="3"/>
      <c r="H676" s="3"/>
      <c r="I676" s="3"/>
      <c r="J676" s="4" t="s">
        <v>1757</v>
      </c>
    </row>
    <row r="677">
      <c r="A677" s="4" t="s">
        <v>12410</v>
      </c>
      <c r="B677" s="13" t="s">
        <v>48</v>
      </c>
      <c r="C677" s="4">
        <v>1.0</v>
      </c>
      <c r="D677" s="3"/>
      <c r="E677" s="4">
        <v>2.0</v>
      </c>
      <c r="F677" s="3"/>
      <c r="G677" s="3"/>
      <c r="H677" s="3"/>
      <c r="I677" s="3"/>
      <c r="J677" s="4" t="s">
        <v>1757</v>
      </c>
    </row>
    <row r="678">
      <c r="A678" s="4" t="s">
        <v>12411</v>
      </c>
      <c r="B678" s="13" t="s">
        <v>48</v>
      </c>
      <c r="C678" s="4">
        <v>1.0</v>
      </c>
      <c r="D678" s="3"/>
      <c r="E678" s="4">
        <v>2.0</v>
      </c>
      <c r="F678" s="3"/>
      <c r="G678" s="3"/>
      <c r="H678" s="3"/>
      <c r="I678" s="3"/>
      <c r="J678" s="4" t="s">
        <v>1757</v>
      </c>
    </row>
    <row r="679">
      <c r="A679" s="4" t="s">
        <v>12412</v>
      </c>
      <c r="B679" s="13" t="s">
        <v>48</v>
      </c>
      <c r="C679" s="4">
        <v>1.0</v>
      </c>
      <c r="D679" s="3"/>
      <c r="E679" s="4">
        <v>2.0</v>
      </c>
      <c r="F679" s="3"/>
      <c r="G679" s="3"/>
      <c r="H679" s="3"/>
      <c r="I679" s="3"/>
      <c r="J679" s="4" t="s">
        <v>1757</v>
      </c>
    </row>
    <row r="680">
      <c r="A680" s="4" t="s">
        <v>12413</v>
      </c>
      <c r="B680" s="13" t="s">
        <v>48</v>
      </c>
      <c r="C680" s="4">
        <v>1.0</v>
      </c>
      <c r="D680" s="3"/>
      <c r="E680" s="4">
        <v>2.0</v>
      </c>
      <c r="F680" s="3"/>
      <c r="G680" s="3"/>
      <c r="H680" s="3"/>
      <c r="I680" s="3"/>
    </row>
    <row r="681">
      <c r="A681" s="4" t="s">
        <v>12414</v>
      </c>
      <c r="B681" s="13" t="s">
        <v>48</v>
      </c>
      <c r="C681" s="4">
        <v>1.0</v>
      </c>
      <c r="D681" s="3"/>
      <c r="E681" s="4">
        <v>2.0</v>
      </c>
      <c r="F681" s="3"/>
      <c r="G681" s="3"/>
      <c r="H681" s="3"/>
      <c r="I681" s="3"/>
    </row>
    <row r="682">
      <c r="A682" s="4" t="s">
        <v>12415</v>
      </c>
      <c r="B682" s="13" t="s">
        <v>48</v>
      </c>
      <c r="C682" s="4">
        <v>2.0</v>
      </c>
      <c r="D682" s="3"/>
      <c r="E682" s="4">
        <v>2.0</v>
      </c>
      <c r="F682" s="4">
        <v>9.0</v>
      </c>
      <c r="G682" s="3"/>
      <c r="H682" s="3"/>
      <c r="I682" s="3"/>
    </row>
    <row r="683">
      <c r="A683" s="4" t="s">
        <v>12416</v>
      </c>
      <c r="B683" s="13" t="s">
        <v>48</v>
      </c>
      <c r="C683" s="4">
        <v>3.0</v>
      </c>
      <c r="D683" s="3"/>
      <c r="E683" s="4">
        <v>2.0</v>
      </c>
      <c r="F683" s="4">
        <v>9.0</v>
      </c>
      <c r="G683" s="3"/>
      <c r="H683" s="4">
        <v>13.0</v>
      </c>
      <c r="I683" s="3"/>
      <c r="J683" s="4" t="s">
        <v>1757</v>
      </c>
    </row>
    <row r="684">
      <c r="A684" s="4" t="s">
        <v>12417</v>
      </c>
      <c r="B684" s="13" t="s">
        <v>48</v>
      </c>
      <c r="C684" s="4">
        <v>3.0</v>
      </c>
      <c r="D684" s="3"/>
      <c r="E684" s="4">
        <v>2.0</v>
      </c>
      <c r="F684" s="4">
        <v>9.0</v>
      </c>
      <c r="G684" s="3"/>
      <c r="H684" s="4">
        <v>13.0</v>
      </c>
      <c r="I684" s="3"/>
      <c r="J684" s="4" t="s">
        <v>1757</v>
      </c>
    </row>
    <row r="685">
      <c r="A685" s="4" t="s">
        <v>12418</v>
      </c>
      <c r="B685" s="13" t="s">
        <v>48</v>
      </c>
      <c r="C685" s="4">
        <v>2.0</v>
      </c>
      <c r="D685" s="3"/>
      <c r="E685" s="4">
        <v>2.0</v>
      </c>
      <c r="F685" s="3"/>
      <c r="G685" s="3"/>
      <c r="H685" s="4">
        <v>13.0</v>
      </c>
      <c r="I685" s="3"/>
      <c r="J685" s="4" t="s">
        <v>1757</v>
      </c>
    </row>
    <row r="686">
      <c r="A686" s="4" t="s">
        <v>12419</v>
      </c>
      <c r="B686" s="13" t="s">
        <v>43</v>
      </c>
      <c r="D686" s="3"/>
      <c r="E686" s="3"/>
      <c r="F686" s="3"/>
      <c r="G686" s="3"/>
      <c r="H686" s="3"/>
      <c r="I686" s="3"/>
      <c r="J686" s="4" t="s">
        <v>1757</v>
      </c>
    </row>
    <row r="687">
      <c r="A687" s="4" t="s">
        <v>12420</v>
      </c>
      <c r="B687" s="13" t="s">
        <v>48</v>
      </c>
      <c r="C687" s="4">
        <v>1.0</v>
      </c>
      <c r="D687" s="3"/>
      <c r="E687" s="4">
        <v>2.0</v>
      </c>
      <c r="F687" s="3"/>
      <c r="G687" s="3"/>
      <c r="H687" s="3"/>
      <c r="I687" s="3"/>
      <c r="J687" s="4" t="s">
        <v>1757</v>
      </c>
    </row>
    <row r="688">
      <c r="A688" s="4" t="s">
        <v>12421</v>
      </c>
      <c r="B688" s="13" t="s">
        <v>48</v>
      </c>
      <c r="C688" s="4">
        <v>1.0</v>
      </c>
      <c r="D688" s="3"/>
      <c r="E688" s="3"/>
      <c r="F688" s="3"/>
      <c r="G688" s="3"/>
      <c r="H688" s="4">
        <v>13.0</v>
      </c>
      <c r="I688" s="3"/>
      <c r="J688" s="4" t="s">
        <v>1757</v>
      </c>
    </row>
    <row r="689">
      <c r="A689" s="4" t="s">
        <v>12422</v>
      </c>
      <c r="B689" s="13" t="s">
        <v>43</v>
      </c>
      <c r="D689" s="3"/>
      <c r="E689" s="3"/>
      <c r="F689" s="3"/>
      <c r="G689" s="3"/>
      <c r="H689" s="3"/>
      <c r="I689" s="3"/>
      <c r="J689" s="4" t="s">
        <v>1757</v>
      </c>
    </row>
    <row r="690">
      <c r="A690" s="4" t="s">
        <v>12423</v>
      </c>
      <c r="B690" s="13" t="s">
        <v>43</v>
      </c>
      <c r="D690" s="3"/>
      <c r="E690" s="3"/>
      <c r="F690" s="3"/>
      <c r="G690" s="3"/>
      <c r="H690" s="3"/>
      <c r="I690" s="3"/>
      <c r="J690" s="4" t="s">
        <v>1757</v>
      </c>
    </row>
    <row r="691">
      <c r="A691" s="4" t="s">
        <v>12424</v>
      </c>
      <c r="B691" s="13" t="s">
        <v>43</v>
      </c>
      <c r="D691" s="3"/>
      <c r="E691" s="3"/>
      <c r="F691" s="3"/>
      <c r="G691" s="3"/>
      <c r="H691" s="3"/>
      <c r="I691" s="3"/>
      <c r="J691" s="4" t="s">
        <v>1757</v>
      </c>
    </row>
    <row r="692">
      <c r="A692" s="4" t="s">
        <v>12425</v>
      </c>
      <c r="B692" s="13" t="s">
        <v>43</v>
      </c>
      <c r="D692" s="3"/>
      <c r="E692" s="3"/>
      <c r="F692" s="3"/>
      <c r="G692" s="3"/>
      <c r="H692" s="3"/>
      <c r="I692" s="3"/>
      <c r="J692" s="4" t="s">
        <v>1757</v>
      </c>
    </row>
    <row r="693">
      <c r="A693" s="4" t="s">
        <v>12426</v>
      </c>
      <c r="B693" s="13" t="s">
        <v>43</v>
      </c>
      <c r="D693" s="3"/>
      <c r="E693" s="3"/>
      <c r="F693" s="3"/>
      <c r="G693" s="3"/>
      <c r="H693" s="3"/>
      <c r="I693" s="3"/>
      <c r="J693" s="4" t="s">
        <v>1757</v>
      </c>
    </row>
    <row r="694">
      <c r="A694" s="4" t="s">
        <v>12427</v>
      </c>
      <c r="B694" s="13" t="s">
        <v>43</v>
      </c>
      <c r="D694" s="3"/>
      <c r="E694" s="3"/>
      <c r="F694" s="3"/>
      <c r="G694" s="3"/>
      <c r="H694" s="3"/>
      <c r="I694" s="3"/>
      <c r="J694" s="4" t="s">
        <v>1757</v>
      </c>
    </row>
    <row r="695">
      <c r="A695" s="4" t="s">
        <v>12428</v>
      </c>
      <c r="B695" s="13" t="s">
        <v>43</v>
      </c>
      <c r="D695" s="3"/>
      <c r="E695" s="3"/>
      <c r="F695" s="3"/>
      <c r="G695" s="3"/>
      <c r="H695" s="3"/>
      <c r="I695" s="3"/>
      <c r="J695" s="4" t="s">
        <v>1757</v>
      </c>
    </row>
    <row r="696">
      <c r="A696" s="4" t="s">
        <v>12429</v>
      </c>
      <c r="B696" s="13" t="s">
        <v>43</v>
      </c>
      <c r="D696" s="3"/>
      <c r="E696" s="3"/>
      <c r="F696" s="3"/>
      <c r="G696" s="3"/>
      <c r="H696" s="3"/>
      <c r="I696" s="3"/>
      <c r="J696" s="4" t="s">
        <v>1757</v>
      </c>
    </row>
    <row r="697">
      <c r="A697" s="4" t="s">
        <v>12430</v>
      </c>
      <c r="B697" s="13" t="s">
        <v>43</v>
      </c>
      <c r="D697" s="3"/>
      <c r="E697" s="3"/>
      <c r="F697" s="3"/>
      <c r="G697" s="3"/>
      <c r="H697" s="3"/>
      <c r="I697" s="3"/>
      <c r="J697" s="4" t="s">
        <v>1757</v>
      </c>
    </row>
    <row r="698">
      <c r="A698" s="4" t="s">
        <v>12431</v>
      </c>
      <c r="B698" s="13" t="s">
        <v>43</v>
      </c>
      <c r="D698" s="3"/>
      <c r="E698" s="3"/>
      <c r="F698" s="3"/>
      <c r="G698" s="3"/>
      <c r="H698" s="3"/>
      <c r="I698" s="3"/>
      <c r="J698" s="4" t="s">
        <v>1757</v>
      </c>
    </row>
    <row r="699">
      <c r="A699" s="4" t="s">
        <v>12432</v>
      </c>
      <c r="B699" s="13" t="s">
        <v>43</v>
      </c>
      <c r="D699" s="3"/>
      <c r="E699" s="3"/>
      <c r="F699" s="3"/>
      <c r="G699" s="3"/>
      <c r="H699" s="3"/>
      <c r="I699" s="3"/>
      <c r="J699" s="4" t="s">
        <v>1757</v>
      </c>
    </row>
    <row r="700">
      <c r="A700" s="4" t="s">
        <v>12433</v>
      </c>
      <c r="B700" s="13" t="s">
        <v>43</v>
      </c>
      <c r="D700" s="3"/>
      <c r="E700" s="3"/>
      <c r="F700" s="3"/>
      <c r="G700" s="3"/>
      <c r="H700" s="3"/>
      <c r="I700" s="3"/>
      <c r="J700" s="4" t="s">
        <v>1757</v>
      </c>
    </row>
    <row r="701">
      <c r="A701" s="4" t="s">
        <v>12434</v>
      </c>
      <c r="B701" s="13" t="s">
        <v>43</v>
      </c>
      <c r="D701" s="3"/>
      <c r="E701" s="3"/>
      <c r="F701" s="3"/>
      <c r="G701" s="3"/>
      <c r="H701" s="3"/>
      <c r="I701" s="3"/>
      <c r="J701" s="4" t="s">
        <v>1757</v>
      </c>
    </row>
    <row r="702">
      <c r="A702" s="4" t="s">
        <v>12435</v>
      </c>
      <c r="B702" s="13" t="s">
        <v>43</v>
      </c>
      <c r="D702" s="3"/>
      <c r="E702" s="3"/>
      <c r="F702" s="3"/>
      <c r="G702" s="3"/>
      <c r="H702" s="3"/>
      <c r="I702" s="3"/>
      <c r="J702" s="4" t="s">
        <v>1757</v>
      </c>
    </row>
    <row r="703">
      <c r="A703" s="4" t="s">
        <v>12436</v>
      </c>
      <c r="B703" s="13" t="s">
        <v>43</v>
      </c>
      <c r="D703" s="3"/>
      <c r="E703" s="3"/>
      <c r="F703" s="3"/>
      <c r="G703" s="3"/>
      <c r="H703" s="3"/>
      <c r="I703" s="3"/>
      <c r="J703" s="4" t="s">
        <v>1757</v>
      </c>
    </row>
    <row r="704">
      <c r="A704" s="4" t="s">
        <v>12437</v>
      </c>
      <c r="B704" s="13" t="s">
        <v>43</v>
      </c>
      <c r="D704" s="3"/>
      <c r="E704" s="3"/>
      <c r="F704" s="3"/>
      <c r="G704" s="3"/>
      <c r="H704" s="3"/>
      <c r="I704" s="3"/>
      <c r="J704" s="4" t="s">
        <v>1757</v>
      </c>
    </row>
    <row r="705">
      <c r="A705" s="4" t="s">
        <v>12438</v>
      </c>
      <c r="B705" s="13" t="s">
        <v>43</v>
      </c>
      <c r="D705" s="3"/>
      <c r="E705" s="3"/>
      <c r="F705" s="3"/>
      <c r="G705" s="3"/>
      <c r="H705" s="3"/>
      <c r="I705" s="3"/>
      <c r="J705" s="4" t="s">
        <v>1757</v>
      </c>
    </row>
    <row r="706">
      <c r="A706" s="4" t="s">
        <v>12439</v>
      </c>
      <c r="B706" s="13" t="s">
        <v>43</v>
      </c>
      <c r="D706" s="3"/>
      <c r="E706" s="3"/>
      <c r="F706" s="3"/>
      <c r="G706" s="3"/>
      <c r="H706" s="3"/>
      <c r="I706" s="3"/>
      <c r="J706" s="4" t="s">
        <v>1757</v>
      </c>
    </row>
    <row r="707">
      <c r="A707" s="4" t="s">
        <v>12440</v>
      </c>
      <c r="B707" s="13" t="s">
        <v>43</v>
      </c>
      <c r="D707" s="3"/>
      <c r="E707" s="3"/>
      <c r="F707" s="3"/>
      <c r="G707" s="3"/>
      <c r="H707" s="3"/>
      <c r="I707" s="3"/>
      <c r="J707" s="4" t="s">
        <v>1757</v>
      </c>
    </row>
    <row r="708">
      <c r="A708" s="4" t="s">
        <v>12441</v>
      </c>
      <c r="B708" s="13" t="s">
        <v>43</v>
      </c>
      <c r="D708" s="3"/>
      <c r="E708" s="3"/>
      <c r="F708" s="3"/>
      <c r="G708" s="3"/>
      <c r="H708" s="3"/>
      <c r="I708" s="3"/>
      <c r="J708" s="4" t="s">
        <v>1757</v>
      </c>
    </row>
    <row r="709">
      <c r="A709" s="4" t="s">
        <v>12442</v>
      </c>
      <c r="B709" s="13" t="s">
        <v>43</v>
      </c>
      <c r="D709" s="3"/>
      <c r="E709" s="3"/>
      <c r="F709" s="3"/>
      <c r="G709" s="3"/>
      <c r="H709" s="3"/>
      <c r="I709" s="3"/>
      <c r="J709" s="4" t="s">
        <v>1757</v>
      </c>
    </row>
    <row r="710">
      <c r="A710" s="4" t="s">
        <v>12443</v>
      </c>
      <c r="B710" s="13" t="s">
        <v>43</v>
      </c>
      <c r="D710" s="3"/>
      <c r="E710" s="3"/>
      <c r="F710" s="3"/>
      <c r="G710" s="3"/>
      <c r="H710" s="3"/>
      <c r="I710" s="3"/>
    </row>
    <row r="711">
      <c r="A711" s="4" t="s">
        <v>12444</v>
      </c>
      <c r="B711" s="13" t="s">
        <v>43</v>
      </c>
      <c r="D711" s="3"/>
      <c r="E711" s="3"/>
      <c r="F711" s="3"/>
      <c r="G711" s="3"/>
      <c r="H711" s="3"/>
      <c r="I711" s="3"/>
    </row>
    <row r="712">
      <c r="A712" s="4" t="s">
        <v>12445</v>
      </c>
      <c r="B712" s="13" t="s">
        <v>43</v>
      </c>
      <c r="D712" s="3"/>
      <c r="E712" s="3"/>
      <c r="F712" s="3"/>
      <c r="G712" s="3"/>
      <c r="H712" s="3"/>
      <c r="I712" s="3"/>
    </row>
    <row r="713">
      <c r="A713" s="4" t="s">
        <v>12446</v>
      </c>
      <c r="B713" s="13" t="s">
        <v>43</v>
      </c>
      <c r="D713" s="3"/>
      <c r="E713" s="3"/>
      <c r="F713" s="3"/>
      <c r="G713" s="3"/>
      <c r="H713" s="3"/>
      <c r="I713" s="3"/>
    </row>
    <row r="714">
      <c r="A714" s="4" t="s">
        <v>12447</v>
      </c>
      <c r="B714" s="13" t="s">
        <v>43</v>
      </c>
      <c r="D714" s="3"/>
      <c r="E714" s="3"/>
      <c r="F714" s="3"/>
      <c r="G714" s="3"/>
      <c r="H714" s="3"/>
      <c r="I714" s="3"/>
    </row>
    <row r="715">
      <c r="A715" s="4" t="s">
        <v>12448</v>
      </c>
      <c r="B715" s="13" t="s">
        <v>43</v>
      </c>
      <c r="D715" s="3"/>
      <c r="E715" s="3"/>
      <c r="F715" s="3"/>
      <c r="G715" s="3"/>
      <c r="H715" s="3"/>
      <c r="I715" s="3"/>
    </row>
    <row r="716">
      <c r="A716" s="4" t="s">
        <v>12449</v>
      </c>
      <c r="B716" s="13" t="s">
        <v>43</v>
      </c>
      <c r="D716" s="3"/>
      <c r="E716" s="3"/>
      <c r="F716" s="3"/>
      <c r="G716" s="3"/>
      <c r="H716" s="3"/>
      <c r="I716" s="3"/>
    </row>
    <row r="717">
      <c r="A717" s="4" t="s">
        <v>12450</v>
      </c>
      <c r="B717" s="13" t="s">
        <v>43</v>
      </c>
      <c r="D717" s="3"/>
      <c r="E717" s="3"/>
      <c r="F717" s="3"/>
      <c r="G717" s="3"/>
      <c r="H717" s="3"/>
      <c r="I717" s="3"/>
    </row>
    <row r="718">
      <c r="A718" s="4" t="s">
        <v>12451</v>
      </c>
      <c r="B718" s="13" t="s">
        <v>43</v>
      </c>
      <c r="D718" s="3"/>
      <c r="E718" s="3"/>
      <c r="F718" s="3"/>
      <c r="G718" s="3"/>
      <c r="H718" s="3"/>
      <c r="I718" s="3"/>
    </row>
    <row r="719">
      <c r="A719" s="4" t="s">
        <v>12452</v>
      </c>
      <c r="B719" s="13" t="s">
        <v>43</v>
      </c>
      <c r="D719" s="3"/>
      <c r="E719" s="3"/>
      <c r="F719" s="3"/>
      <c r="G719" s="3"/>
      <c r="H719" s="3"/>
      <c r="I719" s="3"/>
    </row>
    <row r="720">
      <c r="A720" s="4" t="s">
        <v>12453</v>
      </c>
      <c r="B720" s="13" t="s">
        <v>43</v>
      </c>
      <c r="D720" s="3"/>
      <c r="E720" s="3"/>
      <c r="F720" s="3"/>
      <c r="G720" s="3"/>
      <c r="H720" s="3"/>
      <c r="I720" s="3"/>
    </row>
    <row r="721">
      <c r="A721" s="4" t="s">
        <v>12454</v>
      </c>
      <c r="B721" s="13" t="s">
        <v>43</v>
      </c>
      <c r="D721" s="3"/>
      <c r="E721" s="3"/>
      <c r="F721" s="3"/>
      <c r="G721" s="3"/>
      <c r="H721" s="3"/>
      <c r="I721" s="3"/>
    </row>
    <row r="722">
      <c r="A722" s="4" t="s">
        <v>12455</v>
      </c>
      <c r="B722" s="13" t="s">
        <v>43</v>
      </c>
      <c r="D722" s="3"/>
      <c r="E722" s="3"/>
      <c r="F722" s="3"/>
      <c r="G722" s="3"/>
      <c r="H722" s="3"/>
      <c r="I722" s="3"/>
    </row>
    <row r="723">
      <c r="A723" s="4" t="s">
        <v>12456</v>
      </c>
      <c r="B723" s="13" t="s">
        <v>43</v>
      </c>
      <c r="D723" s="3"/>
      <c r="E723" s="3"/>
      <c r="F723" s="3"/>
      <c r="G723" s="3"/>
      <c r="H723" s="3"/>
      <c r="I723" s="3"/>
    </row>
    <row r="724">
      <c r="A724" s="4" t="s">
        <v>12457</v>
      </c>
      <c r="B724" s="13" t="s">
        <v>43</v>
      </c>
      <c r="D724" s="3"/>
      <c r="E724" s="3"/>
      <c r="F724" s="3"/>
      <c r="G724" s="3"/>
      <c r="H724" s="3"/>
      <c r="I724" s="3"/>
    </row>
    <row r="725">
      <c r="A725" s="4" t="s">
        <v>12458</v>
      </c>
      <c r="B725" s="13" t="s">
        <v>43</v>
      </c>
      <c r="D725" s="3"/>
      <c r="E725" s="3"/>
      <c r="F725" s="3"/>
      <c r="G725" s="3"/>
      <c r="H725" s="3"/>
      <c r="I725" s="3"/>
    </row>
    <row r="726">
      <c r="A726" s="4" t="s">
        <v>12459</v>
      </c>
      <c r="B726" s="13" t="s">
        <v>43</v>
      </c>
      <c r="D726" s="3"/>
      <c r="E726" s="3"/>
      <c r="F726" s="3"/>
      <c r="G726" s="3"/>
      <c r="H726" s="3"/>
      <c r="I726" s="3"/>
    </row>
    <row r="727">
      <c r="A727" s="4" t="s">
        <v>12460</v>
      </c>
      <c r="B727" s="13" t="s">
        <v>43</v>
      </c>
      <c r="D727" s="3"/>
      <c r="E727" s="3"/>
      <c r="F727" s="3"/>
      <c r="G727" s="3"/>
      <c r="H727" s="3"/>
      <c r="I727" s="3"/>
    </row>
    <row r="728">
      <c r="A728" s="4" t="s">
        <v>12461</v>
      </c>
      <c r="B728" s="13" t="s">
        <v>43</v>
      </c>
      <c r="D728" s="3"/>
      <c r="E728" s="3"/>
      <c r="F728" s="3"/>
      <c r="G728" s="3"/>
      <c r="H728" s="3"/>
      <c r="I728" s="3"/>
    </row>
    <row r="729">
      <c r="A729" s="4" t="s">
        <v>12462</v>
      </c>
      <c r="B729" s="13" t="s">
        <v>43</v>
      </c>
      <c r="D729" s="3"/>
      <c r="E729" s="3"/>
      <c r="F729" s="3"/>
      <c r="G729" s="3"/>
      <c r="H729" s="3"/>
      <c r="I729" s="3"/>
    </row>
    <row r="730">
      <c r="A730" s="4" t="s">
        <v>12463</v>
      </c>
      <c r="B730" s="13" t="s">
        <v>43</v>
      </c>
      <c r="D730" s="3"/>
      <c r="E730" s="3"/>
      <c r="F730" s="3"/>
      <c r="G730" s="3"/>
      <c r="H730" s="3"/>
      <c r="I730" s="3"/>
    </row>
    <row r="731">
      <c r="A731" s="4" t="s">
        <v>12464</v>
      </c>
      <c r="B731" s="13" t="s">
        <v>43</v>
      </c>
      <c r="D731" s="3"/>
      <c r="E731" s="3"/>
      <c r="F731" s="3"/>
      <c r="G731" s="3"/>
      <c r="H731" s="3"/>
      <c r="I731" s="3"/>
    </row>
    <row r="732">
      <c r="A732" s="4" t="s">
        <v>12465</v>
      </c>
      <c r="B732" s="13" t="s">
        <v>43</v>
      </c>
      <c r="D732" s="3"/>
      <c r="E732" s="3"/>
      <c r="F732" s="3"/>
      <c r="G732" s="3"/>
      <c r="H732" s="3"/>
      <c r="I732" s="3"/>
    </row>
    <row r="733">
      <c r="A733" s="4" t="s">
        <v>12466</v>
      </c>
      <c r="B733" s="13" t="s">
        <v>43</v>
      </c>
      <c r="D733" s="3"/>
      <c r="E733" s="3"/>
      <c r="F733" s="3"/>
      <c r="G733" s="3"/>
      <c r="H733" s="3"/>
      <c r="I733" s="3"/>
    </row>
    <row r="734">
      <c r="A734" s="4" t="s">
        <v>12467</v>
      </c>
      <c r="B734" s="13" t="s">
        <v>43</v>
      </c>
      <c r="D734" s="3"/>
      <c r="E734" s="3"/>
      <c r="F734" s="3"/>
      <c r="G734" s="3"/>
      <c r="H734" s="3"/>
      <c r="I734" s="3"/>
    </row>
    <row r="735">
      <c r="A735" s="4" t="s">
        <v>12468</v>
      </c>
      <c r="B735" s="13" t="s">
        <v>43</v>
      </c>
      <c r="D735" s="3"/>
      <c r="E735" s="3"/>
      <c r="F735" s="3"/>
      <c r="G735" s="3"/>
      <c r="H735" s="3"/>
      <c r="I735" s="3"/>
    </row>
    <row r="736">
      <c r="A736" s="4" t="s">
        <v>12469</v>
      </c>
      <c r="B736" s="13" t="s">
        <v>43</v>
      </c>
      <c r="D736" s="3"/>
      <c r="E736" s="3"/>
      <c r="F736" s="3"/>
      <c r="G736" s="3"/>
      <c r="H736" s="3"/>
      <c r="I736" s="3"/>
    </row>
    <row r="737">
      <c r="A737" s="4" t="s">
        <v>12470</v>
      </c>
      <c r="B737" s="13" t="s">
        <v>43</v>
      </c>
      <c r="D737" s="3"/>
      <c r="E737" s="3"/>
      <c r="F737" s="3"/>
      <c r="G737" s="3"/>
      <c r="H737" s="3"/>
      <c r="I737" s="3"/>
    </row>
    <row r="738">
      <c r="A738" s="4" t="s">
        <v>12471</v>
      </c>
      <c r="B738" s="13" t="s">
        <v>43</v>
      </c>
      <c r="D738" s="3"/>
      <c r="E738" s="3"/>
      <c r="F738" s="3"/>
      <c r="G738" s="3"/>
      <c r="H738" s="3"/>
      <c r="I738" s="3"/>
    </row>
    <row r="739">
      <c r="A739" s="4" t="s">
        <v>12472</v>
      </c>
      <c r="B739" s="13" t="s">
        <v>43</v>
      </c>
      <c r="D739" s="3"/>
      <c r="E739" s="3"/>
      <c r="F739" s="3"/>
      <c r="G739" s="3"/>
      <c r="H739" s="3"/>
      <c r="I739" s="3"/>
    </row>
    <row r="740">
      <c r="A740" s="4" t="s">
        <v>12473</v>
      </c>
      <c r="B740" s="13" t="s">
        <v>43</v>
      </c>
      <c r="D740" s="3"/>
      <c r="E740" s="3"/>
      <c r="F740" s="3"/>
      <c r="G740" s="3"/>
      <c r="H740" s="3"/>
      <c r="I740" s="3"/>
    </row>
    <row r="741">
      <c r="A741" s="4" t="s">
        <v>12474</v>
      </c>
      <c r="B741" s="13" t="s">
        <v>43</v>
      </c>
      <c r="D741" s="3"/>
      <c r="E741" s="3"/>
      <c r="F741" s="3"/>
      <c r="G741" s="3"/>
      <c r="H741" s="3"/>
      <c r="I741" s="3"/>
    </row>
    <row r="742">
      <c r="A742" s="4" t="s">
        <v>12475</v>
      </c>
      <c r="B742" s="13" t="s">
        <v>43</v>
      </c>
      <c r="D742" s="3"/>
      <c r="E742" s="3"/>
      <c r="F742" s="3"/>
      <c r="G742" s="3"/>
      <c r="H742" s="3"/>
      <c r="I742" s="3"/>
    </row>
    <row r="743">
      <c r="A743" s="4" t="s">
        <v>12476</v>
      </c>
      <c r="B743" s="13" t="s">
        <v>43</v>
      </c>
      <c r="D743" s="3"/>
      <c r="E743" s="3"/>
      <c r="F743" s="3"/>
      <c r="G743" s="3"/>
      <c r="H743" s="3"/>
      <c r="I743" s="3"/>
    </row>
    <row r="744">
      <c r="A744" s="4" t="s">
        <v>12477</v>
      </c>
      <c r="B744" s="13" t="s">
        <v>43</v>
      </c>
      <c r="D744" s="3"/>
      <c r="E744" s="3"/>
      <c r="F744" s="3"/>
      <c r="G744" s="3"/>
      <c r="H744" s="3"/>
      <c r="I744" s="3"/>
    </row>
    <row r="745">
      <c r="A745" s="4" t="s">
        <v>12478</v>
      </c>
      <c r="B745" s="13" t="s">
        <v>43</v>
      </c>
      <c r="D745" s="3"/>
      <c r="E745" s="3"/>
      <c r="F745" s="3"/>
      <c r="G745" s="3"/>
      <c r="H745" s="3"/>
      <c r="I745" s="3"/>
    </row>
    <row r="746">
      <c r="A746" s="4" t="s">
        <v>12479</v>
      </c>
      <c r="B746" s="13" t="s">
        <v>43</v>
      </c>
      <c r="D746" s="3"/>
      <c r="E746" s="3"/>
      <c r="F746" s="3"/>
      <c r="G746" s="3"/>
      <c r="H746" s="3"/>
      <c r="I746" s="3"/>
    </row>
    <row r="747">
      <c r="A747" s="4" t="s">
        <v>12480</v>
      </c>
      <c r="B747" s="13" t="s">
        <v>43</v>
      </c>
      <c r="D747" s="3"/>
      <c r="E747" s="3"/>
      <c r="F747" s="3"/>
      <c r="G747" s="3"/>
      <c r="H747" s="3"/>
      <c r="I747" s="3"/>
    </row>
    <row r="748">
      <c r="A748" s="4" t="s">
        <v>12481</v>
      </c>
      <c r="B748" s="13" t="s">
        <v>43</v>
      </c>
      <c r="D748" s="3"/>
      <c r="E748" s="3"/>
      <c r="F748" s="3"/>
      <c r="G748" s="3"/>
      <c r="H748" s="3"/>
      <c r="I748" s="3"/>
    </row>
    <row r="749">
      <c r="A749" s="4" t="s">
        <v>12482</v>
      </c>
      <c r="B749" s="13" t="s">
        <v>43</v>
      </c>
      <c r="D749" s="3"/>
      <c r="E749" s="3"/>
      <c r="F749" s="3"/>
      <c r="G749" s="3"/>
      <c r="H749" s="3"/>
      <c r="I749" s="3"/>
    </row>
    <row r="750">
      <c r="A750" s="4" t="s">
        <v>12483</v>
      </c>
      <c r="B750" s="13" t="s">
        <v>43</v>
      </c>
      <c r="D750" s="3"/>
      <c r="E750" s="3"/>
      <c r="F750" s="3"/>
      <c r="G750" s="3"/>
      <c r="H750" s="3"/>
      <c r="I750" s="3"/>
    </row>
    <row r="751">
      <c r="A751" s="4" t="s">
        <v>12484</v>
      </c>
      <c r="B751" s="13" t="s">
        <v>43</v>
      </c>
      <c r="D751" s="3"/>
      <c r="E751" s="3"/>
      <c r="F751" s="3"/>
      <c r="G751" s="3"/>
      <c r="H751" s="3"/>
      <c r="I751" s="3"/>
    </row>
    <row r="752">
      <c r="A752" s="4" t="s">
        <v>12485</v>
      </c>
      <c r="B752" s="13" t="s">
        <v>43</v>
      </c>
      <c r="D752" s="3"/>
      <c r="E752" s="3"/>
      <c r="F752" s="3"/>
      <c r="G752" s="3"/>
      <c r="H752" s="3"/>
      <c r="I752" s="3"/>
    </row>
    <row r="753">
      <c r="A753" s="4" t="s">
        <v>12486</v>
      </c>
      <c r="B753" s="13" t="s">
        <v>43</v>
      </c>
      <c r="D753" s="3"/>
      <c r="E753" s="3"/>
      <c r="F753" s="3"/>
      <c r="G753" s="3"/>
      <c r="H753" s="3"/>
      <c r="I753" s="3"/>
    </row>
    <row r="754">
      <c r="A754" s="4" t="s">
        <v>12487</v>
      </c>
      <c r="B754" s="13" t="s">
        <v>43</v>
      </c>
      <c r="D754" s="3"/>
      <c r="E754" s="3"/>
      <c r="F754" s="3"/>
      <c r="G754" s="3"/>
      <c r="H754" s="3"/>
      <c r="I754" s="3"/>
    </row>
    <row r="755">
      <c r="A755" s="4" t="s">
        <v>12488</v>
      </c>
      <c r="B755" s="13" t="s">
        <v>43</v>
      </c>
      <c r="D755" s="3"/>
      <c r="E755" s="3"/>
      <c r="F755" s="3"/>
      <c r="G755" s="3"/>
      <c r="H755" s="3"/>
      <c r="I755" s="3"/>
    </row>
    <row r="756">
      <c r="A756" s="4" t="s">
        <v>12489</v>
      </c>
      <c r="B756" s="13" t="s">
        <v>43</v>
      </c>
      <c r="D756" s="3"/>
      <c r="E756" s="3"/>
      <c r="F756" s="3"/>
      <c r="G756" s="3"/>
      <c r="H756" s="3"/>
      <c r="I756" s="3"/>
    </row>
    <row r="757">
      <c r="A757" s="4" t="s">
        <v>12490</v>
      </c>
      <c r="B757" s="13" t="s">
        <v>43</v>
      </c>
      <c r="D757" s="3"/>
      <c r="E757" s="3"/>
      <c r="F757" s="3"/>
      <c r="G757" s="3"/>
      <c r="H757" s="3"/>
      <c r="I757" s="3"/>
    </row>
    <row r="758">
      <c r="A758" s="4" t="s">
        <v>12491</v>
      </c>
      <c r="B758" s="13" t="s">
        <v>43</v>
      </c>
      <c r="D758" s="3"/>
      <c r="E758" s="3"/>
      <c r="F758" s="3"/>
      <c r="G758" s="3"/>
      <c r="H758" s="3"/>
      <c r="I758" s="3"/>
    </row>
    <row r="759">
      <c r="A759" s="4" t="s">
        <v>12492</v>
      </c>
      <c r="B759" s="13" t="s">
        <v>43</v>
      </c>
      <c r="D759" s="3"/>
      <c r="E759" s="3"/>
      <c r="F759" s="3"/>
      <c r="G759" s="3"/>
      <c r="H759" s="3"/>
      <c r="I759" s="3"/>
    </row>
    <row r="760">
      <c r="A760" s="4" t="s">
        <v>12493</v>
      </c>
      <c r="B760" s="13" t="s">
        <v>43</v>
      </c>
      <c r="D760" s="3"/>
      <c r="E760" s="3"/>
      <c r="F760" s="3"/>
      <c r="G760" s="3"/>
      <c r="H760" s="3"/>
      <c r="I760" s="3"/>
    </row>
    <row r="761">
      <c r="A761" s="4" t="s">
        <v>12494</v>
      </c>
      <c r="B761" s="13" t="s">
        <v>43</v>
      </c>
      <c r="D761" s="3"/>
      <c r="E761" s="3"/>
      <c r="F761" s="3"/>
      <c r="G761" s="3"/>
      <c r="H761" s="3"/>
      <c r="I761" s="3"/>
    </row>
    <row r="762">
      <c r="A762" s="4" t="s">
        <v>12495</v>
      </c>
      <c r="B762" s="13" t="s">
        <v>43</v>
      </c>
      <c r="D762" s="3"/>
      <c r="E762" s="3"/>
      <c r="F762" s="3"/>
      <c r="G762" s="3"/>
      <c r="H762" s="3"/>
      <c r="I762" s="3"/>
    </row>
    <row r="763">
      <c r="A763" s="4" t="s">
        <v>12496</v>
      </c>
      <c r="B763" s="13" t="s">
        <v>43</v>
      </c>
      <c r="D763" s="3"/>
      <c r="E763" s="3"/>
      <c r="F763" s="3"/>
      <c r="G763" s="3"/>
      <c r="H763" s="3"/>
      <c r="I763" s="3"/>
    </row>
    <row r="764">
      <c r="A764" s="4" t="s">
        <v>12497</v>
      </c>
      <c r="B764" s="13" t="s">
        <v>43</v>
      </c>
      <c r="D764" s="3"/>
      <c r="E764" s="3"/>
      <c r="F764" s="3"/>
      <c r="G764" s="3"/>
      <c r="H764" s="3"/>
      <c r="I764" s="3"/>
    </row>
    <row r="765">
      <c r="A765" s="4" t="s">
        <v>12498</v>
      </c>
      <c r="B765" s="13" t="s">
        <v>43</v>
      </c>
      <c r="D765" s="3"/>
      <c r="E765" s="3"/>
      <c r="F765" s="3"/>
      <c r="G765" s="3"/>
      <c r="H765" s="3"/>
      <c r="I765" s="3"/>
    </row>
    <row r="766">
      <c r="A766" s="4" t="s">
        <v>12499</v>
      </c>
      <c r="B766" s="13" t="s">
        <v>43</v>
      </c>
      <c r="D766" s="3"/>
      <c r="E766" s="3"/>
      <c r="F766" s="3"/>
      <c r="G766" s="3"/>
      <c r="H766" s="3"/>
      <c r="I766" s="3"/>
    </row>
    <row r="767">
      <c r="A767" s="4" t="s">
        <v>12500</v>
      </c>
      <c r="B767" s="13" t="s">
        <v>43</v>
      </c>
      <c r="D767" s="3"/>
      <c r="E767" s="3"/>
      <c r="F767" s="3"/>
      <c r="G767" s="3"/>
      <c r="H767" s="3"/>
      <c r="I767" s="3"/>
    </row>
    <row r="768">
      <c r="A768" s="4" t="s">
        <v>12501</v>
      </c>
      <c r="B768" s="13" t="s">
        <v>43</v>
      </c>
      <c r="D768" s="3"/>
      <c r="E768" s="3"/>
      <c r="F768" s="3"/>
      <c r="G768" s="3"/>
      <c r="H768" s="3"/>
      <c r="I768" s="3"/>
    </row>
    <row r="769">
      <c r="A769" s="4" t="s">
        <v>12502</v>
      </c>
      <c r="B769" s="13" t="s">
        <v>43</v>
      </c>
      <c r="D769" s="3"/>
      <c r="E769" s="3"/>
      <c r="F769" s="3"/>
      <c r="G769" s="3"/>
      <c r="H769" s="3"/>
      <c r="I769" s="3"/>
    </row>
    <row r="770">
      <c r="A770" s="4" t="s">
        <v>12503</v>
      </c>
      <c r="B770" s="13" t="s">
        <v>43</v>
      </c>
      <c r="D770" s="3"/>
      <c r="E770" s="3"/>
      <c r="F770" s="3"/>
      <c r="G770" s="3"/>
      <c r="H770" s="3"/>
      <c r="I770" s="3"/>
    </row>
    <row r="771">
      <c r="A771" s="4" t="s">
        <v>12504</v>
      </c>
      <c r="B771" s="13" t="s">
        <v>43</v>
      </c>
      <c r="D771" s="3"/>
      <c r="E771" s="3"/>
      <c r="F771" s="3"/>
      <c r="G771" s="3"/>
      <c r="H771" s="3"/>
      <c r="I771" s="3"/>
    </row>
    <row r="772">
      <c r="A772" s="4" t="s">
        <v>12505</v>
      </c>
      <c r="B772" s="13" t="s">
        <v>43</v>
      </c>
      <c r="D772" s="3"/>
      <c r="E772" s="3"/>
      <c r="F772" s="3"/>
      <c r="G772" s="3"/>
      <c r="H772" s="3"/>
      <c r="I772" s="3"/>
    </row>
    <row r="773">
      <c r="A773" s="4" t="s">
        <v>12506</v>
      </c>
      <c r="B773" s="13" t="s">
        <v>43</v>
      </c>
      <c r="D773" s="3"/>
      <c r="E773" s="3"/>
      <c r="F773" s="3"/>
      <c r="G773" s="3"/>
      <c r="H773" s="3"/>
      <c r="I773" s="3"/>
    </row>
    <row r="774">
      <c r="A774" s="4" t="s">
        <v>12507</v>
      </c>
      <c r="B774" s="13" t="s">
        <v>43</v>
      </c>
      <c r="D774" s="3"/>
      <c r="E774" s="3"/>
      <c r="F774" s="3"/>
      <c r="G774" s="3"/>
      <c r="H774" s="3"/>
      <c r="I774" s="3"/>
    </row>
    <row r="775">
      <c r="A775" s="4" t="s">
        <v>12508</v>
      </c>
      <c r="B775" s="13" t="s">
        <v>43</v>
      </c>
      <c r="D775" s="3"/>
      <c r="E775" s="3"/>
      <c r="F775" s="3"/>
      <c r="G775" s="3"/>
      <c r="H775" s="3"/>
      <c r="I775" s="3"/>
    </row>
    <row r="776">
      <c r="A776" s="4" t="s">
        <v>12509</v>
      </c>
      <c r="B776" s="13" t="s">
        <v>43</v>
      </c>
      <c r="D776" s="3"/>
      <c r="E776" s="3"/>
      <c r="F776" s="3"/>
      <c r="G776" s="3"/>
      <c r="H776" s="3"/>
      <c r="I776" s="3"/>
    </row>
    <row r="777">
      <c r="A777" s="4" t="s">
        <v>12510</v>
      </c>
      <c r="B777" s="13" t="s">
        <v>43</v>
      </c>
      <c r="D777" s="3"/>
      <c r="E777" s="3"/>
      <c r="F777" s="3"/>
      <c r="G777" s="3"/>
      <c r="H777" s="3"/>
      <c r="I777" s="3"/>
    </row>
    <row r="778">
      <c r="A778" s="4" t="s">
        <v>12511</v>
      </c>
      <c r="B778" s="13" t="s">
        <v>43</v>
      </c>
      <c r="D778" s="3"/>
      <c r="E778" s="3"/>
      <c r="F778" s="3"/>
      <c r="G778" s="3"/>
      <c r="H778" s="3"/>
      <c r="I778" s="3"/>
    </row>
    <row r="779">
      <c r="A779" s="4" t="s">
        <v>12512</v>
      </c>
      <c r="B779" s="13" t="s">
        <v>43</v>
      </c>
      <c r="D779" s="3"/>
      <c r="E779" s="3"/>
      <c r="F779" s="3"/>
      <c r="G779" s="3"/>
      <c r="H779" s="3"/>
      <c r="I779" s="3"/>
    </row>
    <row r="780">
      <c r="A780" s="4" t="s">
        <v>12513</v>
      </c>
      <c r="B780" s="13" t="s">
        <v>43</v>
      </c>
      <c r="D780" s="3"/>
      <c r="E780" s="3"/>
      <c r="F780" s="3"/>
      <c r="G780" s="3"/>
      <c r="H780" s="3"/>
      <c r="I780" s="3"/>
    </row>
    <row r="781">
      <c r="A781" s="4" t="s">
        <v>12514</v>
      </c>
      <c r="B781" s="13" t="s">
        <v>43</v>
      </c>
      <c r="D781" s="3"/>
      <c r="E781" s="3"/>
      <c r="F781" s="3"/>
      <c r="G781" s="3"/>
      <c r="H781" s="3"/>
      <c r="I781" s="3"/>
    </row>
    <row r="782">
      <c r="A782" s="4" t="s">
        <v>12515</v>
      </c>
      <c r="B782" s="13" t="s">
        <v>43</v>
      </c>
      <c r="D782" s="3"/>
      <c r="E782" s="3"/>
      <c r="F782" s="3"/>
      <c r="G782" s="3"/>
      <c r="H782" s="3"/>
      <c r="I782" s="3"/>
    </row>
    <row r="783">
      <c r="A783" s="4" t="s">
        <v>12516</v>
      </c>
      <c r="B783" s="13" t="s">
        <v>43</v>
      </c>
      <c r="D783" s="3"/>
      <c r="E783" s="3"/>
      <c r="F783" s="3"/>
      <c r="G783" s="3"/>
      <c r="H783" s="3"/>
      <c r="I783" s="3"/>
    </row>
    <row r="784">
      <c r="A784" s="4" t="s">
        <v>12517</v>
      </c>
      <c r="B784" s="13" t="s">
        <v>43</v>
      </c>
      <c r="D784" s="3"/>
      <c r="E784" s="3"/>
      <c r="F784" s="3"/>
      <c r="G784" s="3"/>
      <c r="H784" s="3"/>
      <c r="I784" s="3"/>
    </row>
    <row r="785">
      <c r="A785" s="4" t="s">
        <v>12518</v>
      </c>
      <c r="B785" s="13" t="s">
        <v>43</v>
      </c>
      <c r="D785" s="3"/>
      <c r="E785" s="3"/>
      <c r="F785" s="3"/>
      <c r="G785" s="3"/>
      <c r="H785" s="3"/>
      <c r="I785" s="3"/>
    </row>
    <row r="786">
      <c r="A786" s="4" t="s">
        <v>12519</v>
      </c>
      <c r="B786" s="13" t="s">
        <v>43</v>
      </c>
      <c r="D786" s="3"/>
      <c r="E786" s="3"/>
      <c r="F786" s="3"/>
      <c r="G786" s="3"/>
      <c r="H786" s="3"/>
      <c r="I786" s="3"/>
    </row>
    <row r="787">
      <c r="A787" s="4" t="s">
        <v>12520</v>
      </c>
      <c r="B787" s="13" t="s">
        <v>43</v>
      </c>
      <c r="D787" s="3"/>
      <c r="E787" s="3"/>
      <c r="F787" s="3"/>
      <c r="G787" s="3"/>
      <c r="H787" s="3"/>
      <c r="I787" s="3"/>
    </row>
    <row r="788">
      <c r="A788" s="4" t="s">
        <v>12521</v>
      </c>
      <c r="B788" s="13" t="s">
        <v>43</v>
      </c>
      <c r="D788" s="3"/>
      <c r="E788" s="3"/>
      <c r="F788" s="3"/>
      <c r="G788" s="3"/>
      <c r="H788" s="3"/>
      <c r="I788" s="3"/>
    </row>
    <row r="789">
      <c r="A789" s="4" t="s">
        <v>12522</v>
      </c>
      <c r="B789" s="13" t="s">
        <v>43</v>
      </c>
      <c r="D789" s="3"/>
      <c r="E789" s="3"/>
      <c r="F789" s="3"/>
      <c r="G789" s="3"/>
      <c r="H789" s="3"/>
      <c r="I789" s="3"/>
    </row>
    <row r="790">
      <c r="A790" s="4" t="s">
        <v>12523</v>
      </c>
      <c r="B790" s="13" t="s">
        <v>43</v>
      </c>
      <c r="D790" s="3"/>
      <c r="E790" s="3"/>
      <c r="F790" s="3"/>
      <c r="G790" s="3"/>
      <c r="H790" s="3"/>
      <c r="I790" s="3"/>
    </row>
    <row r="791">
      <c r="A791" s="4" t="s">
        <v>12524</v>
      </c>
      <c r="B791" s="13" t="s">
        <v>43</v>
      </c>
      <c r="D791" s="3"/>
      <c r="E791" s="3"/>
      <c r="F791" s="3"/>
      <c r="G791" s="3"/>
      <c r="H791" s="3"/>
      <c r="I791" s="3"/>
    </row>
    <row r="792">
      <c r="A792" s="4" t="s">
        <v>12525</v>
      </c>
      <c r="B792" s="13" t="s">
        <v>43</v>
      </c>
      <c r="D792" s="3"/>
      <c r="E792" s="3"/>
      <c r="F792" s="3"/>
      <c r="G792" s="3"/>
      <c r="H792" s="3"/>
      <c r="I792" s="3"/>
    </row>
    <row r="793">
      <c r="A793" s="4" t="s">
        <v>12526</v>
      </c>
      <c r="B793" s="13" t="s">
        <v>43</v>
      </c>
      <c r="D793" s="3"/>
      <c r="E793" s="3"/>
      <c r="F793" s="3"/>
      <c r="G793" s="3"/>
      <c r="H793" s="3"/>
      <c r="I793" s="3"/>
    </row>
    <row r="794">
      <c r="A794" s="4" t="s">
        <v>12527</v>
      </c>
      <c r="B794" s="13" t="s">
        <v>43</v>
      </c>
      <c r="D794" s="3"/>
      <c r="E794" s="3"/>
      <c r="F794" s="3"/>
      <c r="G794" s="3"/>
      <c r="H794" s="3"/>
      <c r="I794" s="3"/>
    </row>
    <row r="795">
      <c r="A795" s="4" t="s">
        <v>12528</v>
      </c>
      <c r="B795" s="13" t="s">
        <v>43</v>
      </c>
      <c r="D795" s="3"/>
      <c r="E795" s="3"/>
      <c r="F795" s="3"/>
      <c r="G795" s="3"/>
      <c r="H795" s="3"/>
      <c r="I795" s="3"/>
    </row>
    <row r="796">
      <c r="A796" s="4" t="s">
        <v>12529</v>
      </c>
      <c r="B796" s="13" t="s">
        <v>43</v>
      </c>
      <c r="D796" s="3"/>
      <c r="E796" s="3"/>
      <c r="F796" s="3"/>
      <c r="G796" s="3"/>
      <c r="H796" s="3"/>
      <c r="I796" s="3"/>
    </row>
    <row r="797">
      <c r="A797" s="4" t="s">
        <v>12530</v>
      </c>
      <c r="B797" s="13" t="s">
        <v>43</v>
      </c>
      <c r="D797" s="3"/>
      <c r="E797" s="3"/>
      <c r="F797" s="3"/>
      <c r="G797" s="3"/>
      <c r="H797" s="3"/>
      <c r="I797" s="3"/>
    </row>
    <row r="798">
      <c r="A798" s="4" t="s">
        <v>12531</v>
      </c>
      <c r="B798" s="13" t="s">
        <v>43</v>
      </c>
      <c r="D798" s="3"/>
      <c r="E798" s="3"/>
      <c r="F798" s="3"/>
      <c r="G798" s="3"/>
      <c r="H798" s="3"/>
      <c r="I798" s="3"/>
    </row>
    <row r="799">
      <c r="A799" s="4" t="s">
        <v>12532</v>
      </c>
      <c r="B799" s="13" t="s">
        <v>43</v>
      </c>
      <c r="D799" s="3"/>
      <c r="E799" s="3"/>
      <c r="F799" s="3"/>
      <c r="G799" s="3"/>
      <c r="H799" s="3"/>
      <c r="I799" s="3"/>
    </row>
    <row r="800">
      <c r="A800" s="4" t="s">
        <v>12533</v>
      </c>
      <c r="B800" s="13" t="s">
        <v>43</v>
      </c>
      <c r="D800" s="3"/>
      <c r="E800" s="3"/>
      <c r="F800" s="3"/>
      <c r="G800" s="3"/>
      <c r="H800" s="3"/>
      <c r="I800" s="3"/>
    </row>
    <row r="801">
      <c r="A801" s="4" t="s">
        <v>12534</v>
      </c>
      <c r="B801" s="13" t="s">
        <v>43</v>
      </c>
      <c r="D801" s="3"/>
      <c r="E801" s="3"/>
      <c r="F801" s="3"/>
      <c r="G801" s="3"/>
      <c r="H801" s="3"/>
      <c r="I801" s="3"/>
    </row>
    <row r="802">
      <c r="A802" s="4" t="s">
        <v>12535</v>
      </c>
      <c r="B802" s="13" t="s">
        <v>43</v>
      </c>
      <c r="D802" s="3"/>
      <c r="E802" s="3"/>
      <c r="F802" s="3"/>
      <c r="G802" s="3"/>
      <c r="H802" s="3"/>
      <c r="I802" s="3"/>
    </row>
    <row r="803">
      <c r="A803" s="4" t="s">
        <v>12536</v>
      </c>
      <c r="B803" s="13" t="s">
        <v>43</v>
      </c>
      <c r="D803" s="3"/>
      <c r="E803" s="3"/>
      <c r="F803" s="3"/>
      <c r="G803" s="3"/>
      <c r="H803" s="3"/>
      <c r="I803" s="3"/>
    </row>
    <row r="804">
      <c r="A804" s="4" t="s">
        <v>12537</v>
      </c>
      <c r="B804" s="13" t="s">
        <v>43</v>
      </c>
      <c r="D804" s="3"/>
      <c r="E804" s="3"/>
      <c r="F804" s="3"/>
      <c r="G804" s="3"/>
      <c r="H804" s="3"/>
      <c r="I804" s="3"/>
    </row>
    <row r="805">
      <c r="A805" s="4" t="s">
        <v>12538</v>
      </c>
      <c r="B805" s="13" t="s">
        <v>43</v>
      </c>
      <c r="D805" s="3"/>
      <c r="E805" s="3"/>
      <c r="F805" s="3"/>
      <c r="G805" s="3"/>
      <c r="H805" s="3"/>
      <c r="I805" s="3"/>
    </row>
    <row r="806">
      <c r="A806" s="4" t="s">
        <v>12539</v>
      </c>
      <c r="B806" s="13" t="s">
        <v>43</v>
      </c>
      <c r="D806" s="3"/>
      <c r="E806" s="3"/>
      <c r="F806" s="3"/>
      <c r="G806" s="3"/>
      <c r="H806" s="3"/>
      <c r="I806" s="3"/>
    </row>
    <row r="807">
      <c r="A807" s="4" t="s">
        <v>12540</v>
      </c>
      <c r="B807" s="13" t="s">
        <v>43</v>
      </c>
      <c r="D807" s="3"/>
      <c r="E807" s="3"/>
      <c r="F807" s="3"/>
      <c r="G807" s="3"/>
      <c r="H807" s="3"/>
      <c r="I807" s="3"/>
    </row>
    <row r="808">
      <c r="A808" s="4" t="s">
        <v>12541</v>
      </c>
      <c r="B808" s="13" t="s">
        <v>43</v>
      </c>
      <c r="D808" s="3"/>
      <c r="E808" s="3"/>
      <c r="F808" s="3"/>
      <c r="G808" s="3"/>
      <c r="H808" s="3"/>
      <c r="I808" s="3"/>
    </row>
    <row r="809">
      <c r="A809" s="4" t="s">
        <v>12542</v>
      </c>
      <c r="B809" s="13" t="s">
        <v>43</v>
      </c>
      <c r="D809" s="3"/>
      <c r="E809" s="3"/>
      <c r="F809" s="3"/>
      <c r="G809" s="3"/>
      <c r="H809" s="3"/>
      <c r="I809" s="3"/>
    </row>
    <row r="810">
      <c r="A810" s="4" t="s">
        <v>12543</v>
      </c>
      <c r="B810" s="13" t="s">
        <v>43</v>
      </c>
      <c r="D810" s="3"/>
      <c r="E810" s="3"/>
      <c r="F810" s="3"/>
      <c r="G810" s="3"/>
      <c r="H810" s="3"/>
      <c r="I810" s="3"/>
    </row>
    <row r="811">
      <c r="A811" s="4" t="s">
        <v>12544</v>
      </c>
      <c r="B811" s="13" t="s">
        <v>43</v>
      </c>
      <c r="D811" s="3"/>
      <c r="E811" s="3"/>
      <c r="F811" s="3"/>
      <c r="G811" s="3"/>
      <c r="H811" s="3"/>
      <c r="I811" s="3"/>
    </row>
    <row r="812">
      <c r="A812" s="4" t="s">
        <v>12545</v>
      </c>
      <c r="B812" s="13" t="s">
        <v>43</v>
      </c>
      <c r="D812" s="3"/>
      <c r="E812" s="3"/>
      <c r="F812" s="3"/>
      <c r="G812" s="3"/>
      <c r="H812" s="3"/>
      <c r="I812" s="3"/>
    </row>
    <row r="813">
      <c r="A813" s="4" t="s">
        <v>12546</v>
      </c>
      <c r="B813" s="13" t="s">
        <v>43</v>
      </c>
      <c r="D813" s="3"/>
      <c r="E813" s="3"/>
      <c r="F813" s="3"/>
      <c r="G813" s="3"/>
      <c r="H813" s="3"/>
      <c r="I813" s="3"/>
    </row>
    <row r="814">
      <c r="A814" s="4" t="s">
        <v>12547</v>
      </c>
      <c r="B814" s="13" t="s">
        <v>43</v>
      </c>
      <c r="D814" s="3"/>
      <c r="E814" s="3"/>
      <c r="F814" s="3"/>
      <c r="G814" s="3"/>
      <c r="H814" s="3"/>
      <c r="I814" s="3"/>
    </row>
    <row r="815">
      <c r="A815" s="4" t="s">
        <v>12548</v>
      </c>
      <c r="B815" s="13" t="s">
        <v>43</v>
      </c>
      <c r="D815" s="3"/>
      <c r="E815" s="3"/>
      <c r="F815" s="3"/>
      <c r="G815" s="3"/>
      <c r="H815" s="3"/>
      <c r="I815" s="3"/>
    </row>
    <row r="816">
      <c r="A816" s="4" t="s">
        <v>12549</v>
      </c>
      <c r="B816" s="13" t="s">
        <v>43</v>
      </c>
      <c r="D816" s="3"/>
      <c r="E816" s="3"/>
      <c r="F816" s="3"/>
      <c r="G816" s="3"/>
      <c r="H816" s="3"/>
      <c r="I816" s="3"/>
    </row>
    <row r="817">
      <c r="A817" s="4" t="s">
        <v>12550</v>
      </c>
      <c r="B817" s="13" t="s">
        <v>43</v>
      </c>
      <c r="D817" s="3"/>
      <c r="E817" s="3"/>
      <c r="F817" s="3"/>
      <c r="G817" s="3"/>
      <c r="H817" s="3"/>
      <c r="I817" s="3"/>
    </row>
    <row r="818">
      <c r="A818" s="4" t="s">
        <v>12551</v>
      </c>
      <c r="B818" s="13" t="s">
        <v>43</v>
      </c>
      <c r="D818" s="3"/>
      <c r="E818" s="3"/>
      <c r="F818" s="3"/>
      <c r="G818" s="3"/>
      <c r="H818" s="3"/>
      <c r="I818" s="3"/>
    </row>
    <row r="819">
      <c r="A819" s="4" t="s">
        <v>12552</v>
      </c>
      <c r="B819" s="13" t="s">
        <v>43</v>
      </c>
      <c r="D819" s="3"/>
      <c r="E819" s="3"/>
      <c r="F819" s="3"/>
      <c r="G819" s="3"/>
      <c r="H819" s="3"/>
      <c r="I819" s="3"/>
    </row>
    <row r="820">
      <c r="A820" s="4" t="s">
        <v>12553</v>
      </c>
      <c r="B820" s="13" t="s">
        <v>43</v>
      </c>
      <c r="D820" s="3"/>
      <c r="E820" s="3"/>
      <c r="F820" s="3"/>
      <c r="G820" s="3"/>
      <c r="H820" s="3"/>
      <c r="I820" s="3"/>
    </row>
    <row r="821">
      <c r="A821" s="4" t="s">
        <v>12554</v>
      </c>
      <c r="B821" s="13" t="s">
        <v>43</v>
      </c>
      <c r="D821" s="3"/>
      <c r="E821" s="3"/>
      <c r="F821" s="3"/>
      <c r="G821" s="3"/>
      <c r="H821" s="3"/>
      <c r="I821" s="3"/>
    </row>
    <row r="822">
      <c r="A822" s="4" t="s">
        <v>12555</v>
      </c>
      <c r="B822" s="13" t="s">
        <v>43</v>
      </c>
      <c r="D822" s="3"/>
      <c r="E822" s="3"/>
      <c r="F822" s="3"/>
      <c r="G822" s="3"/>
      <c r="H822" s="3"/>
      <c r="I822" s="3"/>
    </row>
    <row r="823">
      <c r="A823" s="4" t="s">
        <v>12556</v>
      </c>
      <c r="B823" s="13" t="s">
        <v>43</v>
      </c>
      <c r="D823" s="3"/>
      <c r="E823" s="3"/>
      <c r="F823" s="3"/>
      <c r="G823" s="3"/>
      <c r="H823" s="3"/>
      <c r="I823" s="3"/>
    </row>
    <row r="824">
      <c r="A824" s="4" t="s">
        <v>12557</v>
      </c>
      <c r="B824" s="13" t="s">
        <v>43</v>
      </c>
      <c r="D824" s="3"/>
      <c r="E824" s="3"/>
      <c r="F824" s="3"/>
      <c r="G824" s="3"/>
      <c r="H824" s="3"/>
      <c r="I824" s="3"/>
    </row>
    <row r="825">
      <c r="A825" s="4" t="s">
        <v>12558</v>
      </c>
      <c r="B825" s="13" t="s">
        <v>43</v>
      </c>
      <c r="D825" s="3"/>
      <c r="E825" s="3"/>
      <c r="F825" s="3"/>
      <c r="G825" s="3"/>
      <c r="H825" s="3"/>
      <c r="I825" s="3"/>
    </row>
    <row r="826">
      <c r="A826" s="4" t="s">
        <v>12559</v>
      </c>
      <c r="B826" s="13" t="s">
        <v>43</v>
      </c>
      <c r="D826" s="3"/>
      <c r="E826" s="3"/>
      <c r="F826" s="3"/>
      <c r="G826" s="3"/>
      <c r="H826" s="3"/>
      <c r="I826" s="3"/>
    </row>
    <row r="827">
      <c r="A827" s="4" t="s">
        <v>12560</v>
      </c>
      <c r="B827" s="13" t="s">
        <v>43</v>
      </c>
      <c r="D827" s="3"/>
      <c r="E827" s="3"/>
      <c r="F827" s="3"/>
      <c r="G827" s="3"/>
      <c r="H827" s="3"/>
      <c r="I827" s="3"/>
    </row>
    <row r="828">
      <c r="A828" s="4" t="s">
        <v>12561</v>
      </c>
      <c r="B828" s="13" t="s">
        <v>43</v>
      </c>
      <c r="D828" s="3"/>
      <c r="E828" s="3"/>
      <c r="F828" s="3"/>
      <c r="G828" s="3"/>
      <c r="H828" s="3"/>
      <c r="I828" s="3"/>
    </row>
    <row r="829">
      <c r="A829" s="4" t="s">
        <v>12562</v>
      </c>
      <c r="B829" s="13" t="s">
        <v>43</v>
      </c>
      <c r="D829" s="3"/>
      <c r="E829" s="3"/>
      <c r="F829" s="3"/>
      <c r="G829" s="3"/>
      <c r="H829" s="3"/>
      <c r="I829" s="3"/>
    </row>
    <row r="830">
      <c r="A830" s="4" t="s">
        <v>12563</v>
      </c>
      <c r="B830" s="13" t="s">
        <v>43</v>
      </c>
      <c r="D830" s="3"/>
      <c r="E830" s="3"/>
      <c r="F830" s="3"/>
      <c r="G830" s="3"/>
      <c r="H830" s="3"/>
      <c r="I830" s="3"/>
    </row>
    <row r="831">
      <c r="A831" s="4" t="s">
        <v>12564</v>
      </c>
      <c r="B831" s="13" t="s">
        <v>43</v>
      </c>
      <c r="D831" s="3"/>
      <c r="E831" s="3"/>
      <c r="F831" s="3"/>
      <c r="G831" s="3"/>
      <c r="H831" s="3"/>
      <c r="I831" s="3"/>
    </row>
    <row r="832">
      <c r="A832" s="4" t="s">
        <v>12565</v>
      </c>
      <c r="B832" s="13" t="s">
        <v>43</v>
      </c>
      <c r="D832" s="3"/>
      <c r="E832" s="3"/>
      <c r="F832" s="3"/>
      <c r="G832" s="3"/>
      <c r="H832" s="3"/>
      <c r="I832" s="3"/>
    </row>
    <row r="833">
      <c r="A833" s="4" t="s">
        <v>12566</v>
      </c>
      <c r="B833" s="13" t="s">
        <v>43</v>
      </c>
      <c r="D833" s="3"/>
      <c r="E833" s="3"/>
      <c r="F833" s="3"/>
      <c r="G833" s="3"/>
      <c r="H833" s="3"/>
      <c r="I833" s="3"/>
    </row>
    <row r="834">
      <c r="A834" s="4" t="s">
        <v>12567</v>
      </c>
      <c r="B834" s="13" t="s">
        <v>43</v>
      </c>
      <c r="D834" s="3"/>
      <c r="E834" s="3"/>
      <c r="F834" s="3"/>
      <c r="G834" s="3"/>
      <c r="H834" s="3"/>
      <c r="I834" s="3"/>
    </row>
    <row r="835">
      <c r="A835" s="4" t="s">
        <v>12568</v>
      </c>
      <c r="B835" s="13" t="s">
        <v>43</v>
      </c>
      <c r="D835" s="3"/>
      <c r="E835" s="3"/>
      <c r="F835" s="3"/>
      <c r="G835" s="3"/>
      <c r="H835" s="3"/>
      <c r="I835" s="3"/>
    </row>
    <row r="836">
      <c r="A836" s="4" t="s">
        <v>12569</v>
      </c>
      <c r="B836" s="13" t="s">
        <v>43</v>
      </c>
      <c r="D836" s="3"/>
      <c r="E836" s="3"/>
      <c r="F836" s="3"/>
      <c r="G836" s="3"/>
      <c r="H836" s="3"/>
      <c r="I836" s="3"/>
    </row>
    <row r="837">
      <c r="A837" s="4" t="s">
        <v>12570</v>
      </c>
      <c r="B837" s="13" t="s">
        <v>43</v>
      </c>
      <c r="D837" s="3"/>
      <c r="E837" s="3"/>
      <c r="F837" s="3"/>
      <c r="G837" s="3"/>
      <c r="H837" s="3"/>
      <c r="I837" s="3"/>
    </row>
    <row r="838">
      <c r="A838" s="4" t="s">
        <v>12571</v>
      </c>
      <c r="B838" s="13" t="s">
        <v>43</v>
      </c>
      <c r="D838" s="3"/>
      <c r="E838" s="3"/>
      <c r="F838" s="3"/>
      <c r="G838" s="3"/>
      <c r="H838" s="3"/>
      <c r="I838" s="3"/>
    </row>
    <row r="839">
      <c r="A839" s="4" t="s">
        <v>12572</v>
      </c>
      <c r="B839" s="13" t="s">
        <v>43</v>
      </c>
      <c r="D839" s="3"/>
      <c r="E839" s="3"/>
      <c r="F839" s="3"/>
      <c r="G839" s="3"/>
      <c r="H839" s="3"/>
      <c r="I839" s="3"/>
    </row>
    <row r="840">
      <c r="A840" s="4" t="s">
        <v>12573</v>
      </c>
      <c r="B840" s="13" t="s">
        <v>43</v>
      </c>
      <c r="D840" s="3"/>
      <c r="E840" s="3"/>
      <c r="F840" s="3"/>
      <c r="G840" s="3"/>
      <c r="H840" s="3"/>
      <c r="I840" s="3"/>
    </row>
    <row r="841">
      <c r="A841" s="4" t="s">
        <v>12574</v>
      </c>
      <c r="B841" s="13" t="s">
        <v>43</v>
      </c>
      <c r="D841" s="3"/>
      <c r="E841" s="3"/>
      <c r="F841" s="3"/>
      <c r="G841" s="3"/>
      <c r="H841" s="3"/>
      <c r="I841" s="3"/>
    </row>
    <row r="842">
      <c r="A842" s="4" t="s">
        <v>12575</v>
      </c>
      <c r="B842" s="13" t="s">
        <v>43</v>
      </c>
      <c r="D842" s="3"/>
      <c r="E842" s="3"/>
      <c r="F842" s="3"/>
      <c r="G842" s="3"/>
      <c r="H842" s="3"/>
      <c r="I842" s="3"/>
    </row>
    <row r="843">
      <c r="A843" s="4" t="s">
        <v>12576</v>
      </c>
      <c r="B843" s="13" t="s">
        <v>43</v>
      </c>
      <c r="D843" s="3"/>
      <c r="E843" s="3"/>
      <c r="F843" s="3"/>
      <c r="G843" s="3"/>
      <c r="H843" s="3"/>
      <c r="I843" s="3"/>
    </row>
    <row r="844">
      <c r="A844" s="4" t="s">
        <v>12577</v>
      </c>
      <c r="B844" s="13" t="s">
        <v>43</v>
      </c>
      <c r="D844" s="3"/>
      <c r="E844" s="3"/>
      <c r="F844" s="3"/>
      <c r="G844" s="3"/>
      <c r="H844" s="3"/>
      <c r="I844" s="3"/>
    </row>
    <row r="845">
      <c r="A845" s="4" t="s">
        <v>12578</v>
      </c>
      <c r="B845" s="13" t="s">
        <v>43</v>
      </c>
      <c r="D845" s="3"/>
      <c r="E845" s="3"/>
      <c r="F845" s="3"/>
      <c r="G845" s="3"/>
      <c r="H845" s="3"/>
      <c r="I845" s="3"/>
    </row>
    <row r="846">
      <c r="A846" s="4" t="s">
        <v>12579</v>
      </c>
      <c r="B846" s="13" t="s">
        <v>43</v>
      </c>
      <c r="D846" s="3"/>
      <c r="E846" s="3"/>
      <c r="F846" s="3"/>
      <c r="G846" s="3"/>
      <c r="H846" s="3"/>
      <c r="I846" s="3"/>
    </row>
    <row r="847">
      <c r="A847" s="4" t="s">
        <v>12580</v>
      </c>
      <c r="B847" s="13" t="s">
        <v>43</v>
      </c>
      <c r="D847" s="3"/>
      <c r="E847" s="3"/>
      <c r="F847" s="3"/>
      <c r="G847" s="3"/>
      <c r="H847" s="3"/>
      <c r="I847" s="3"/>
    </row>
    <row r="848">
      <c r="A848" s="4" t="s">
        <v>12581</v>
      </c>
      <c r="B848" s="13" t="s">
        <v>43</v>
      </c>
      <c r="D848" s="3"/>
      <c r="E848" s="3"/>
      <c r="F848" s="3"/>
      <c r="G848" s="3"/>
      <c r="H848" s="3"/>
      <c r="I848" s="3"/>
    </row>
    <row r="849">
      <c r="A849" s="4" t="s">
        <v>12582</v>
      </c>
      <c r="B849" s="13" t="s">
        <v>43</v>
      </c>
      <c r="D849" s="3"/>
      <c r="E849" s="3"/>
      <c r="F849" s="3"/>
      <c r="G849" s="3"/>
      <c r="H849" s="3"/>
      <c r="I849" s="3"/>
    </row>
    <row r="850">
      <c r="A850" s="4" t="s">
        <v>12583</v>
      </c>
      <c r="B850" s="13" t="s">
        <v>43</v>
      </c>
      <c r="D850" s="3"/>
      <c r="E850" s="3"/>
      <c r="F850" s="3"/>
      <c r="G850" s="3"/>
      <c r="H850" s="3"/>
      <c r="I850" s="3"/>
    </row>
    <row r="851">
      <c r="A851" s="4" t="s">
        <v>12584</v>
      </c>
      <c r="B851" s="13" t="s">
        <v>43</v>
      </c>
      <c r="D851" s="3"/>
      <c r="E851" s="3"/>
      <c r="F851" s="3"/>
      <c r="G851" s="3"/>
      <c r="H851" s="3"/>
      <c r="I851" s="3"/>
    </row>
    <row r="852">
      <c r="A852" s="4" t="s">
        <v>12585</v>
      </c>
      <c r="B852" s="13" t="s">
        <v>43</v>
      </c>
      <c r="D852" s="3"/>
      <c r="E852" s="3"/>
      <c r="F852" s="3"/>
      <c r="G852" s="3"/>
      <c r="H852" s="3"/>
      <c r="I852" s="3"/>
    </row>
    <row r="853">
      <c r="A853" s="4" t="s">
        <v>12586</v>
      </c>
      <c r="B853" s="13" t="s">
        <v>43</v>
      </c>
      <c r="D853" s="3"/>
      <c r="E853" s="3"/>
      <c r="F853" s="3"/>
      <c r="G853" s="3"/>
      <c r="H853" s="3"/>
      <c r="I853" s="3"/>
    </row>
    <row r="854">
      <c r="A854" s="4" t="s">
        <v>12587</v>
      </c>
      <c r="B854" s="13" t="s">
        <v>43</v>
      </c>
      <c r="D854" s="3"/>
      <c r="E854" s="3"/>
      <c r="F854" s="3"/>
      <c r="G854" s="3"/>
      <c r="H854" s="3"/>
      <c r="I854" s="3"/>
    </row>
    <row r="855">
      <c r="A855" s="4" t="s">
        <v>12588</v>
      </c>
      <c r="B855" s="13" t="s">
        <v>43</v>
      </c>
      <c r="D855" s="3"/>
      <c r="E855" s="3"/>
      <c r="F855" s="3"/>
      <c r="G855" s="3"/>
      <c r="H855" s="3"/>
      <c r="I855" s="3"/>
    </row>
    <row r="856">
      <c r="A856" s="4" t="s">
        <v>12589</v>
      </c>
      <c r="B856" s="13" t="s">
        <v>43</v>
      </c>
      <c r="D856" s="3"/>
      <c r="E856" s="3"/>
      <c r="F856" s="3"/>
      <c r="G856" s="3"/>
      <c r="H856" s="3"/>
      <c r="I856" s="3"/>
    </row>
    <row r="857">
      <c r="A857" s="4" t="s">
        <v>12590</v>
      </c>
      <c r="B857" s="13" t="s">
        <v>43</v>
      </c>
      <c r="D857" s="3"/>
      <c r="E857" s="3"/>
      <c r="F857" s="3"/>
      <c r="G857" s="3"/>
      <c r="H857" s="3"/>
      <c r="I857" s="3"/>
    </row>
    <row r="858">
      <c r="A858" s="4" t="s">
        <v>12591</v>
      </c>
      <c r="B858" s="13" t="s">
        <v>43</v>
      </c>
      <c r="D858" s="3"/>
      <c r="E858" s="3"/>
      <c r="F858" s="3"/>
      <c r="G858" s="3"/>
      <c r="H858" s="3"/>
      <c r="I858" s="3"/>
    </row>
    <row r="859">
      <c r="A859" s="4" t="s">
        <v>12592</v>
      </c>
      <c r="B859" s="13" t="s">
        <v>43</v>
      </c>
      <c r="D859" s="3"/>
      <c r="E859" s="3"/>
      <c r="F859" s="3"/>
      <c r="G859" s="3"/>
      <c r="H859" s="3"/>
      <c r="I859" s="3"/>
    </row>
    <row r="860">
      <c r="A860" s="4" t="s">
        <v>12593</v>
      </c>
      <c r="B860" s="13" t="s">
        <v>43</v>
      </c>
      <c r="D860" s="3"/>
      <c r="E860" s="3"/>
      <c r="F860" s="3"/>
      <c r="G860" s="3"/>
      <c r="H860" s="3"/>
      <c r="I860" s="3"/>
    </row>
    <row r="861">
      <c r="A861" s="4" t="s">
        <v>12594</v>
      </c>
      <c r="B861" s="13" t="s">
        <v>43</v>
      </c>
      <c r="D861" s="3"/>
      <c r="E861" s="3"/>
      <c r="F861" s="3"/>
      <c r="G861" s="3"/>
      <c r="H861" s="3"/>
      <c r="I861" s="3"/>
    </row>
    <row r="862">
      <c r="A862" s="4" t="s">
        <v>12595</v>
      </c>
      <c r="B862" s="13" t="s">
        <v>43</v>
      </c>
      <c r="D862" s="3"/>
      <c r="E862" s="3"/>
      <c r="F862" s="3"/>
      <c r="G862" s="3"/>
      <c r="H862" s="3"/>
      <c r="I862" s="3"/>
    </row>
    <row r="863">
      <c r="A863" s="4" t="s">
        <v>12596</v>
      </c>
      <c r="B863" s="13" t="s">
        <v>43</v>
      </c>
      <c r="D863" s="3"/>
      <c r="E863" s="3"/>
      <c r="F863" s="3"/>
      <c r="G863" s="3"/>
      <c r="H863" s="3"/>
      <c r="I863" s="3"/>
    </row>
    <row r="864">
      <c r="A864" s="4" t="s">
        <v>12597</v>
      </c>
      <c r="B864" s="13" t="s">
        <v>43</v>
      </c>
      <c r="D864" s="3"/>
      <c r="E864" s="3"/>
      <c r="F864" s="3"/>
      <c r="G864" s="3"/>
      <c r="H864" s="3"/>
      <c r="I864" s="3"/>
    </row>
    <row r="865">
      <c r="A865" s="4" t="s">
        <v>12598</v>
      </c>
      <c r="B865" s="13" t="s">
        <v>43</v>
      </c>
      <c r="D865" s="3"/>
      <c r="E865" s="3"/>
      <c r="F865" s="3"/>
      <c r="G865" s="3"/>
      <c r="H865" s="3"/>
      <c r="I865" s="3"/>
    </row>
    <row r="866">
      <c r="A866" s="4" t="s">
        <v>12599</v>
      </c>
      <c r="B866" s="13" t="s">
        <v>43</v>
      </c>
      <c r="D866" s="3"/>
      <c r="E866" s="3"/>
      <c r="F866" s="3"/>
      <c r="G866" s="3"/>
      <c r="H866" s="3"/>
      <c r="I866" s="3"/>
    </row>
    <row r="867">
      <c r="A867" s="4" t="s">
        <v>12600</v>
      </c>
      <c r="B867" s="13" t="s">
        <v>43</v>
      </c>
      <c r="D867" s="3"/>
      <c r="E867" s="3"/>
      <c r="F867" s="3"/>
      <c r="G867" s="3"/>
      <c r="H867" s="3"/>
      <c r="I867" s="3"/>
    </row>
    <row r="868">
      <c r="A868" s="4" t="s">
        <v>12601</v>
      </c>
      <c r="B868" s="13" t="s">
        <v>43</v>
      </c>
      <c r="D868" s="3"/>
      <c r="E868" s="3"/>
      <c r="F868" s="3"/>
      <c r="G868" s="3"/>
      <c r="H868" s="3"/>
      <c r="I868" s="3"/>
    </row>
    <row r="869">
      <c r="A869" s="4" t="s">
        <v>12602</v>
      </c>
      <c r="B869" s="13" t="s">
        <v>43</v>
      </c>
      <c r="D869" s="3"/>
      <c r="E869" s="3"/>
      <c r="F869" s="3"/>
      <c r="G869" s="3"/>
      <c r="H869" s="3"/>
      <c r="I869" s="3"/>
    </row>
    <row r="870">
      <c r="A870" s="4" t="s">
        <v>12603</v>
      </c>
      <c r="B870" s="13" t="s">
        <v>43</v>
      </c>
      <c r="D870" s="3"/>
      <c r="E870" s="3"/>
      <c r="F870" s="3"/>
      <c r="G870" s="3"/>
      <c r="H870" s="3"/>
      <c r="I870" s="3"/>
    </row>
    <row r="871">
      <c r="A871" s="4" t="s">
        <v>12604</v>
      </c>
      <c r="B871" s="13" t="s">
        <v>43</v>
      </c>
      <c r="D871" s="3"/>
      <c r="E871" s="3"/>
      <c r="F871" s="3"/>
      <c r="G871" s="3"/>
      <c r="H871" s="3"/>
      <c r="I871" s="3"/>
    </row>
    <row r="872">
      <c r="A872" s="4" t="s">
        <v>12605</v>
      </c>
      <c r="B872" s="13" t="s">
        <v>43</v>
      </c>
      <c r="D872" s="3"/>
      <c r="E872" s="3"/>
      <c r="F872" s="3"/>
      <c r="G872" s="3"/>
      <c r="H872" s="3"/>
      <c r="I872" s="3"/>
    </row>
    <row r="873">
      <c r="A873" s="4" t="s">
        <v>12606</v>
      </c>
      <c r="B873" s="13" t="s">
        <v>43</v>
      </c>
      <c r="D873" s="3"/>
      <c r="E873" s="3"/>
      <c r="F873" s="3"/>
      <c r="G873" s="3"/>
      <c r="H873" s="3"/>
      <c r="I873" s="3"/>
    </row>
    <row r="874">
      <c r="A874" s="4" t="s">
        <v>12607</v>
      </c>
      <c r="B874" s="13" t="s">
        <v>43</v>
      </c>
      <c r="D874" s="3"/>
      <c r="E874" s="3"/>
      <c r="F874" s="3"/>
      <c r="G874" s="3"/>
      <c r="H874" s="3"/>
      <c r="I874" s="3"/>
    </row>
    <row r="875">
      <c r="A875" s="4" t="s">
        <v>12608</v>
      </c>
      <c r="B875" s="13" t="s">
        <v>43</v>
      </c>
      <c r="D875" s="3"/>
      <c r="E875" s="3"/>
      <c r="F875" s="3"/>
      <c r="G875" s="3"/>
      <c r="H875" s="3"/>
      <c r="I875" s="3"/>
    </row>
    <row r="876">
      <c r="A876" s="4" t="s">
        <v>12609</v>
      </c>
      <c r="B876" s="13" t="s">
        <v>43</v>
      </c>
      <c r="D876" s="3"/>
      <c r="E876" s="3"/>
      <c r="F876" s="3"/>
      <c r="G876" s="3"/>
      <c r="H876" s="3"/>
      <c r="I876" s="3"/>
    </row>
    <row r="877">
      <c r="A877" s="4" t="s">
        <v>12610</v>
      </c>
      <c r="B877" s="13" t="s">
        <v>43</v>
      </c>
      <c r="D877" s="3"/>
      <c r="E877" s="3"/>
      <c r="F877" s="3"/>
      <c r="G877" s="3"/>
      <c r="H877" s="3"/>
      <c r="I877" s="3"/>
    </row>
    <row r="878">
      <c r="A878" s="4" t="s">
        <v>12611</v>
      </c>
      <c r="B878" s="13" t="s">
        <v>43</v>
      </c>
      <c r="D878" s="3"/>
      <c r="E878" s="3"/>
      <c r="F878" s="3"/>
      <c r="G878" s="3"/>
      <c r="H878" s="3"/>
      <c r="I878" s="3"/>
    </row>
    <row r="879">
      <c r="A879" s="4" t="s">
        <v>12612</v>
      </c>
      <c r="B879" s="13" t="s">
        <v>43</v>
      </c>
      <c r="D879" s="3"/>
      <c r="E879" s="3"/>
      <c r="F879" s="3"/>
      <c r="G879" s="3"/>
      <c r="H879" s="3"/>
      <c r="I879" s="3"/>
    </row>
    <row r="880">
      <c r="A880" s="4" t="s">
        <v>12613</v>
      </c>
      <c r="B880" s="13" t="s">
        <v>43</v>
      </c>
      <c r="D880" s="3"/>
      <c r="E880" s="3"/>
      <c r="F880" s="3"/>
      <c r="G880" s="3"/>
      <c r="H880" s="3"/>
      <c r="I880" s="3"/>
    </row>
    <row r="881">
      <c r="A881" s="4" t="s">
        <v>12614</v>
      </c>
      <c r="B881" s="13" t="s">
        <v>43</v>
      </c>
      <c r="D881" s="3"/>
      <c r="E881" s="3"/>
      <c r="F881" s="3"/>
      <c r="G881" s="3"/>
      <c r="H881" s="3"/>
      <c r="I881" s="3"/>
    </row>
    <row r="882">
      <c r="A882" s="4" t="s">
        <v>12615</v>
      </c>
      <c r="B882" s="13" t="s">
        <v>43</v>
      </c>
      <c r="D882" s="3"/>
      <c r="E882" s="3"/>
      <c r="F882" s="3"/>
      <c r="G882" s="3"/>
      <c r="H882" s="3"/>
      <c r="I882" s="3"/>
    </row>
    <row r="883">
      <c r="A883" s="4" t="s">
        <v>12616</v>
      </c>
      <c r="B883" s="13" t="s">
        <v>43</v>
      </c>
      <c r="D883" s="3"/>
      <c r="E883" s="3"/>
      <c r="F883" s="3"/>
      <c r="G883" s="3"/>
      <c r="H883" s="3"/>
      <c r="I883" s="3"/>
    </row>
    <row r="884">
      <c r="A884" s="4" t="s">
        <v>12617</v>
      </c>
      <c r="B884" s="13" t="s">
        <v>43</v>
      </c>
      <c r="D884" s="3"/>
      <c r="E884" s="3"/>
      <c r="F884" s="3"/>
      <c r="G884" s="3"/>
      <c r="H884" s="3"/>
      <c r="I884" s="3"/>
    </row>
    <row r="885">
      <c r="A885" s="4" t="s">
        <v>12618</v>
      </c>
      <c r="B885" s="13" t="s">
        <v>43</v>
      </c>
      <c r="D885" s="3"/>
      <c r="E885" s="3"/>
      <c r="F885" s="3"/>
      <c r="G885" s="3"/>
      <c r="H885" s="3"/>
      <c r="I885" s="3"/>
    </row>
    <row r="886">
      <c r="A886" s="4" t="s">
        <v>12619</v>
      </c>
      <c r="B886" s="13" t="s">
        <v>43</v>
      </c>
      <c r="D886" s="3"/>
      <c r="E886" s="3"/>
      <c r="F886" s="3"/>
      <c r="G886" s="3"/>
      <c r="H886" s="3"/>
      <c r="I886" s="3"/>
    </row>
    <row r="887">
      <c r="A887" s="4" t="s">
        <v>12620</v>
      </c>
      <c r="B887" s="13" t="s">
        <v>43</v>
      </c>
      <c r="D887" s="3"/>
      <c r="E887" s="3"/>
      <c r="F887" s="3"/>
      <c r="G887" s="3"/>
      <c r="H887" s="3"/>
      <c r="I887" s="3"/>
    </row>
    <row r="888">
      <c r="A888" s="4" t="s">
        <v>12621</v>
      </c>
      <c r="B888" s="13" t="s">
        <v>43</v>
      </c>
      <c r="D888" s="3"/>
      <c r="E888" s="3"/>
      <c r="F888" s="3"/>
      <c r="G888" s="3"/>
      <c r="H888" s="3"/>
      <c r="I888" s="3"/>
    </row>
    <row r="889">
      <c r="A889" s="4" t="s">
        <v>12622</v>
      </c>
      <c r="B889" s="13" t="s">
        <v>43</v>
      </c>
      <c r="D889" s="3"/>
      <c r="E889" s="3"/>
      <c r="F889" s="3"/>
      <c r="G889" s="3"/>
      <c r="H889" s="3"/>
      <c r="I889" s="3"/>
    </row>
    <row r="890">
      <c r="A890" s="4" t="s">
        <v>12623</v>
      </c>
      <c r="B890" s="13" t="s">
        <v>43</v>
      </c>
      <c r="D890" s="3"/>
      <c r="E890" s="3"/>
      <c r="F890" s="3"/>
      <c r="G890" s="3"/>
      <c r="H890" s="3"/>
      <c r="I890" s="3"/>
    </row>
    <row r="891">
      <c r="A891" s="4" t="s">
        <v>12624</v>
      </c>
      <c r="B891" s="13" t="s">
        <v>43</v>
      </c>
      <c r="D891" s="3"/>
      <c r="E891" s="3"/>
      <c r="F891" s="3"/>
      <c r="G891" s="3"/>
      <c r="H891" s="3"/>
      <c r="I891" s="3"/>
    </row>
    <row r="892">
      <c r="A892" s="4" t="s">
        <v>12625</v>
      </c>
      <c r="B892" s="13" t="s">
        <v>43</v>
      </c>
      <c r="D892" s="3"/>
      <c r="E892" s="3"/>
      <c r="F892" s="3"/>
      <c r="G892" s="3"/>
      <c r="H892" s="3"/>
      <c r="I892" s="3"/>
    </row>
    <row r="893">
      <c r="A893" s="4" t="s">
        <v>12626</v>
      </c>
      <c r="B893" s="13" t="s">
        <v>43</v>
      </c>
      <c r="D893" s="3"/>
      <c r="E893" s="3"/>
      <c r="F893" s="3"/>
      <c r="G893" s="3"/>
      <c r="H893" s="3"/>
      <c r="I893" s="3"/>
    </row>
    <row r="894">
      <c r="A894" s="4" t="s">
        <v>12627</v>
      </c>
      <c r="B894" s="13" t="s">
        <v>43</v>
      </c>
      <c r="D894" s="3"/>
      <c r="E894" s="3"/>
      <c r="F894" s="3"/>
      <c r="G894" s="3"/>
      <c r="H894" s="3"/>
      <c r="I894" s="3"/>
    </row>
    <row r="895">
      <c r="A895" s="4" t="s">
        <v>12628</v>
      </c>
      <c r="B895" s="13" t="s">
        <v>43</v>
      </c>
      <c r="D895" s="3"/>
      <c r="E895" s="3"/>
      <c r="F895" s="3"/>
      <c r="G895" s="3"/>
      <c r="H895" s="3"/>
      <c r="I895" s="3"/>
    </row>
    <row r="896">
      <c r="A896" s="4" t="s">
        <v>12629</v>
      </c>
      <c r="B896" s="13" t="s">
        <v>43</v>
      </c>
      <c r="D896" s="3"/>
      <c r="E896" s="3"/>
      <c r="F896" s="3"/>
      <c r="G896" s="3"/>
      <c r="H896" s="3"/>
      <c r="I896" s="3"/>
    </row>
    <row r="897">
      <c r="A897" s="4" t="s">
        <v>12630</v>
      </c>
      <c r="B897" s="13" t="s">
        <v>43</v>
      </c>
      <c r="D897" s="3"/>
      <c r="E897" s="3"/>
      <c r="F897" s="3"/>
      <c r="G897" s="3"/>
      <c r="H897" s="3"/>
      <c r="I897" s="3"/>
    </row>
    <row r="898">
      <c r="A898" s="4" t="s">
        <v>12631</v>
      </c>
      <c r="B898" s="13" t="s">
        <v>43</v>
      </c>
      <c r="D898" s="3"/>
      <c r="E898" s="3"/>
      <c r="F898" s="3"/>
      <c r="G898" s="3"/>
      <c r="H898" s="3"/>
      <c r="I898" s="3"/>
    </row>
    <row r="899">
      <c r="A899" s="4" t="s">
        <v>12632</v>
      </c>
      <c r="B899" s="13" t="s">
        <v>43</v>
      </c>
      <c r="D899" s="3"/>
      <c r="E899" s="3"/>
      <c r="F899" s="3"/>
      <c r="G899" s="3"/>
      <c r="H899" s="3"/>
      <c r="I899" s="3"/>
    </row>
    <row r="900">
      <c r="A900" s="4" t="s">
        <v>12633</v>
      </c>
      <c r="B900" s="13" t="s">
        <v>43</v>
      </c>
      <c r="D900" s="3"/>
      <c r="E900" s="3"/>
      <c r="F900" s="3"/>
      <c r="G900" s="3"/>
      <c r="H900" s="3"/>
      <c r="I900" s="3"/>
    </row>
    <row r="901">
      <c r="A901" s="4" t="s">
        <v>12634</v>
      </c>
      <c r="B901" s="13" t="s">
        <v>43</v>
      </c>
      <c r="D901" s="3"/>
      <c r="E901" s="3"/>
      <c r="F901" s="3"/>
      <c r="G901" s="3"/>
      <c r="H901" s="3"/>
      <c r="I901" s="3"/>
    </row>
    <row r="902">
      <c r="A902" s="4" t="s">
        <v>12635</v>
      </c>
      <c r="B902" s="13" t="s">
        <v>43</v>
      </c>
      <c r="D902" s="3"/>
      <c r="E902" s="3"/>
      <c r="F902" s="3"/>
      <c r="G902" s="3"/>
      <c r="H902" s="3"/>
      <c r="I902" s="3"/>
    </row>
    <row r="903">
      <c r="A903" s="4" t="s">
        <v>12636</v>
      </c>
      <c r="B903" s="13" t="s">
        <v>43</v>
      </c>
      <c r="D903" s="3"/>
      <c r="E903" s="3"/>
      <c r="F903" s="3"/>
      <c r="G903" s="3"/>
      <c r="H903" s="3"/>
      <c r="I903" s="3"/>
    </row>
    <row r="904">
      <c r="A904" s="4" t="s">
        <v>12637</v>
      </c>
      <c r="B904" s="13" t="s">
        <v>43</v>
      </c>
      <c r="D904" s="3"/>
      <c r="E904" s="3"/>
      <c r="F904" s="3"/>
      <c r="G904" s="3"/>
      <c r="H904" s="3"/>
      <c r="I904" s="3"/>
    </row>
    <row r="905">
      <c r="A905" s="4" t="s">
        <v>12638</v>
      </c>
      <c r="B905" s="13" t="s">
        <v>43</v>
      </c>
      <c r="D905" s="3"/>
      <c r="E905" s="3"/>
      <c r="F905" s="3"/>
      <c r="G905" s="3"/>
      <c r="H905" s="3"/>
      <c r="I905" s="3"/>
    </row>
    <row r="906">
      <c r="A906" s="4" t="s">
        <v>12639</v>
      </c>
      <c r="B906" s="13" t="s">
        <v>43</v>
      </c>
      <c r="D906" s="3"/>
      <c r="E906" s="3"/>
      <c r="F906" s="3"/>
      <c r="G906" s="3"/>
      <c r="H906" s="3"/>
      <c r="I906" s="3"/>
    </row>
    <row r="907">
      <c r="A907" s="4" t="s">
        <v>12640</v>
      </c>
      <c r="B907" s="13" t="s">
        <v>43</v>
      </c>
      <c r="D907" s="3"/>
      <c r="E907" s="3"/>
      <c r="F907" s="3"/>
      <c r="G907" s="3"/>
      <c r="H907" s="3"/>
      <c r="I907" s="3"/>
    </row>
    <row r="908">
      <c r="A908" s="4" t="s">
        <v>12641</v>
      </c>
      <c r="B908" s="13" t="s">
        <v>43</v>
      </c>
      <c r="D908" s="3"/>
      <c r="E908" s="3"/>
      <c r="F908" s="3"/>
      <c r="G908" s="3"/>
      <c r="H908" s="3"/>
      <c r="I908" s="3"/>
    </row>
    <row r="909">
      <c r="A909" s="4" t="s">
        <v>12642</v>
      </c>
      <c r="B909" s="13" t="s">
        <v>43</v>
      </c>
      <c r="D909" s="3"/>
      <c r="E909" s="3"/>
      <c r="F909" s="3"/>
      <c r="G909" s="3"/>
      <c r="H909" s="3"/>
      <c r="I909" s="3"/>
    </row>
    <row r="910">
      <c r="A910" s="4" t="s">
        <v>12643</v>
      </c>
      <c r="B910" s="13" t="s">
        <v>43</v>
      </c>
      <c r="D910" s="3"/>
      <c r="E910" s="3"/>
      <c r="F910" s="3"/>
      <c r="G910" s="3"/>
      <c r="H910" s="3"/>
      <c r="I910" s="3"/>
    </row>
    <row r="911">
      <c r="A911" s="4" t="s">
        <v>12644</v>
      </c>
      <c r="B911" s="13" t="s">
        <v>43</v>
      </c>
      <c r="D911" s="3"/>
      <c r="E911" s="3"/>
      <c r="F911" s="3"/>
      <c r="G911" s="3"/>
      <c r="H911" s="3"/>
      <c r="I911" s="3"/>
    </row>
    <row r="912">
      <c r="A912" s="4" t="s">
        <v>12645</v>
      </c>
      <c r="B912" s="13" t="s">
        <v>43</v>
      </c>
      <c r="D912" s="3"/>
      <c r="E912" s="3"/>
      <c r="F912" s="3"/>
      <c r="G912" s="3"/>
      <c r="H912" s="3"/>
      <c r="I912" s="3"/>
    </row>
    <row r="913">
      <c r="A913" s="4" t="s">
        <v>12646</v>
      </c>
      <c r="B913" s="13" t="s">
        <v>43</v>
      </c>
      <c r="D913" s="3"/>
      <c r="E913" s="3"/>
      <c r="F913" s="3"/>
      <c r="G913" s="3"/>
      <c r="H913" s="3"/>
      <c r="I913" s="3"/>
    </row>
    <row r="914">
      <c r="A914" s="4" t="s">
        <v>12647</v>
      </c>
      <c r="B914" s="13" t="s">
        <v>43</v>
      </c>
      <c r="D914" s="3"/>
      <c r="E914" s="3"/>
      <c r="F914" s="3"/>
      <c r="G914" s="3"/>
      <c r="H914" s="3"/>
      <c r="I914" s="3"/>
    </row>
    <row r="915">
      <c r="A915" s="4" t="s">
        <v>12648</v>
      </c>
      <c r="B915" s="13" t="s">
        <v>43</v>
      </c>
      <c r="D915" s="3"/>
      <c r="E915" s="3"/>
      <c r="F915" s="3"/>
      <c r="G915" s="3"/>
      <c r="H915" s="3"/>
      <c r="I915" s="3"/>
    </row>
    <row r="916">
      <c r="A916" s="4" t="s">
        <v>12649</v>
      </c>
      <c r="B916" s="13" t="s">
        <v>43</v>
      </c>
      <c r="D916" s="3"/>
      <c r="E916" s="3"/>
      <c r="F916" s="3"/>
      <c r="G916" s="3"/>
      <c r="H916" s="3"/>
      <c r="I916" s="3"/>
    </row>
    <row r="917">
      <c r="A917" s="4" t="s">
        <v>12650</v>
      </c>
      <c r="B917" s="13" t="s">
        <v>43</v>
      </c>
      <c r="D917" s="3"/>
      <c r="E917" s="3"/>
      <c r="F917" s="3"/>
      <c r="G917" s="3"/>
      <c r="H917" s="3"/>
      <c r="I917" s="3"/>
    </row>
    <row r="918">
      <c r="A918" s="4" t="s">
        <v>12651</v>
      </c>
      <c r="B918" s="13" t="s">
        <v>43</v>
      </c>
      <c r="D918" s="3"/>
      <c r="E918" s="3"/>
      <c r="F918" s="3"/>
      <c r="G918" s="3"/>
      <c r="H918" s="3"/>
      <c r="I918" s="3"/>
    </row>
    <row r="919">
      <c r="A919" s="4" t="s">
        <v>12652</v>
      </c>
      <c r="B919" s="13" t="s">
        <v>43</v>
      </c>
      <c r="D919" s="3"/>
      <c r="E919" s="3"/>
      <c r="F919" s="3"/>
      <c r="G919" s="3"/>
      <c r="H919" s="3"/>
      <c r="I919" s="3"/>
    </row>
    <row r="920">
      <c r="A920" s="4" t="s">
        <v>12653</v>
      </c>
      <c r="B920" s="13" t="s">
        <v>43</v>
      </c>
      <c r="D920" s="3"/>
      <c r="E920" s="3"/>
      <c r="F920" s="3"/>
      <c r="G920" s="3"/>
      <c r="H920" s="3"/>
      <c r="I920" s="3"/>
    </row>
    <row r="921">
      <c r="A921" s="4" t="s">
        <v>12654</v>
      </c>
      <c r="B921" s="13" t="s">
        <v>43</v>
      </c>
      <c r="D921" s="3"/>
      <c r="E921" s="3"/>
      <c r="F921" s="3"/>
      <c r="G921" s="3"/>
      <c r="H921" s="3"/>
      <c r="I921" s="3"/>
    </row>
    <row r="922">
      <c r="A922" s="4" t="s">
        <v>12655</v>
      </c>
      <c r="B922" s="13" t="s">
        <v>43</v>
      </c>
      <c r="D922" s="3"/>
      <c r="E922" s="3"/>
      <c r="F922" s="3"/>
      <c r="G922" s="3"/>
      <c r="H922" s="3"/>
      <c r="I922" s="3"/>
    </row>
    <row r="923">
      <c r="A923" s="4" t="s">
        <v>12656</v>
      </c>
      <c r="B923" s="13" t="s">
        <v>43</v>
      </c>
      <c r="D923" s="3"/>
      <c r="E923" s="3"/>
      <c r="F923" s="3"/>
      <c r="G923" s="3"/>
      <c r="H923" s="3"/>
      <c r="I923" s="3"/>
    </row>
    <row r="924">
      <c r="A924" s="4" t="s">
        <v>12657</v>
      </c>
      <c r="B924" s="13" t="s">
        <v>43</v>
      </c>
      <c r="D924" s="3"/>
      <c r="E924" s="3"/>
      <c r="F924" s="3"/>
      <c r="G924" s="3"/>
      <c r="H924" s="3"/>
      <c r="I924" s="3"/>
    </row>
    <row r="925">
      <c r="A925" s="4" t="s">
        <v>12658</v>
      </c>
      <c r="B925" s="13" t="s">
        <v>43</v>
      </c>
      <c r="D925" s="3"/>
      <c r="E925" s="3"/>
      <c r="F925" s="3"/>
      <c r="G925" s="3"/>
      <c r="H925" s="3"/>
      <c r="I925" s="3"/>
    </row>
    <row r="926">
      <c r="A926" s="4" t="s">
        <v>12659</v>
      </c>
      <c r="B926" s="13" t="s">
        <v>43</v>
      </c>
      <c r="D926" s="3"/>
      <c r="E926" s="3"/>
      <c r="F926" s="3"/>
      <c r="G926" s="3"/>
      <c r="H926" s="3"/>
      <c r="I926" s="3"/>
    </row>
    <row r="927">
      <c r="A927" s="4" t="s">
        <v>12660</v>
      </c>
      <c r="B927" s="13" t="s">
        <v>43</v>
      </c>
      <c r="D927" s="3"/>
      <c r="E927" s="3"/>
      <c r="F927" s="3"/>
      <c r="G927" s="3"/>
      <c r="H927" s="3"/>
      <c r="I927" s="3"/>
    </row>
    <row r="928">
      <c r="A928" s="4" t="s">
        <v>12661</v>
      </c>
      <c r="B928" s="13" t="s">
        <v>43</v>
      </c>
      <c r="D928" s="3"/>
      <c r="E928" s="3"/>
      <c r="F928" s="3"/>
      <c r="G928" s="3"/>
      <c r="H928" s="3"/>
      <c r="I928" s="3"/>
    </row>
    <row r="929">
      <c r="A929" s="4" t="s">
        <v>12662</v>
      </c>
      <c r="B929" s="13" t="s">
        <v>43</v>
      </c>
      <c r="D929" s="3"/>
      <c r="E929" s="3"/>
      <c r="F929" s="3"/>
      <c r="G929" s="3"/>
      <c r="H929" s="3"/>
      <c r="I929" s="3"/>
    </row>
    <row r="930">
      <c r="A930" s="4" t="s">
        <v>12663</v>
      </c>
      <c r="B930" s="13" t="s">
        <v>43</v>
      </c>
      <c r="D930" s="3"/>
      <c r="E930" s="3"/>
      <c r="F930" s="3"/>
      <c r="G930" s="3"/>
      <c r="H930" s="3"/>
      <c r="I930" s="3"/>
    </row>
    <row r="931">
      <c r="A931" s="4" t="s">
        <v>12664</v>
      </c>
      <c r="B931" s="13" t="s">
        <v>43</v>
      </c>
      <c r="D931" s="3"/>
      <c r="E931" s="3"/>
      <c r="F931" s="3"/>
      <c r="G931" s="3"/>
      <c r="H931" s="3"/>
      <c r="I931" s="3"/>
    </row>
    <row r="932">
      <c r="A932" s="4" t="s">
        <v>12665</v>
      </c>
      <c r="B932" s="13" t="s">
        <v>43</v>
      </c>
      <c r="D932" s="3"/>
      <c r="E932" s="3"/>
      <c r="F932" s="3"/>
      <c r="G932" s="3"/>
      <c r="H932" s="3"/>
      <c r="I932" s="3"/>
    </row>
    <row r="933">
      <c r="A933" s="4" t="s">
        <v>12666</v>
      </c>
      <c r="B933" s="13" t="s">
        <v>43</v>
      </c>
      <c r="D933" s="3"/>
      <c r="E933" s="3"/>
      <c r="F933" s="3"/>
      <c r="G933" s="3"/>
      <c r="H933" s="3"/>
      <c r="I933" s="3"/>
    </row>
    <row r="934">
      <c r="A934" s="4" t="s">
        <v>12667</v>
      </c>
      <c r="B934" s="13" t="s">
        <v>43</v>
      </c>
      <c r="D934" s="3"/>
      <c r="E934" s="3"/>
      <c r="F934" s="3"/>
      <c r="G934" s="3"/>
      <c r="H934" s="3"/>
      <c r="I934" s="3"/>
    </row>
    <row r="935">
      <c r="A935" s="4" t="s">
        <v>12668</v>
      </c>
      <c r="B935" s="13" t="s">
        <v>43</v>
      </c>
      <c r="D935" s="3"/>
      <c r="E935" s="3"/>
      <c r="F935" s="3"/>
      <c r="G935" s="3"/>
      <c r="H935" s="3"/>
      <c r="I935" s="3"/>
    </row>
    <row r="936">
      <c r="A936" s="4" t="s">
        <v>12669</v>
      </c>
      <c r="B936" s="13" t="s">
        <v>43</v>
      </c>
      <c r="D936" s="3"/>
      <c r="E936" s="3"/>
      <c r="F936" s="3"/>
      <c r="G936" s="3"/>
      <c r="H936" s="3"/>
      <c r="I936" s="3"/>
    </row>
    <row r="937">
      <c r="A937" s="4" t="s">
        <v>12670</v>
      </c>
      <c r="B937" s="13" t="s">
        <v>43</v>
      </c>
      <c r="D937" s="3"/>
      <c r="E937" s="3"/>
      <c r="F937" s="3"/>
      <c r="G937" s="3"/>
      <c r="H937" s="3"/>
      <c r="I937" s="3"/>
    </row>
    <row r="938">
      <c r="A938" s="4" t="s">
        <v>12671</v>
      </c>
      <c r="B938" s="13" t="s">
        <v>43</v>
      </c>
      <c r="D938" s="3"/>
      <c r="E938" s="3"/>
      <c r="F938" s="3"/>
      <c r="G938" s="3"/>
      <c r="H938" s="3"/>
      <c r="I938" s="3"/>
    </row>
    <row r="939">
      <c r="A939" s="4" t="s">
        <v>12672</v>
      </c>
      <c r="B939" s="13" t="s">
        <v>43</v>
      </c>
      <c r="D939" s="3"/>
      <c r="E939" s="3"/>
      <c r="F939" s="3"/>
      <c r="G939" s="3"/>
      <c r="H939" s="3"/>
      <c r="I939" s="3"/>
    </row>
    <row r="940">
      <c r="A940" s="4" t="s">
        <v>12673</v>
      </c>
      <c r="B940" s="13" t="s">
        <v>43</v>
      </c>
      <c r="D940" s="3"/>
      <c r="E940" s="3"/>
      <c r="F940" s="3"/>
      <c r="G940" s="3"/>
      <c r="H940" s="3"/>
      <c r="I940" s="3"/>
    </row>
    <row r="941">
      <c r="A941" s="4" t="s">
        <v>12674</v>
      </c>
      <c r="B941" s="13" t="s">
        <v>43</v>
      </c>
      <c r="D941" s="3"/>
      <c r="E941" s="3"/>
      <c r="F941" s="3"/>
      <c r="G941" s="3"/>
      <c r="H941" s="3"/>
      <c r="I941" s="3"/>
    </row>
    <row r="942">
      <c r="A942" s="4" t="s">
        <v>12675</v>
      </c>
      <c r="B942" s="13" t="s">
        <v>43</v>
      </c>
      <c r="D942" s="3"/>
      <c r="E942" s="3"/>
      <c r="F942" s="3"/>
      <c r="G942" s="3"/>
      <c r="H942" s="3"/>
      <c r="I942" s="3"/>
    </row>
    <row r="943">
      <c r="A943" s="4" t="s">
        <v>12676</v>
      </c>
      <c r="B943" s="13" t="s">
        <v>43</v>
      </c>
      <c r="D943" s="3"/>
      <c r="E943" s="3"/>
      <c r="F943" s="3"/>
      <c r="G943" s="3"/>
      <c r="H943" s="3"/>
      <c r="I943" s="3"/>
    </row>
    <row r="944">
      <c r="A944" s="4" t="s">
        <v>12677</v>
      </c>
      <c r="B944" s="13" t="s">
        <v>43</v>
      </c>
      <c r="D944" s="3"/>
      <c r="E944" s="3"/>
      <c r="F944" s="3"/>
      <c r="G944" s="3"/>
      <c r="H944" s="3"/>
      <c r="I944" s="3"/>
    </row>
    <row r="945">
      <c r="A945" s="4" t="s">
        <v>12678</v>
      </c>
      <c r="B945" s="13" t="s">
        <v>43</v>
      </c>
      <c r="D945" s="3"/>
      <c r="E945" s="3"/>
      <c r="F945" s="3"/>
      <c r="G945" s="3"/>
      <c r="H945" s="3"/>
      <c r="I945" s="3"/>
    </row>
    <row r="946">
      <c r="A946" s="4" t="s">
        <v>12679</v>
      </c>
      <c r="B946" s="13" t="s">
        <v>43</v>
      </c>
      <c r="D946" s="3"/>
      <c r="E946" s="3"/>
      <c r="F946" s="3"/>
      <c r="G946" s="3"/>
      <c r="H946" s="3"/>
      <c r="I946" s="3"/>
    </row>
    <row r="947">
      <c r="A947" s="4" t="s">
        <v>12680</v>
      </c>
      <c r="B947" s="13" t="s">
        <v>43</v>
      </c>
      <c r="D947" s="3"/>
      <c r="E947" s="3"/>
      <c r="F947" s="3"/>
      <c r="G947" s="3"/>
      <c r="H947" s="3"/>
      <c r="I947" s="3"/>
    </row>
    <row r="948">
      <c r="A948" s="4" t="s">
        <v>12681</v>
      </c>
      <c r="B948" s="13" t="s">
        <v>43</v>
      </c>
      <c r="D948" s="3"/>
      <c r="E948" s="3"/>
      <c r="F948" s="3"/>
      <c r="G948" s="3"/>
      <c r="H948" s="3"/>
      <c r="I948" s="3"/>
    </row>
    <row r="949">
      <c r="A949" s="4" t="s">
        <v>12682</v>
      </c>
      <c r="B949" s="13" t="s">
        <v>43</v>
      </c>
      <c r="D949" s="3"/>
      <c r="E949" s="3"/>
      <c r="F949" s="3"/>
      <c r="G949" s="3"/>
      <c r="H949" s="3"/>
      <c r="I949" s="3"/>
    </row>
    <row r="950">
      <c r="A950" s="4" t="s">
        <v>12683</v>
      </c>
      <c r="B950" s="13" t="s">
        <v>43</v>
      </c>
      <c r="D950" s="3"/>
      <c r="E950" s="3"/>
      <c r="F950" s="3"/>
      <c r="G950" s="3"/>
      <c r="H950" s="3"/>
      <c r="I950" s="3"/>
    </row>
    <row r="951">
      <c r="A951" s="4" t="s">
        <v>12684</v>
      </c>
      <c r="B951" s="13" t="s">
        <v>43</v>
      </c>
      <c r="D951" s="3"/>
      <c r="E951" s="3"/>
      <c r="F951" s="3"/>
      <c r="G951" s="3"/>
      <c r="H951" s="3"/>
      <c r="I951" s="3"/>
    </row>
    <row r="952">
      <c r="A952" s="4" t="s">
        <v>12685</v>
      </c>
      <c r="B952" s="13" t="s">
        <v>43</v>
      </c>
      <c r="D952" s="3"/>
      <c r="E952" s="3"/>
      <c r="F952" s="3"/>
      <c r="G952" s="3"/>
      <c r="H952" s="3"/>
      <c r="I952" s="3"/>
    </row>
    <row r="953">
      <c r="A953" s="4" t="s">
        <v>12686</v>
      </c>
      <c r="B953" s="13" t="s">
        <v>43</v>
      </c>
      <c r="D953" s="3"/>
      <c r="E953" s="3"/>
      <c r="F953" s="3"/>
      <c r="G953" s="3"/>
      <c r="H953" s="3"/>
      <c r="I953" s="3"/>
    </row>
    <row r="954">
      <c r="A954" s="4" t="s">
        <v>12687</v>
      </c>
      <c r="B954" s="13" t="s">
        <v>43</v>
      </c>
      <c r="D954" s="3"/>
      <c r="E954" s="3"/>
      <c r="F954" s="3"/>
      <c r="G954" s="3"/>
      <c r="H954" s="3"/>
      <c r="I954" s="3"/>
    </row>
    <row r="955">
      <c r="A955" s="4" t="s">
        <v>12688</v>
      </c>
      <c r="B955" s="13" t="s">
        <v>43</v>
      </c>
      <c r="D955" s="3"/>
      <c r="E955" s="3"/>
      <c r="F955" s="3"/>
      <c r="G955" s="3"/>
      <c r="H955" s="3"/>
      <c r="I955" s="3"/>
    </row>
    <row r="956">
      <c r="A956" s="4" t="s">
        <v>12689</v>
      </c>
      <c r="B956" s="13" t="s">
        <v>43</v>
      </c>
      <c r="D956" s="3"/>
      <c r="E956" s="3"/>
      <c r="F956" s="3"/>
      <c r="G956" s="3"/>
      <c r="H956" s="3"/>
      <c r="I956" s="3"/>
    </row>
    <row r="957">
      <c r="A957" s="4" t="s">
        <v>12690</v>
      </c>
      <c r="B957" s="13" t="s">
        <v>43</v>
      </c>
      <c r="D957" s="3"/>
      <c r="E957" s="3"/>
      <c r="F957" s="3"/>
      <c r="G957" s="3"/>
      <c r="H957" s="3"/>
      <c r="I957" s="3"/>
    </row>
    <row r="958">
      <c r="A958" s="4" t="s">
        <v>12691</v>
      </c>
      <c r="B958" s="13" t="s">
        <v>43</v>
      </c>
      <c r="D958" s="3"/>
      <c r="E958" s="3"/>
      <c r="F958" s="3"/>
      <c r="G958" s="3"/>
      <c r="H958" s="3"/>
      <c r="I958" s="3"/>
    </row>
    <row r="959">
      <c r="A959" s="4" t="s">
        <v>12692</v>
      </c>
      <c r="B959" s="13" t="s">
        <v>43</v>
      </c>
      <c r="D959" s="3"/>
      <c r="E959" s="3"/>
      <c r="F959" s="3"/>
      <c r="G959" s="3"/>
      <c r="H959" s="3"/>
      <c r="I959" s="3"/>
    </row>
    <row r="960">
      <c r="A960" s="4" t="s">
        <v>12693</v>
      </c>
      <c r="B960" s="13" t="s">
        <v>43</v>
      </c>
      <c r="D960" s="3"/>
      <c r="E960" s="3"/>
      <c r="F960" s="3"/>
      <c r="G960" s="3"/>
      <c r="H960" s="3"/>
      <c r="I960" s="3"/>
    </row>
    <row r="961">
      <c r="A961" s="4" t="s">
        <v>12694</v>
      </c>
      <c r="B961" s="13" t="s">
        <v>43</v>
      </c>
      <c r="D961" s="3"/>
      <c r="E961" s="3"/>
      <c r="F961" s="3"/>
      <c r="G961" s="3"/>
      <c r="H961" s="3"/>
      <c r="I961" s="3"/>
    </row>
    <row r="962">
      <c r="A962" s="4" t="s">
        <v>12695</v>
      </c>
      <c r="B962" s="13" t="s">
        <v>43</v>
      </c>
      <c r="D962" s="3"/>
      <c r="E962" s="3"/>
      <c r="F962" s="3"/>
      <c r="G962" s="3"/>
      <c r="H962" s="3"/>
      <c r="I962" s="3"/>
    </row>
    <row r="963">
      <c r="A963" s="4" t="s">
        <v>12696</v>
      </c>
      <c r="B963" s="13" t="s">
        <v>43</v>
      </c>
      <c r="D963" s="3"/>
      <c r="E963" s="3"/>
      <c r="F963" s="3"/>
      <c r="G963" s="3"/>
      <c r="H963" s="3"/>
      <c r="I963" s="3"/>
    </row>
    <row r="964">
      <c r="A964" s="4" t="s">
        <v>12697</v>
      </c>
      <c r="B964" s="13" t="s">
        <v>43</v>
      </c>
      <c r="D964" s="3"/>
      <c r="E964" s="3"/>
      <c r="F964" s="3"/>
      <c r="G964" s="3"/>
      <c r="H964" s="3"/>
      <c r="I964" s="3"/>
    </row>
    <row r="965">
      <c r="A965" s="4" t="s">
        <v>12698</v>
      </c>
      <c r="B965" s="13" t="s">
        <v>43</v>
      </c>
      <c r="D965" s="3"/>
      <c r="E965" s="3"/>
      <c r="F965" s="3"/>
      <c r="G965" s="3"/>
      <c r="H965" s="3"/>
      <c r="I965" s="3"/>
    </row>
    <row r="966">
      <c r="A966" s="4" t="s">
        <v>12699</v>
      </c>
      <c r="B966" s="13" t="s">
        <v>43</v>
      </c>
      <c r="D966" s="3"/>
      <c r="E966" s="3"/>
      <c r="F966" s="3"/>
      <c r="G966" s="3"/>
      <c r="H966" s="3"/>
      <c r="I966" s="3"/>
    </row>
    <row r="967">
      <c r="A967" s="4" t="s">
        <v>12700</v>
      </c>
      <c r="B967" s="13" t="s">
        <v>43</v>
      </c>
      <c r="D967" s="3"/>
      <c r="E967" s="3"/>
      <c r="F967" s="3"/>
      <c r="G967" s="3"/>
      <c r="H967" s="3"/>
      <c r="I967" s="3"/>
    </row>
    <row r="968">
      <c r="A968" s="4" t="s">
        <v>12701</v>
      </c>
      <c r="B968" s="13" t="s">
        <v>43</v>
      </c>
      <c r="D968" s="3"/>
      <c r="E968" s="3"/>
      <c r="F968" s="3"/>
      <c r="G968" s="3"/>
      <c r="H968" s="3"/>
      <c r="I968" s="3"/>
    </row>
    <row r="969">
      <c r="A969" s="4" t="s">
        <v>12702</v>
      </c>
      <c r="B969" s="13" t="s">
        <v>43</v>
      </c>
      <c r="D969" s="3"/>
      <c r="E969" s="3"/>
      <c r="F969" s="3"/>
      <c r="G969" s="3"/>
      <c r="H969" s="3"/>
      <c r="I969" s="3"/>
    </row>
    <row r="970">
      <c r="A970" s="4" t="s">
        <v>12703</v>
      </c>
      <c r="B970" s="13" t="s">
        <v>43</v>
      </c>
      <c r="D970" s="3"/>
      <c r="E970" s="3"/>
      <c r="F970" s="3"/>
      <c r="G970" s="3"/>
      <c r="H970" s="3"/>
      <c r="I970" s="3"/>
    </row>
    <row r="971">
      <c r="A971" s="4" t="s">
        <v>12704</v>
      </c>
      <c r="B971" s="13" t="s">
        <v>43</v>
      </c>
      <c r="D971" s="3"/>
      <c r="E971" s="3"/>
      <c r="F971" s="3"/>
      <c r="G971" s="3"/>
      <c r="H971" s="3"/>
      <c r="I971" s="3"/>
    </row>
    <row r="972">
      <c r="A972" s="4" t="s">
        <v>12705</v>
      </c>
      <c r="B972" s="13" t="s">
        <v>43</v>
      </c>
      <c r="D972" s="3"/>
      <c r="E972" s="3"/>
      <c r="F972" s="3"/>
      <c r="G972" s="3"/>
      <c r="H972" s="3"/>
      <c r="I972" s="3"/>
    </row>
    <row r="973">
      <c r="A973" s="4" t="s">
        <v>12706</v>
      </c>
      <c r="B973" s="13" t="s">
        <v>43</v>
      </c>
      <c r="D973" s="3"/>
      <c r="E973" s="3"/>
      <c r="F973" s="3"/>
      <c r="G973" s="3"/>
      <c r="H973" s="3"/>
      <c r="I973" s="3"/>
    </row>
    <row r="974">
      <c r="A974" s="4" t="s">
        <v>12707</v>
      </c>
      <c r="B974" s="13" t="s">
        <v>43</v>
      </c>
      <c r="D974" s="3"/>
      <c r="E974" s="3"/>
      <c r="F974" s="3"/>
      <c r="G974" s="3"/>
      <c r="H974" s="3"/>
      <c r="I974" s="3"/>
    </row>
    <row r="975">
      <c r="A975" s="4" t="s">
        <v>12708</v>
      </c>
      <c r="B975" s="13" t="s">
        <v>43</v>
      </c>
      <c r="D975" s="3"/>
      <c r="E975" s="3"/>
      <c r="F975" s="3"/>
      <c r="G975" s="3"/>
      <c r="H975" s="3"/>
      <c r="I975" s="3"/>
    </row>
    <row r="976">
      <c r="A976" s="4" t="s">
        <v>12709</v>
      </c>
      <c r="B976" s="13" t="s">
        <v>43</v>
      </c>
      <c r="D976" s="3"/>
      <c r="E976" s="3"/>
      <c r="F976" s="3"/>
      <c r="G976" s="3"/>
      <c r="H976" s="3"/>
      <c r="I976" s="3"/>
    </row>
    <row r="977">
      <c r="A977" s="4" t="s">
        <v>12710</v>
      </c>
      <c r="B977" s="13" t="s">
        <v>43</v>
      </c>
      <c r="D977" s="3"/>
      <c r="E977" s="3"/>
      <c r="F977" s="3"/>
      <c r="G977" s="3"/>
      <c r="H977" s="3"/>
      <c r="I977" s="3"/>
    </row>
    <row r="978">
      <c r="A978" s="4" t="s">
        <v>12711</v>
      </c>
      <c r="B978" s="13" t="s">
        <v>43</v>
      </c>
      <c r="D978" s="3"/>
      <c r="E978" s="3"/>
      <c r="F978" s="3"/>
      <c r="G978" s="3"/>
      <c r="H978" s="3"/>
      <c r="I978" s="3"/>
    </row>
    <row r="979">
      <c r="A979" s="4" t="s">
        <v>12712</v>
      </c>
      <c r="B979" s="13" t="s">
        <v>43</v>
      </c>
      <c r="D979" s="3"/>
      <c r="E979" s="3"/>
      <c r="F979" s="3"/>
      <c r="G979" s="3"/>
      <c r="H979" s="3"/>
      <c r="I979" s="3"/>
    </row>
    <row r="980">
      <c r="A980" s="4" t="s">
        <v>12713</v>
      </c>
      <c r="B980" s="13" t="s">
        <v>43</v>
      </c>
      <c r="D980" s="3"/>
      <c r="E980" s="3"/>
      <c r="F980" s="3"/>
      <c r="G980" s="3"/>
      <c r="H980" s="3"/>
      <c r="I980" s="3"/>
    </row>
    <row r="981">
      <c r="A981" s="4" t="s">
        <v>12714</v>
      </c>
      <c r="B981" s="13" t="s">
        <v>43</v>
      </c>
      <c r="D981" s="3"/>
      <c r="E981" s="3"/>
      <c r="F981" s="3"/>
      <c r="G981" s="3"/>
      <c r="H981" s="3"/>
      <c r="I981" s="3"/>
    </row>
    <row r="982">
      <c r="A982" s="4" t="s">
        <v>12715</v>
      </c>
      <c r="B982" s="13" t="s">
        <v>43</v>
      </c>
      <c r="D982" s="3"/>
      <c r="E982" s="3"/>
      <c r="F982" s="3"/>
      <c r="G982" s="3"/>
      <c r="H982" s="3"/>
      <c r="I982" s="3"/>
    </row>
    <row r="983">
      <c r="A983" s="4" t="s">
        <v>12716</v>
      </c>
      <c r="B983" s="13" t="s">
        <v>43</v>
      </c>
      <c r="D983" s="3"/>
      <c r="E983" s="3"/>
      <c r="F983" s="3"/>
      <c r="G983" s="3"/>
      <c r="H983" s="3"/>
      <c r="I983" s="3"/>
    </row>
    <row r="984">
      <c r="A984" s="4" t="s">
        <v>12717</v>
      </c>
      <c r="B984" s="13" t="s">
        <v>43</v>
      </c>
      <c r="D984" s="3"/>
      <c r="E984" s="3"/>
      <c r="F984" s="3"/>
      <c r="G984" s="3"/>
      <c r="H984" s="3"/>
      <c r="I984" s="3"/>
    </row>
    <row r="985">
      <c r="A985" s="4" t="s">
        <v>12718</v>
      </c>
      <c r="B985" s="13" t="s">
        <v>43</v>
      </c>
      <c r="D985" s="3"/>
      <c r="E985" s="3"/>
      <c r="F985" s="3"/>
      <c r="G985" s="3"/>
      <c r="H985" s="3"/>
      <c r="I985" s="3"/>
    </row>
    <row r="986">
      <c r="A986" s="4" t="s">
        <v>12719</v>
      </c>
      <c r="B986" s="13" t="s">
        <v>43</v>
      </c>
      <c r="D986" s="3"/>
      <c r="E986" s="3"/>
      <c r="F986" s="3"/>
      <c r="G986" s="3"/>
      <c r="H986" s="3"/>
      <c r="I986" s="3"/>
    </row>
    <row r="987">
      <c r="A987" s="4" t="s">
        <v>12720</v>
      </c>
      <c r="B987" s="13" t="s">
        <v>43</v>
      </c>
      <c r="D987" s="3"/>
      <c r="E987" s="3"/>
      <c r="F987" s="3"/>
      <c r="G987" s="3"/>
      <c r="H987" s="3"/>
      <c r="I987" s="3"/>
    </row>
    <row r="988">
      <c r="A988" s="4" t="s">
        <v>12721</v>
      </c>
      <c r="B988" s="13" t="s">
        <v>43</v>
      </c>
      <c r="D988" s="3"/>
      <c r="E988" s="3"/>
      <c r="F988" s="3"/>
      <c r="G988" s="3"/>
      <c r="H988" s="3"/>
      <c r="I988" s="3"/>
    </row>
    <row r="989">
      <c r="A989" s="4" t="s">
        <v>12722</v>
      </c>
      <c r="B989" s="13" t="s">
        <v>43</v>
      </c>
      <c r="D989" s="3"/>
      <c r="E989" s="3"/>
      <c r="F989" s="3"/>
      <c r="G989" s="3"/>
      <c r="H989" s="3"/>
      <c r="I989" s="3"/>
    </row>
    <row r="990">
      <c r="A990" s="4" t="s">
        <v>12723</v>
      </c>
      <c r="B990" s="13" t="s">
        <v>43</v>
      </c>
      <c r="D990" s="3"/>
      <c r="E990" s="3"/>
      <c r="F990" s="3"/>
      <c r="G990" s="3"/>
      <c r="H990" s="3"/>
      <c r="I990" s="3"/>
    </row>
    <row r="991">
      <c r="A991" s="4" t="s">
        <v>12724</v>
      </c>
      <c r="B991" s="13" t="s">
        <v>43</v>
      </c>
      <c r="D991" s="3"/>
      <c r="E991" s="3"/>
      <c r="F991" s="3"/>
      <c r="G991" s="3"/>
      <c r="H991" s="3"/>
      <c r="I991" s="3"/>
    </row>
    <row r="992">
      <c r="A992" s="4" t="s">
        <v>12725</v>
      </c>
      <c r="B992" s="13" t="s">
        <v>43</v>
      </c>
      <c r="D992" s="3"/>
      <c r="E992" s="3"/>
      <c r="F992" s="3"/>
      <c r="G992" s="3"/>
      <c r="H992" s="3"/>
      <c r="I992" s="3"/>
    </row>
    <row r="993">
      <c r="A993" s="4" t="s">
        <v>12726</v>
      </c>
      <c r="B993" s="13" t="s">
        <v>43</v>
      </c>
      <c r="D993" s="3"/>
      <c r="E993" s="3"/>
      <c r="F993" s="3"/>
      <c r="G993" s="3"/>
      <c r="H993" s="3"/>
      <c r="I993" s="3"/>
    </row>
    <row r="994">
      <c r="A994" s="4" t="s">
        <v>12727</v>
      </c>
      <c r="B994" s="13" t="s">
        <v>43</v>
      </c>
      <c r="D994" s="3"/>
      <c r="E994" s="3"/>
      <c r="F994" s="3"/>
      <c r="G994" s="3"/>
      <c r="H994" s="3"/>
      <c r="I994" s="3"/>
    </row>
    <row r="995">
      <c r="A995" s="4" t="s">
        <v>12728</v>
      </c>
      <c r="B995" s="13" t="s">
        <v>43</v>
      </c>
      <c r="D995" s="3"/>
      <c r="E995" s="3"/>
      <c r="F995" s="3"/>
      <c r="G995" s="3"/>
      <c r="H995" s="3"/>
      <c r="I995" s="3"/>
    </row>
    <row r="996">
      <c r="A996" s="4" t="s">
        <v>12729</v>
      </c>
      <c r="B996" s="13" t="s">
        <v>43</v>
      </c>
      <c r="D996" s="3"/>
      <c r="E996" s="3"/>
      <c r="F996" s="3"/>
      <c r="G996" s="3"/>
      <c r="H996" s="3"/>
      <c r="I996" s="3"/>
    </row>
    <row r="997">
      <c r="A997" s="4" t="s">
        <v>12730</v>
      </c>
      <c r="B997" s="13" t="s">
        <v>43</v>
      </c>
      <c r="D997" s="3"/>
      <c r="E997" s="3"/>
      <c r="F997" s="3"/>
      <c r="G997" s="3"/>
      <c r="H997" s="3"/>
      <c r="I997" s="3"/>
    </row>
    <row r="998">
      <c r="A998" s="4" t="s">
        <v>12731</v>
      </c>
      <c r="B998" s="13" t="s">
        <v>43</v>
      </c>
      <c r="D998" s="3"/>
      <c r="E998" s="3"/>
      <c r="F998" s="3"/>
      <c r="G998" s="3"/>
      <c r="H998" s="3"/>
      <c r="I998" s="3"/>
    </row>
    <row r="999">
      <c r="A999" s="4" t="s">
        <v>12732</v>
      </c>
      <c r="B999" s="13" t="s">
        <v>43</v>
      </c>
      <c r="D999" s="3"/>
      <c r="E999" s="3"/>
      <c r="F999" s="3"/>
      <c r="G999" s="3"/>
      <c r="H999" s="3"/>
      <c r="I999" s="3"/>
    </row>
    <row r="1000">
      <c r="A1000" s="4" t="s">
        <v>12733</v>
      </c>
      <c r="B1000" s="13" t="s">
        <v>43</v>
      </c>
      <c r="E1000" s="3"/>
      <c r="F1000" s="3"/>
      <c r="G1000" s="3"/>
    </row>
    <row r="1001">
      <c r="A1001" s="4" t="s">
        <v>12734</v>
      </c>
      <c r="B1001" s="13" t="s">
        <v>43</v>
      </c>
      <c r="E1001" s="3"/>
      <c r="F1001" s="3"/>
      <c r="G1001" s="3"/>
    </row>
    <row r="1002">
      <c r="A1002" s="4" t="s">
        <v>12735</v>
      </c>
      <c r="B1002" s="13" t="s">
        <v>43</v>
      </c>
      <c r="E1002" s="3"/>
      <c r="F1002" s="3"/>
      <c r="G1002" s="3"/>
    </row>
    <row r="1003">
      <c r="A1003" s="4" t="s">
        <v>12736</v>
      </c>
      <c r="B1003" s="13" t="s">
        <v>43</v>
      </c>
      <c r="E1003" s="3"/>
      <c r="F1003" s="3"/>
      <c r="G1003" s="3"/>
    </row>
    <row r="1004">
      <c r="A1004" s="4" t="s">
        <v>12737</v>
      </c>
      <c r="B1004" s="13" t="s">
        <v>43</v>
      </c>
      <c r="E1004" s="3"/>
      <c r="F1004" s="3"/>
      <c r="G1004" s="3"/>
    </row>
    <row r="1005">
      <c r="A1005" s="4" t="s">
        <v>12738</v>
      </c>
      <c r="B1005" s="13" t="s">
        <v>43</v>
      </c>
      <c r="E1005" s="3"/>
      <c r="F1005" s="3"/>
      <c r="G1005" s="3"/>
    </row>
    <row r="1006">
      <c r="A1006" s="4" t="s">
        <v>12739</v>
      </c>
      <c r="B1006" s="13" t="s">
        <v>43</v>
      </c>
      <c r="E1006" s="3"/>
      <c r="F1006" s="3"/>
      <c r="G1006" s="3"/>
    </row>
    <row r="1007">
      <c r="A1007" s="4" t="s">
        <v>12740</v>
      </c>
      <c r="B1007" s="13" t="s">
        <v>43</v>
      </c>
      <c r="E1007" s="3"/>
      <c r="F1007" s="3"/>
      <c r="G1007" s="3"/>
    </row>
    <row r="1008">
      <c r="A1008" s="4" t="s">
        <v>12741</v>
      </c>
      <c r="B1008" s="13" t="s">
        <v>43</v>
      </c>
      <c r="E1008" s="3"/>
      <c r="F1008" s="3"/>
      <c r="G1008" s="3"/>
    </row>
    <row r="1009">
      <c r="A1009" s="4" t="s">
        <v>12742</v>
      </c>
      <c r="B1009" s="13" t="s">
        <v>43</v>
      </c>
      <c r="E1009" s="3"/>
      <c r="F1009" s="3"/>
      <c r="G1009" s="3"/>
    </row>
    <row r="1010">
      <c r="A1010" s="4" t="s">
        <v>12743</v>
      </c>
      <c r="B1010" s="13" t="s">
        <v>43</v>
      </c>
      <c r="E1010" s="3"/>
      <c r="F1010" s="3"/>
      <c r="G1010" s="3"/>
    </row>
    <row r="1011">
      <c r="A1011" s="4" t="s">
        <v>12744</v>
      </c>
      <c r="B1011" s="13" t="s">
        <v>43</v>
      </c>
      <c r="E1011" s="3"/>
      <c r="F1011" s="3"/>
      <c r="G1011" s="3"/>
    </row>
    <row r="1012">
      <c r="A1012" s="4" t="s">
        <v>12745</v>
      </c>
      <c r="B1012" s="13" t="s">
        <v>43</v>
      </c>
      <c r="E1012" s="3"/>
      <c r="F1012" s="3"/>
      <c r="G1012" s="3"/>
    </row>
    <row r="1013">
      <c r="A1013" s="4" t="s">
        <v>12746</v>
      </c>
      <c r="B1013" s="13" t="s">
        <v>43</v>
      </c>
      <c r="E1013" s="3"/>
      <c r="F1013" s="3"/>
      <c r="G1013" s="3"/>
    </row>
    <row r="1014">
      <c r="A1014" s="4" t="s">
        <v>12747</v>
      </c>
      <c r="B1014" s="13" t="s">
        <v>43</v>
      </c>
      <c r="E1014" s="3"/>
      <c r="F1014" s="3"/>
      <c r="G1014" s="3"/>
    </row>
    <row r="1015">
      <c r="A1015" s="4" t="s">
        <v>12748</v>
      </c>
      <c r="B1015" s="13" t="s">
        <v>43</v>
      </c>
      <c r="E1015" s="3"/>
      <c r="F1015" s="3"/>
      <c r="G1015" s="3"/>
    </row>
    <row r="1016">
      <c r="A1016" s="4" t="s">
        <v>12749</v>
      </c>
      <c r="B1016" s="13" t="s">
        <v>43</v>
      </c>
      <c r="E1016" s="3"/>
      <c r="F1016" s="3"/>
      <c r="G1016" s="3"/>
    </row>
    <row r="1017">
      <c r="A1017" s="4" t="s">
        <v>12750</v>
      </c>
      <c r="B1017" s="13" t="s">
        <v>43</v>
      </c>
      <c r="E1017" s="3"/>
      <c r="F1017" s="3"/>
      <c r="G1017" s="3"/>
    </row>
    <row r="1018">
      <c r="A1018" s="4" t="s">
        <v>12751</v>
      </c>
      <c r="B1018" s="13" t="s">
        <v>43</v>
      </c>
      <c r="E1018" s="3"/>
      <c r="F1018" s="3"/>
      <c r="G1018" s="3"/>
    </row>
    <row r="1019">
      <c r="A1019" s="4" t="s">
        <v>12752</v>
      </c>
      <c r="B1019" s="13" t="s">
        <v>43</v>
      </c>
      <c r="E1019" s="3"/>
      <c r="F1019" s="3"/>
      <c r="G1019" s="3"/>
    </row>
    <row r="1020">
      <c r="A1020" s="4" t="s">
        <v>12753</v>
      </c>
      <c r="B1020" s="13" t="s">
        <v>43</v>
      </c>
      <c r="E1020" s="3"/>
      <c r="F1020" s="3"/>
      <c r="G1020" s="3"/>
    </row>
    <row r="1021">
      <c r="A1021" s="4" t="s">
        <v>12754</v>
      </c>
      <c r="B1021" s="13" t="s">
        <v>43</v>
      </c>
      <c r="E1021" s="3"/>
      <c r="F1021" s="3"/>
      <c r="G1021" s="3"/>
    </row>
    <row r="1022">
      <c r="A1022" s="4" t="s">
        <v>12755</v>
      </c>
      <c r="B1022" s="13" t="s">
        <v>43</v>
      </c>
      <c r="E1022" s="3"/>
      <c r="F1022" s="3"/>
      <c r="G1022" s="3"/>
    </row>
    <row r="1023">
      <c r="A1023" s="4" t="s">
        <v>12756</v>
      </c>
      <c r="B1023" s="13" t="s">
        <v>43</v>
      </c>
      <c r="E1023" s="3"/>
      <c r="F1023" s="3"/>
      <c r="G1023" s="3"/>
    </row>
    <row r="1024">
      <c r="A1024" s="4" t="s">
        <v>12757</v>
      </c>
      <c r="B1024" s="13" t="s">
        <v>43</v>
      </c>
      <c r="E1024" s="3"/>
      <c r="F1024" s="3"/>
      <c r="G1024" s="3"/>
    </row>
    <row r="1025">
      <c r="A1025" s="4" t="s">
        <v>12758</v>
      </c>
      <c r="B1025" s="13" t="s">
        <v>43</v>
      </c>
      <c r="E1025" s="3"/>
      <c r="F1025" s="3"/>
      <c r="G1025" s="3"/>
    </row>
    <row r="1026">
      <c r="A1026" s="4" t="s">
        <v>12759</v>
      </c>
      <c r="B1026" s="13" t="s">
        <v>43</v>
      </c>
      <c r="E1026" s="3"/>
      <c r="F1026" s="3"/>
      <c r="G1026" s="3"/>
    </row>
    <row r="1027">
      <c r="A1027" s="4" t="s">
        <v>12760</v>
      </c>
      <c r="B1027" s="13" t="s">
        <v>43</v>
      </c>
      <c r="E1027" s="3"/>
      <c r="F1027" s="3"/>
      <c r="G1027" s="3"/>
    </row>
    <row r="1028">
      <c r="A1028" s="4" t="s">
        <v>12761</v>
      </c>
      <c r="B1028" s="13" t="s">
        <v>43</v>
      </c>
      <c r="E1028" s="3"/>
      <c r="F1028" s="3"/>
      <c r="G1028" s="3"/>
    </row>
    <row r="1029">
      <c r="A1029" s="4" t="s">
        <v>12762</v>
      </c>
      <c r="B1029" s="13" t="s">
        <v>43</v>
      </c>
      <c r="E1029" s="3"/>
      <c r="F1029" s="3"/>
      <c r="G1029" s="3"/>
    </row>
    <row r="1030">
      <c r="A1030" s="4" t="s">
        <v>12763</v>
      </c>
      <c r="B1030" s="13" t="s">
        <v>43</v>
      </c>
      <c r="E1030" s="3"/>
      <c r="F1030" s="3"/>
      <c r="G1030" s="3"/>
    </row>
    <row r="1031">
      <c r="A1031" s="4" t="s">
        <v>12764</v>
      </c>
      <c r="B1031" s="13" t="s">
        <v>43</v>
      </c>
      <c r="E1031" s="3"/>
      <c r="F1031" s="3"/>
      <c r="G1031" s="3"/>
    </row>
    <row r="1032">
      <c r="A1032" s="4" t="s">
        <v>12765</v>
      </c>
      <c r="B1032" s="13" t="s">
        <v>43</v>
      </c>
      <c r="E1032" s="3"/>
      <c r="F1032" s="3"/>
      <c r="G1032" s="3"/>
    </row>
    <row r="1033">
      <c r="A1033" s="4" t="s">
        <v>12766</v>
      </c>
      <c r="B1033" s="13" t="s">
        <v>43</v>
      </c>
      <c r="E1033" s="3"/>
      <c r="F1033" s="3"/>
      <c r="G1033" s="3"/>
    </row>
    <row r="1034">
      <c r="A1034" s="4" t="s">
        <v>12767</v>
      </c>
      <c r="B1034" s="13" t="s">
        <v>43</v>
      </c>
      <c r="E1034" s="3"/>
      <c r="F1034" s="3"/>
      <c r="G1034" s="3"/>
    </row>
    <row r="1035">
      <c r="A1035" s="4" t="s">
        <v>12768</v>
      </c>
      <c r="B1035" s="13" t="s">
        <v>43</v>
      </c>
      <c r="E1035" s="3"/>
      <c r="F1035" s="3"/>
      <c r="G1035" s="3"/>
    </row>
    <row r="1036">
      <c r="A1036" s="4" t="s">
        <v>12769</v>
      </c>
      <c r="B1036" s="13" t="s">
        <v>43</v>
      </c>
      <c r="E1036" s="3"/>
      <c r="F1036" s="3"/>
      <c r="G1036" s="3"/>
    </row>
    <row r="1037">
      <c r="A1037" s="4" t="s">
        <v>12770</v>
      </c>
      <c r="B1037" s="13" t="s">
        <v>43</v>
      </c>
      <c r="E1037" s="3"/>
      <c r="F1037" s="3"/>
      <c r="G1037" s="3"/>
    </row>
    <row r="1038">
      <c r="A1038" s="4" t="s">
        <v>12771</v>
      </c>
      <c r="B1038" s="13" t="s">
        <v>43</v>
      </c>
      <c r="E1038" s="3"/>
      <c r="F1038" s="3"/>
      <c r="G1038" s="3"/>
    </row>
    <row r="1039">
      <c r="A1039" s="4" t="s">
        <v>12772</v>
      </c>
      <c r="B1039" s="13" t="s">
        <v>43</v>
      </c>
      <c r="E1039" s="3"/>
      <c r="F1039" s="3"/>
      <c r="G1039" s="3"/>
    </row>
    <row r="1040">
      <c r="A1040" s="4" t="s">
        <v>12773</v>
      </c>
      <c r="B1040" s="13" t="s">
        <v>43</v>
      </c>
      <c r="E1040" s="3"/>
      <c r="F1040" s="3"/>
      <c r="G1040" s="3"/>
    </row>
    <row r="1041">
      <c r="A1041" s="4" t="s">
        <v>12774</v>
      </c>
      <c r="B1041" s="13" t="s">
        <v>43</v>
      </c>
      <c r="E1041" s="3"/>
      <c r="F1041" s="3"/>
      <c r="G1041" s="3"/>
    </row>
    <row r="1042">
      <c r="A1042" s="4" t="s">
        <v>12775</v>
      </c>
      <c r="B1042" s="13" t="s">
        <v>43</v>
      </c>
      <c r="E1042" s="3"/>
      <c r="F1042" s="3"/>
      <c r="G1042" s="3"/>
    </row>
    <row r="1043">
      <c r="A1043" s="4" t="s">
        <v>12776</v>
      </c>
      <c r="B1043" s="13" t="s">
        <v>43</v>
      </c>
      <c r="E1043" s="3"/>
      <c r="F1043" s="3"/>
      <c r="G1043" s="3"/>
    </row>
    <row r="1044">
      <c r="A1044" s="4" t="s">
        <v>12777</v>
      </c>
      <c r="B1044" s="13" t="s">
        <v>43</v>
      </c>
      <c r="E1044" s="3"/>
      <c r="F1044" s="3"/>
      <c r="G1044" s="3"/>
    </row>
    <row r="1045">
      <c r="A1045" s="4" t="s">
        <v>12778</v>
      </c>
      <c r="B1045" s="13" t="s">
        <v>43</v>
      </c>
      <c r="E1045" s="3"/>
      <c r="F1045" s="3"/>
      <c r="G1045" s="3"/>
    </row>
    <row r="1046">
      <c r="A1046" s="4" t="s">
        <v>12779</v>
      </c>
      <c r="B1046" s="13" t="s">
        <v>43</v>
      </c>
      <c r="E1046" s="3"/>
      <c r="F1046" s="3"/>
      <c r="G1046" s="3"/>
    </row>
    <row r="1047">
      <c r="A1047" s="4" t="s">
        <v>12780</v>
      </c>
      <c r="B1047" s="13" t="s">
        <v>43</v>
      </c>
      <c r="E1047" s="3"/>
      <c r="F1047" s="3"/>
      <c r="G1047" s="3"/>
    </row>
    <row r="1048">
      <c r="A1048" s="4" t="s">
        <v>12781</v>
      </c>
      <c r="B1048" s="13" t="s">
        <v>43</v>
      </c>
      <c r="E1048" s="3"/>
      <c r="F1048" s="3"/>
      <c r="G1048" s="3"/>
    </row>
    <row r="1049">
      <c r="A1049" s="4" t="s">
        <v>12782</v>
      </c>
      <c r="B1049" s="13" t="s">
        <v>43</v>
      </c>
      <c r="E1049" s="3"/>
      <c r="F1049" s="3"/>
      <c r="G1049" s="3"/>
    </row>
    <row r="1050">
      <c r="A1050" s="4" t="s">
        <v>12783</v>
      </c>
      <c r="B1050" s="13" t="s">
        <v>43</v>
      </c>
      <c r="E1050" s="3"/>
      <c r="F1050" s="3"/>
      <c r="G1050" s="3"/>
    </row>
    <row r="1051">
      <c r="A1051" s="4" t="s">
        <v>12784</v>
      </c>
      <c r="B1051" s="13" t="s">
        <v>43</v>
      </c>
      <c r="E1051" s="3"/>
      <c r="F1051" s="3"/>
      <c r="G1051" s="3"/>
    </row>
    <row r="1052">
      <c r="A1052" s="4" t="s">
        <v>12785</v>
      </c>
      <c r="B1052" s="13" t="s">
        <v>43</v>
      </c>
      <c r="E1052" s="3"/>
      <c r="F1052" s="3"/>
      <c r="G1052" s="3"/>
    </row>
    <row r="1053">
      <c r="A1053" s="4" t="s">
        <v>12786</v>
      </c>
      <c r="B1053" s="13" t="s">
        <v>43</v>
      </c>
      <c r="E1053" s="3"/>
      <c r="F1053" s="3"/>
      <c r="G1053" s="3"/>
    </row>
    <row r="1054">
      <c r="A1054" s="4" t="s">
        <v>12787</v>
      </c>
      <c r="B1054" s="13" t="s">
        <v>43</v>
      </c>
      <c r="E1054" s="3"/>
      <c r="F1054" s="3"/>
      <c r="G1054" s="3"/>
    </row>
    <row r="1055">
      <c r="A1055" s="4" t="s">
        <v>12788</v>
      </c>
      <c r="B1055" s="13" t="s">
        <v>43</v>
      </c>
      <c r="E1055" s="3"/>
      <c r="F1055" s="3"/>
      <c r="G1055" s="3"/>
    </row>
    <row r="1056">
      <c r="A1056" s="4" t="s">
        <v>12789</v>
      </c>
      <c r="B1056" s="13" t="s">
        <v>43</v>
      </c>
      <c r="E1056" s="3"/>
      <c r="F1056" s="3"/>
      <c r="G1056" s="3"/>
    </row>
    <row r="1057">
      <c r="A1057" s="4" t="s">
        <v>12790</v>
      </c>
      <c r="B1057" s="13" t="s">
        <v>43</v>
      </c>
      <c r="E1057" s="3"/>
      <c r="F1057" s="3"/>
      <c r="G1057" s="3"/>
    </row>
    <row r="1058">
      <c r="A1058" s="4" t="s">
        <v>12791</v>
      </c>
      <c r="B1058" s="13" t="s">
        <v>43</v>
      </c>
      <c r="E1058" s="3"/>
      <c r="F1058" s="3"/>
      <c r="G1058" s="3"/>
    </row>
    <row r="1059">
      <c r="A1059" s="4" t="s">
        <v>12792</v>
      </c>
      <c r="B1059" s="13" t="s">
        <v>43</v>
      </c>
      <c r="E1059" s="3"/>
      <c r="F1059" s="3"/>
      <c r="G1059" s="3"/>
    </row>
    <row r="1060">
      <c r="A1060" s="4" t="s">
        <v>12793</v>
      </c>
      <c r="B1060" s="13" t="s">
        <v>43</v>
      </c>
      <c r="E1060" s="3"/>
      <c r="F1060" s="3"/>
      <c r="G1060" s="3"/>
    </row>
    <row r="1061">
      <c r="A1061" s="4" t="s">
        <v>12794</v>
      </c>
      <c r="B1061" s="13" t="s">
        <v>43</v>
      </c>
      <c r="E1061" s="3"/>
      <c r="F1061" s="3"/>
      <c r="G1061" s="3"/>
    </row>
    <row r="1062">
      <c r="A1062" s="4" t="s">
        <v>12795</v>
      </c>
      <c r="B1062" s="13" t="s">
        <v>43</v>
      </c>
      <c r="E1062" s="3"/>
      <c r="F1062" s="3"/>
      <c r="G1062" s="3"/>
    </row>
    <row r="1063">
      <c r="A1063" s="4" t="s">
        <v>12796</v>
      </c>
      <c r="B1063" s="13" t="s">
        <v>43</v>
      </c>
      <c r="E1063" s="3"/>
      <c r="F1063" s="3"/>
      <c r="G1063" s="3"/>
    </row>
    <row r="1064">
      <c r="A1064" s="4" t="s">
        <v>12797</v>
      </c>
      <c r="B1064" s="13" t="s">
        <v>43</v>
      </c>
      <c r="E1064" s="3"/>
      <c r="F1064" s="3"/>
      <c r="G1064" s="3"/>
    </row>
    <row r="1065">
      <c r="A1065" s="4" t="s">
        <v>12798</v>
      </c>
      <c r="B1065" s="19" t="s">
        <v>48</v>
      </c>
      <c r="C1065" s="4">
        <v>1.0</v>
      </c>
      <c r="E1065" s="4">
        <v>2.0</v>
      </c>
      <c r="F1065" s="3"/>
      <c r="G1065" s="3"/>
      <c r="J1065" s="4" t="s">
        <v>1757</v>
      </c>
    </row>
    <row r="1066">
      <c r="A1066" s="4" t="s">
        <v>12799</v>
      </c>
      <c r="B1066" s="19" t="s">
        <v>48</v>
      </c>
      <c r="C1066" s="4">
        <v>1.0</v>
      </c>
      <c r="E1066" s="4">
        <v>2.0</v>
      </c>
      <c r="F1066" s="3"/>
      <c r="G1066" s="3"/>
      <c r="J1066" s="4" t="s">
        <v>1757</v>
      </c>
    </row>
    <row r="1067">
      <c r="A1067" s="4" t="s">
        <v>12800</v>
      </c>
      <c r="B1067" s="19" t="s">
        <v>48</v>
      </c>
      <c r="C1067" s="4">
        <v>1.0</v>
      </c>
      <c r="E1067" s="4">
        <v>2.0</v>
      </c>
      <c r="F1067" s="3"/>
      <c r="G1067" s="3"/>
      <c r="J1067" s="4" t="s">
        <v>1757</v>
      </c>
    </row>
    <row r="1068">
      <c r="A1068" s="4" t="s">
        <v>12801</v>
      </c>
      <c r="B1068" s="19" t="s">
        <v>48</v>
      </c>
      <c r="C1068" s="4">
        <v>1.0</v>
      </c>
      <c r="E1068" s="4">
        <v>2.0</v>
      </c>
      <c r="F1068" s="3"/>
      <c r="G1068" s="3"/>
      <c r="J1068" s="4" t="s">
        <v>1757</v>
      </c>
    </row>
    <row r="1069">
      <c r="A1069" s="4" t="s">
        <v>12802</v>
      </c>
      <c r="B1069" s="19" t="s">
        <v>48</v>
      </c>
      <c r="C1069" s="4">
        <v>1.0</v>
      </c>
      <c r="E1069" s="4">
        <v>2.0</v>
      </c>
      <c r="F1069" s="3"/>
      <c r="G1069" s="3"/>
    </row>
    <row r="1070">
      <c r="A1070" s="4" t="s">
        <v>12803</v>
      </c>
      <c r="B1070" s="19" t="s">
        <v>48</v>
      </c>
      <c r="C1070" s="4">
        <v>1.0</v>
      </c>
      <c r="E1070" s="4">
        <v>2.0</v>
      </c>
      <c r="F1070" s="3"/>
      <c r="G1070" s="3"/>
    </row>
    <row r="1071">
      <c r="A1071" s="4" t="s">
        <v>12804</v>
      </c>
      <c r="B1071" s="19" t="s">
        <v>43</v>
      </c>
      <c r="E1071" s="3"/>
      <c r="F1071" s="3"/>
      <c r="G1071" s="3"/>
    </row>
    <row r="1072">
      <c r="A1072" s="4" t="s">
        <v>12805</v>
      </c>
      <c r="B1072" s="19" t="s">
        <v>43</v>
      </c>
      <c r="E1072" s="3"/>
      <c r="F1072" s="3"/>
      <c r="G1072" s="3"/>
    </row>
    <row r="1073">
      <c r="A1073" s="4" t="s">
        <v>12806</v>
      </c>
      <c r="B1073" s="19" t="s">
        <v>43</v>
      </c>
      <c r="E1073" s="3"/>
      <c r="F1073" s="3"/>
      <c r="G1073" s="3"/>
    </row>
    <row r="1074">
      <c r="A1074" s="4" t="s">
        <v>12807</v>
      </c>
      <c r="B1074" s="19" t="s">
        <v>43</v>
      </c>
      <c r="E1074" s="3"/>
      <c r="F1074" s="3"/>
      <c r="G1074" s="3"/>
    </row>
    <row r="1075">
      <c r="A1075" s="4" t="s">
        <v>12808</v>
      </c>
      <c r="B1075" s="19" t="s">
        <v>43</v>
      </c>
      <c r="E1075" s="3"/>
      <c r="F1075" s="3"/>
      <c r="G1075" s="3"/>
    </row>
    <row r="1076">
      <c r="A1076" s="4" t="s">
        <v>12809</v>
      </c>
      <c r="B1076" s="19" t="s">
        <v>43</v>
      </c>
      <c r="E1076" s="3"/>
      <c r="F1076" s="3"/>
      <c r="G1076" s="3"/>
    </row>
    <row r="1077">
      <c r="A1077" s="4" t="s">
        <v>12810</v>
      </c>
      <c r="B1077" s="19" t="s">
        <v>43</v>
      </c>
      <c r="E1077" s="3"/>
      <c r="F1077" s="3"/>
      <c r="G1077" s="3"/>
    </row>
    <row r="1078">
      <c r="A1078" s="4" t="s">
        <v>12811</v>
      </c>
      <c r="B1078" s="19" t="s">
        <v>43</v>
      </c>
      <c r="E1078" s="3"/>
      <c r="F1078" s="3"/>
      <c r="G1078" s="3"/>
    </row>
    <row r="1079">
      <c r="A1079" s="4" t="s">
        <v>12812</v>
      </c>
      <c r="B1079" s="19" t="s">
        <v>43</v>
      </c>
      <c r="E1079" s="3"/>
      <c r="F1079" s="3"/>
      <c r="G1079" s="3"/>
    </row>
    <row r="1080">
      <c r="A1080" s="4" t="s">
        <v>12813</v>
      </c>
      <c r="B1080" s="19" t="s">
        <v>43</v>
      </c>
      <c r="E1080" s="3"/>
      <c r="F1080" s="3"/>
      <c r="G1080" s="3"/>
    </row>
    <row r="1081">
      <c r="A1081" s="4" t="s">
        <v>12814</v>
      </c>
      <c r="B1081" s="19" t="s">
        <v>43</v>
      </c>
      <c r="E1081" s="3"/>
      <c r="F1081" s="3"/>
      <c r="G1081" s="3"/>
    </row>
    <row r="1082">
      <c r="A1082" s="4" t="s">
        <v>12815</v>
      </c>
      <c r="B1082" s="19" t="s">
        <v>43</v>
      </c>
      <c r="E1082" s="3"/>
      <c r="F1082" s="3"/>
      <c r="G1082" s="3"/>
    </row>
    <row r="1083">
      <c r="A1083" s="4" t="s">
        <v>12816</v>
      </c>
      <c r="B1083" s="19" t="s">
        <v>43</v>
      </c>
      <c r="E1083" s="3"/>
      <c r="F1083" s="3"/>
      <c r="G1083" s="3"/>
    </row>
    <row r="1084">
      <c r="A1084" s="4" t="s">
        <v>12817</v>
      </c>
      <c r="B1084" s="19" t="s">
        <v>43</v>
      </c>
      <c r="E1084" s="3"/>
      <c r="F1084" s="3"/>
      <c r="G1084" s="3"/>
    </row>
    <row r="1085">
      <c r="A1085" s="4" t="s">
        <v>12818</v>
      </c>
      <c r="B1085" s="19" t="s">
        <v>48</v>
      </c>
      <c r="C1085" s="4">
        <v>1.0</v>
      </c>
      <c r="E1085" s="4">
        <v>2.0</v>
      </c>
      <c r="F1085" s="3"/>
      <c r="G1085" s="3"/>
    </row>
    <row r="1086">
      <c r="A1086" s="4" t="s">
        <v>12819</v>
      </c>
      <c r="B1086" s="19" t="s">
        <v>48</v>
      </c>
      <c r="C1086" s="4">
        <v>1.0</v>
      </c>
      <c r="E1086" s="4">
        <v>2.0</v>
      </c>
      <c r="F1086" s="3"/>
      <c r="G1086" s="3"/>
    </row>
    <row r="1087">
      <c r="A1087" s="4" t="s">
        <v>12820</v>
      </c>
      <c r="B1087" s="19" t="s">
        <v>48</v>
      </c>
      <c r="C1087" s="4">
        <v>1.0</v>
      </c>
      <c r="E1087" s="4">
        <v>2.0</v>
      </c>
      <c r="F1087" s="3"/>
      <c r="G1087" s="3"/>
    </row>
    <row r="1088">
      <c r="A1088" s="4" t="s">
        <v>12821</v>
      </c>
      <c r="B1088" s="19" t="s">
        <v>48</v>
      </c>
      <c r="C1088" s="4">
        <v>1.0</v>
      </c>
      <c r="E1088" s="4">
        <v>2.0</v>
      </c>
      <c r="F1088" s="3"/>
      <c r="G1088" s="3"/>
    </row>
    <row r="1089">
      <c r="A1089" s="4" t="s">
        <v>12822</v>
      </c>
      <c r="B1089" s="19" t="s">
        <v>48</v>
      </c>
      <c r="C1089" s="4">
        <v>1.0</v>
      </c>
      <c r="E1089" s="4">
        <v>2.0</v>
      </c>
      <c r="F1089" s="3"/>
      <c r="G1089" s="3"/>
    </row>
    <row r="1090">
      <c r="A1090" s="4" t="s">
        <v>12823</v>
      </c>
      <c r="B1090" s="19" t="s">
        <v>48</v>
      </c>
      <c r="C1090" s="4">
        <v>1.0</v>
      </c>
      <c r="E1090" s="4">
        <v>2.0</v>
      </c>
      <c r="F1090" s="3"/>
      <c r="G1090" s="3"/>
    </row>
    <row r="1091">
      <c r="A1091" s="4" t="s">
        <v>12824</v>
      </c>
      <c r="B1091" s="19" t="s">
        <v>48</v>
      </c>
      <c r="C1091" s="4">
        <v>1.0</v>
      </c>
      <c r="E1091" s="4">
        <v>2.0</v>
      </c>
      <c r="F1091" s="3"/>
      <c r="G1091" s="3"/>
    </row>
    <row r="1092">
      <c r="A1092" s="4" t="s">
        <v>12825</v>
      </c>
      <c r="B1092" s="19" t="s">
        <v>43</v>
      </c>
      <c r="E1092" s="3"/>
      <c r="F1092" s="3"/>
      <c r="G1092" s="3"/>
    </row>
    <row r="1093">
      <c r="A1093" s="4" t="s">
        <v>12826</v>
      </c>
      <c r="B1093" s="19" t="s">
        <v>43</v>
      </c>
      <c r="E1093" s="3"/>
      <c r="F1093" s="3"/>
      <c r="G1093" s="3"/>
    </row>
    <row r="1094">
      <c r="A1094" s="4" t="s">
        <v>12827</v>
      </c>
      <c r="B1094" s="19" t="s">
        <v>43</v>
      </c>
      <c r="E1094" s="3"/>
      <c r="F1094" s="3"/>
      <c r="G1094" s="3"/>
    </row>
    <row r="1095">
      <c r="A1095" s="4" t="s">
        <v>12828</v>
      </c>
      <c r="B1095" s="19" t="s">
        <v>43</v>
      </c>
      <c r="E1095" s="3"/>
      <c r="F1095" s="3"/>
      <c r="G1095" s="3"/>
    </row>
    <row r="1096">
      <c r="A1096" s="4" t="s">
        <v>12829</v>
      </c>
      <c r="B1096" s="27" t="s">
        <v>4536</v>
      </c>
    </row>
    <row r="1097">
      <c r="A1097" s="4" t="s">
        <v>12830</v>
      </c>
      <c r="B1097" s="27" t="s">
        <v>4536</v>
      </c>
    </row>
    <row r="1098">
      <c r="A1098" s="4" t="s">
        <v>12831</v>
      </c>
      <c r="B1098" s="27" t="s">
        <v>4536</v>
      </c>
    </row>
    <row r="1099">
      <c r="A1099" s="4" t="s">
        <v>12832</v>
      </c>
      <c r="B1099" s="27" t="s">
        <v>4536</v>
      </c>
    </row>
    <row r="1100">
      <c r="A1100" s="4" t="s">
        <v>12833</v>
      </c>
      <c r="B1100" s="27" t="s">
        <v>4536</v>
      </c>
    </row>
    <row r="1101">
      <c r="A1101" s="4" t="s">
        <v>12834</v>
      </c>
      <c r="B1101" s="27" t="s">
        <v>4536</v>
      </c>
    </row>
    <row r="1102">
      <c r="A1102" s="4"/>
      <c r="E1102" s="3"/>
      <c r="F1102" s="3"/>
      <c r="G1102" s="3"/>
    </row>
    <row r="1103">
      <c r="A1103" s="4"/>
      <c r="E1103" s="3"/>
      <c r="F1103" s="3"/>
      <c r="G1103" s="3"/>
    </row>
    <row r="1104">
      <c r="A1104" s="4"/>
      <c r="E1104" s="3"/>
      <c r="F1104" s="3"/>
      <c r="G1104" s="3"/>
    </row>
    <row r="1105">
      <c r="A1105" s="4"/>
      <c r="E1105" s="3"/>
      <c r="F1105" s="3"/>
      <c r="G1105" s="3"/>
    </row>
    <row r="1106">
      <c r="A1106" s="4"/>
      <c r="E1106" s="3"/>
      <c r="F1106" s="3"/>
      <c r="G1106" s="3"/>
    </row>
    <row r="1107">
      <c r="A1107" s="4"/>
      <c r="E1107" s="3"/>
      <c r="F1107" s="3"/>
      <c r="G1107" s="3"/>
    </row>
    <row r="1108">
      <c r="A1108" s="4"/>
      <c r="E1108" s="3"/>
      <c r="F1108" s="3"/>
      <c r="G1108" s="3"/>
    </row>
    <row r="1109">
      <c r="A1109" s="4"/>
      <c r="E1109" s="3"/>
      <c r="F1109" s="3"/>
      <c r="G1109" s="3"/>
    </row>
    <row r="1110">
      <c r="A1110" s="4"/>
      <c r="E1110" s="3"/>
      <c r="F1110" s="3"/>
      <c r="G1110" s="3"/>
    </row>
    <row r="1111">
      <c r="A1111" s="4"/>
      <c r="E1111" s="3"/>
      <c r="F1111" s="3"/>
      <c r="G1111" s="3"/>
    </row>
  </sheetData>
  <mergeCells count="6">
    <mergeCell ref="B1096:I1096"/>
    <mergeCell ref="B1097:I1097"/>
    <mergeCell ref="B1098:I1098"/>
    <mergeCell ref="B1099:I1099"/>
    <mergeCell ref="B1100:I1100"/>
    <mergeCell ref="B1101:I1101"/>
  </mergeCells>
  <conditionalFormatting sqref="I4:I999 H13:H14">
    <cfRule type="cellIs" dxfId="2" priority="1" operator="equal">
      <formula>15</formula>
    </cfRule>
  </conditionalFormatting>
  <conditionalFormatting sqref="E4:G1095 H4:I999 J12:J13 E1102:G1111">
    <cfRule type="containsBlanks" dxfId="6" priority="2">
      <formula>LEN(TRIM(E4))=0</formula>
    </cfRule>
  </conditionalFormatting>
  <conditionalFormatting sqref="I4:I999 H13:H14">
    <cfRule type="cellIs" dxfId="1" priority="3" operator="notEqual">
      <formula>15</formula>
    </cfRule>
  </conditionalFormatting>
  <conditionalFormatting sqref="H4:H999 G13:G14">
    <cfRule type="cellIs" dxfId="2" priority="4" operator="equal">
      <formula>13</formula>
    </cfRule>
  </conditionalFormatting>
  <conditionalFormatting sqref="H4:H999 G13:G14">
    <cfRule type="cellIs" dxfId="1" priority="5" operator="notEqual">
      <formula>13</formula>
    </cfRule>
  </conditionalFormatting>
  <conditionalFormatting sqref="G4:G1095 F13:F14 G1102:G1111">
    <cfRule type="cellIs" dxfId="2" priority="6" operator="equal">
      <formula>10</formula>
    </cfRule>
  </conditionalFormatting>
  <conditionalFormatting sqref="G4:G1095 F13:F14 G1102:G1111">
    <cfRule type="cellIs" dxfId="1" priority="7" operator="notEqual">
      <formula>10</formula>
    </cfRule>
  </conditionalFormatting>
  <conditionalFormatting sqref="F4:F1095 E13:E14 F1102:F1111">
    <cfRule type="cellIs" dxfId="2" priority="8" operator="equal">
      <formula>9</formula>
    </cfRule>
  </conditionalFormatting>
  <conditionalFormatting sqref="F4:F1095 E13:E14 F1102:F1111">
    <cfRule type="cellIs" dxfId="1" priority="9" operator="notEqual">
      <formula>9</formula>
    </cfRule>
  </conditionalFormatting>
  <conditionalFormatting sqref="E4:E1095 J12:J13 E1102:E1111">
    <cfRule type="cellIs" dxfId="2" priority="10" operator="equal">
      <formula>2</formula>
    </cfRule>
  </conditionalFormatting>
  <conditionalFormatting sqref="E4:E1095 J12:J13 E1102:E1111">
    <cfRule type="cellIs" dxfId="7" priority="11" operator="notEqual">
      <formula>2</formula>
    </cfRule>
  </conditionalFormatting>
  <conditionalFormatting sqref="D4:D999 J12:J13">
    <cfRule type="cellIs" dxfId="2" priority="12" operator="equal">
      <formula>1</formula>
    </cfRule>
  </conditionalFormatting>
  <conditionalFormatting sqref="D4:D999 J12:J13">
    <cfRule type="containsBlanks" dxfId="3" priority="13">
      <formula>LEN(TRIM(D4))=0</formula>
    </cfRule>
  </conditionalFormatting>
  <conditionalFormatting sqref="D4:D999 J12:J13">
    <cfRule type="cellIs" dxfId="1" priority="14" operator="notEqual">
      <formula>1</formula>
    </cfRule>
  </conditionalFormatting>
  <conditionalFormatting sqref="B4:B1095">
    <cfRule type="cellIs" dxfId="0" priority="15" operator="equal">
      <formula>"YES"</formula>
    </cfRule>
  </conditionalFormatting>
  <conditionalFormatting sqref="B4:B1095">
    <cfRule type="cellIs" dxfId="1" priority="16" operator="equal">
      <formula>"NO"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2.75"/>
    <col customWidth="1" min="4" max="4" width="7.25"/>
    <col customWidth="1" min="5" max="5" width="5.88"/>
    <col customWidth="1" min="6" max="6" width="6.63"/>
    <col customWidth="1" min="7" max="7" width="9.63"/>
    <col customWidth="1" min="8" max="8" width="7.63"/>
    <col customWidth="1" min="9" max="9" width="9.63"/>
    <col customWidth="1" min="10" max="10" width="6.75"/>
    <col customWidth="1" min="11" max="11" width="10.38"/>
    <col customWidth="1" min="12" max="12" width="10.5"/>
    <col customWidth="1" min="13" max="13" width="12.38"/>
    <col customWidth="1" min="14" max="14" width="7.88"/>
    <col customWidth="1" min="15" max="15" width="3.75"/>
    <col customWidth="1" min="16" max="16" width="8.13"/>
    <col customWidth="1" min="17" max="17" width="3.75"/>
    <col customWidth="1" min="18" max="18" width="8.13"/>
    <col customWidth="1" min="19" max="19" width="3.75"/>
    <col customWidth="1" min="20" max="20" width="8.13"/>
    <col customWidth="1" min="21" max="21" width="4.25"/>
    <col customWidth="1" min="22" max="24" width="3.38"/>
    <col customWidth="1" min="25" max="29" width="4.25"/>
  </cols>
  <sheetData>
    <row r="1">
      <c r="A1" s="5" t="s">
        <v>1289</v>
      </c>
      <c r="B1" s="26" t="s">
        <v>9</v>
      </c>
      <c r="C1" s="23" t="s">
        <v>1290</v>
      </c>
      <c r="D1" s="6" t="s">
        <v>11</v>
      </c>
      <c r="E1" s="23" t="s">
        <v>1291</v>
      </c>
      <c r="F1" s="6" t="s">
        <v>13</v>
      </c>
      <c r="G1" s="23" t="s">
        <v>1292</v>
      </c>
      <c r="H1" s="6" t="s">
        <v>15</v>
      </c>
      <c r="I1" s="8">
        <v>45560.0</v>
      </c>
      <c r="J1" s="6" t="s">
        <v>16</v>
      </c>
      <c r="K1" s="9" t="s">
        <v>12835</v>
      </c>
      <c r="L1" s="6" t="s">
        <v>18</v>
      </c>
      <c r="M1" s="9" t="s">
        <v>12836</v>
      </c>
      <c r="N1" s="6" t="s">
        <v>20</v>
      </c>
      <c r="O1" s="9">
        <f>COUNTA(A4:A5373)-COUNTIF(B:B,"TRAVEL BACK")-COUNTIF(B:B,"COLOR SAMPLE")-COUNTIF(B:B,"TRASH")</f>
        <v>634</v>
      </c>
    </row>
    <row r="2">
      <c r="A2" s="10" t="s">
        <v>21</v>
      </c>
      <c r="B2" s="10" t="s">
        <v>22</v>
      </c>
      <c r="C2" s="10">
        <f>COUNTIF(B4:B7868,"YES")</f>
        <v>282</v>
      </c>
      <c r="D2" s="10" t="s">
        <v>23</v>
      </c>
      <c r="E2" s="10">
        <f>COUNTIF(C4:C7868,"1")</f>
        <v>95</v>
      </c>
      <c r="F2" s="10" t="s">
        <v>24</v>
      </c>
      <c r="G2" s="10">
        <f>COUNTIF(C4:C7868,"2")</f>
        <v>90</v>
      </c>
      <c r="H2" s="10" t="s">
        <v>25</v>
      </c>
      <c r="I2" s="11">
        <f>COUNTIF(C4:C7868,"3")</f>
        <v>46</v>
      </c>
      <c r="J2" s="10" t="s">
        <v>26</v>
      </c>
      <c r="K2" s="12">
        <f>COUNTIF(C4:C7868,"4")</f>
        <v>25</v>
      </c>
      <c r="L2" s="10" t="s">
        <v>27</v>
      </c>
      <c r="M2" s="12">
        <f>COUNTIF(C4:C7868,"5")</f>
        <v>26</v>
      </c>
      <c r="N2" s="11" t="s">
        <v>1294</v>
      </c>
      <c r="O2" s="12">
        <f>COUNTIF(C4:C7868,"6")</f>
        <v>0</v>
      </c>
      <c r="P2" s="10" t="s">
        <v>28</v>
      </c>
      <c r="Q2" s="12">
        <f>G2+I2+K2+M2+O2</f>
        <v>187</v>
      </c>
    </row>
    <row r="3">
      <c r="A3" s="1" t="s">
        <v>29</v>
      </c>
      <c r="B3" s="1" t="s">
        <v>30</v>
      </c>
      <c r="C3" s="1" t="s">
        <v>31</v>
      </c>
      <c r="D3" s="1" t="s">
        <v>1295</v>
      </c>
      <c r="E3" s="1" t="s">
        <v>1296</v>
      </c>
      <c r="F3" s="1" t="s">
        <v>1297</v>
      </c>
      <c r="G3" s="1" t="s">
        <v>1298</v>
      </c>
      <c r="H3" s="1" t="s">
        <v>1299</v>
      </c>
      <c r="I3" s="1" t="s">
        <v>1300</v>
      </c>
      <c r="J3" s="11" t="s">
        <v>1301</v>
      </c>
      <c r="K3" s="12">
        <f>COUNTIF(D4:J7868,"1")</f>
        <v>67</v>
      </c>
      <c r="L3" s="11" t="s">
        <v>1302</v>
      </c>
      <c r="M3" s="12">
        <f>COUNTIF(D4:J7868,"2")</f>
        <v>118</v>
      </c>
      <c r="N3" s="11" t="s">
        <v>1303</v>
      </c>
      <c r="O3" s="12">
        <f>COUNTIF(D4:J7868,"9")</f>
        <v>135</v>
      </c>
      <c r="P3" s="11" t="s">
        <v>1304</v>
      </c>
      <c r="Q3" s="12">
        <f>COUNTIF(D4:J7868,"10")</f>
        <v>75</v>
      </c>
      <c r="R3" s="11" t="s">
        <v>1305</v>
      </c>
      <c r="S3" s="12">
        <f>COUNTIF(D4:J7868,"13")</f>
        <v>159</v>
      </c>
      <c r="T3" s="11" t="s">
        <v>1306</v>
      </c>
      <c r="U3" s="12">
        <f>COUNTIF(D4:J7868,"15")</f>
        <v>86</v>
      </c>
    </row>
    <row r="4">
      <c r="A4" s="4" t="s">
        <v>12837</v>
      </c>
      <c r="B4" s="27" t="s">
        <v>4536</v>
      </c>
      <c r="L4" s="4" t="s">
        <v>44</v>
      </c>
    </row>
    <row r="5">
      <c r="A5" s="4" t="s">
        <v>12838</v>
      </c>
      <c r="B5" s="27" t="s">
        <v>4536</v>
      </c>
      <c r="L5" s="14" t="str">
        <f t="array" ref="L5:Q32">UNIQUE(D4:I4979)</f>
        <v/>
      </c>
      <c r="M5" s="3"/>
      <c r="N5" s="3"/>
      <c r="O5" s="3"/>
      <c r="P5" s="3"/>
      <c r="Q5" s="3"/>
      <c r="V5" s="4" t="s">
        <v>1295</v>
      </c>
      <c r="W5" s="4" t="s">
        <v>1296</v>
      </c>
      <c r="X5" s="4" t="s">
        <v>1297</v>
      </c>
      <c r="Y5" s="4" t="s">
        <v>1298</v>
      </c>
      <c r="Z5" s="4" t="s">
        <v>1299</v>
      </c>
      <c r="AA5" s="4" t="s">
        <v>1300</v>
      </c>
      <c r="AB5" s="4"/>
      <c r="AC5" s="4"/>
    </row>
    <row r="6">
      <c r="A6" s="4" t="s">
        <v>12839</v>
      </c>
      <c r="B6" s="27" t="s">
        <v>4536</v>
      </c>
      <c r="L6" s="3"/>
      <c r="M6" s="3"/>
      <c r="N6" s="3"/>
      <c r="O6" s="3">
        <v>10.0</v>
      </c>
      <c r="P6" s="3"/>
      <c r="Q6" s="3"/>
      <c r="R6" s="16">
        <f t="array" ref="R6">COUNTIF($D$4:$D$3339&amp;"|"&amp;$E$4:$E$3339&amp;"|"&amp;$F$4:$F$3339&amp;"|"&amp;$G$4:$G$3339&amp;"|"&amp;$H$4:$H$3339&amp;"|"&amp;$I$4:$I$3339,$L6&amp;"|"&amp;$M6&amp;"|"&amp;$N6&amp;"|"&amp;$O6&amp;"|"&amp;$P6&amp;"|"&amp;$Q6)</f>
        <v>49</v>
      </c>
      <c r="U6" s="4" t="s">
        <v>1295</v>
      </c>
      <c r="V6" s="17"/>
      <c r="W6" s="3">
        <f t="array" ref="W6">SUM((MMULT(--(L5:Q25=1),TRANSPOSE(COLUMN(L5:Q5)^0))&gt;0)*(MMULT(--(L5:Q25=2),TRANSPOSE(COLUMN(L5:Q5)^0))&gt;0)*R5:R25)</f>
        <v>31</v>
      </c>
      <c r="X6" s="3">
        <f t="array" ref="X6">SUM((MMULT(--(L5:Q25=1),TRANSPOSE(COLUMN(L5:Q5)^0))&gt;0)*(MMULT(--(L5:Q25=9),TRANSPOSE(COLUMN(L5:Q5)^0))&gt;0)*R5:R25)</f>
        <v>44</v>
      </c>
      <c r="Y6" s="3">
        <f t="array" ref="Y6">SUM((MMULT(--(L5:Q25=1),TRANSPOSE(COLUMN(L5:Q5)^0))&gt;0)*(MMULT(--(L5:Q25=10),TRANSPOSE(COLUMN(L5:Q5)^0))&gt;0)*R5:R25)</f>
        <v>0</v>
      </c>
      <c r="Z6" s="3">
        <f t="array" ref="Z6">SUM((MMULT(--(L5:Q25=1),TRANSPOSE(COLUMN(L5:Q5)^0))&gt;0)*(MMULT(--(L5:Q25=13),TRANSPOSE(COLUMN(L5:Q5)^0))&gt;0)*R5:R25)</f>
        <v>42</v>
      </c>
      <c r="AA6" s="3">
        <f t="array" ref="AA6">SUM((MMULT(--(L5:Q25=1),TRANSPOSE(COLUMN(L5:Q5)^0))&gt;0)*(MMULT(--(L5:Q25=15),TRANSPOSE(COLUMN(L5:Q5)^0))&gt;0)*R5:R25)</f>
        <v>46</v>
      </c>
    </row>
    <row r="7">
      <c r="A7" s="4" t="s">
        <v>12840</v>
      </c>
      <c r="B7" s="27" t="s">
        <v>4536</v>
      </c>
      <c r="L7" s="3"/>
      <c r="M7" s="3"/>
      <c r="N7" s="3">
        <v>9.0</v>
      </c>
      <c r="O7" s="3">
        <v>10.0</v>
      </c>
      <c r="P7" s="3"/>
      <c r="Q7" s="3"/>
      <c r="R7" s="16">
        <f t="array" ref="R7">COUNTIF($D$4:$D$3339&amp;"|"&amp;$E$4:$E$3339&amp;"|"&amp;$F$4:$F$3339&amp;"|"&amp;$G$4:$G$3339&amp;"|"&amp;$H$4:$H$3339&amp;"|"&amp;$I$4:$I$3339,$L7&amp;"|"&amp;$M7&amp;"|"&amp;$N7&amp;"|"&amp;$O7&amp;"|"&amp;$P7&amp;"|"&amp;$Q7)</f>
        <v>12</v>
      </c>
      <c r="U7" s="4" t="s">
        <v>1296</v>
      </c>
      <c r="V7" s="17"/>
      <c r="W7" s="17"/>
      <c r="X7" s="3">
        <f t="array" ref="X7">SUM((MMULT(--(L5:Q25=2),TRANSPOSE(COLUMN(L5:Q5)^0))&gt;0)*(MMULT(--(L5:Q25=9),TRANSPOSE(COLUMN(L5:Q5)^0))&gt;0)*R5:R25)</f>
        <v>60</v>
      </c>
      <c r="Y7" s="3">
        <f t="array" ref="Y7">SUM((MMULT(--(L5:Q25=2),TRANSPOSE(COLUMN(L5:Q5)^0))&gt;0)*(MMULT(--(L5:Q25=10),TRANSPOSE(COLUMN(L5:Q5)^0))&gt;0)*R5:R25)</f>
        <v>0</v>
      </c>
      <c r="Z7" s="3">
        <f t="array" ref="Z7">SUM((MMULT(--(L5:Q25=2),TRANSPOSE(COLUMN(L5:Q5)^0))&gt;0)*(MMULT(--(L5:Q25=13),TRANSPOSE(COLUMN(L5:Q5)^0))&gt;0)*R5:R25)</f>
        <v>102</v>
      </c>
      <c r="AA7" s="3">
        <f t="array" ref="AA7">SUM((MMULT(--(L5:Q25=2),TRANSPOSE(COLUMN(L5:Q5)^0))&gt;0)*(MMULT(--(L5:Q25=15),TRANSPOSE(COLUMN(L5:Q5)^0))&gt;0)*R5:R25)</f>
        <v>38</v>
      </c>
    </row>
    <row r="8">
      <c r="A8" s="4" t="s">
        <v>12841</v>
      </c>
      <c r="B8" s="27" t="s">
        <v>4536</v>
      </c>
      <c r="L8" s="3"/>
      <c r="M8" s="3"/>
      <c r="N8" s="3">
        <v>9.0</v>
      </c>
      <c r="O8" s="3"/>
      <c r="P8" s="3"/>
      <c r="Q8" s="3">
        <v>15.0</v>
      </c>
      <c r="R8" s="16">
        <f t="array" ref="R8">COUNTIF($D$4:$D$3339&amp;"|"&amp;$E$4:$E$3339&amp;"|"&amp;$F$4:$F$3339&amp;"|"&amp;$G$4:$G$3339&amp;"|"&amp;$H$4:$H$3339&amp;"|"&amp;$I$4:$I$3339,$L8&amp;"|"&amp;$M8&amp;"|"&amp;$N8&amp;"|"&amp;$O8&amp;"|"&amp;$P8&amp;"|"&amp;$Q8)</f>
        <v>3</v>
      </c>
      <c r="U8" s="4" t="s">
        <v>1297</v>
      </c>
      <c r="V8" s="17"/>
      <c r="W8" s="17"/>
      <c r="X8" s="17"/>
      <c r="Y8" s="3">
        <f t="array" ref="Y8">SUM((MMULT(--(L5:Q25=9),TRANSPOSE(COLUMN(L5:Q5)^0))&gt;0)*(MMULT(--(L5:Q25=10),TRANSPOSE(COLUMN(L5:Q5)^0))&gt;0)*R5:R25)</f>
        <v>25</v>
      </c>
      <c r="Z8" s="3">
        <f t="array" ref="Z8">SUM((MMULT(--(L5:Q25=9),TRANSPOSE(COLUMN(L5:Q5)^0))&gt;0)*(MMULT(--(L5:Q25=13),TRANSPOSE(COLUMN(L5:Q5)^0))&gt;0)*R5:R25)</f>
        <v>93</v>
      </c>
      <c r="AA8" s="3">
        <f t="array" ref="AA8">SUM((MMULT(--(L5:Q25=9),TRANSPOSE(COLUMN(L5:Q5)^0))&gt;0)*(MMULT(--(L5:Q25=15),TRANSPOSE(COLUMN(L5:Q5)^0))&gt;0)*R5:R25)</f>
        <v>65</v>
      </c>
    </row>
    <row r="9">
      <c r="A9" s="4" t="s">
        <v>12842</v>
      </c>
      <c r="B9" s="27" t="s">
        <v>4536</v>
      </c>
      <c r="L9" s="3"/>
      <c r="M9" s="3"/>
      <c r="N9" s="3">
        <v>9.0</v>
      </c>
      <c r="O9" s="3">
        <v>10.0</v>
      </c>
      <c r="P9" s="3"/>
      <c r="Q9" s="3">
        <v>15.0</v>
      </c>
      <c r="R9" s="16">
        <f t="array" ref="R9">COUNTIF($D$4:$D$3339&amp;"|"&amp;$E$4:$E$3339&amp;"|"&amp;$F$4:$F$3339&amp;"|"&amp;$G$4:$G$3339&amp;"|"&amp;$H$4:$H$3339&amp;"|"&amp;$I$4:$I$3339,$L9&amp;"|"&amp;$M9&amp;"|"&amp;$N9&amp;"|"&amp;$O9&amp;"|"&amp;$P9&amp;"|"&amp;$Q9)</f>
        <v>11</v>
      </c>
      <c r="U9" s="4" t="s">
        <v>1298</v>
      </c>
      <c r="V9" s="17"/>
      <c r="W9" s="17"/>
      <c r="X9" s="17"/>
      <c r="Y9" s="17"/>
      <c r="Z9" s="3">
        <f t="array" ref="Z9">SUM((MMULT(--(L5:Q25=10),TRANSPOSE(COLUMN(L5:Q5)^0))&gt;0)*(MMULT(--(L5:Q25=13),TRANSPOSE(COLUMN(L5:Q5)^0))&gt;0)*R5:R25)</f>
        <v>2</v>
      </c>
      <c r="AA9" s="3">
        <f t="array" ref="AA9">SUM((MMULT(--(L5:Q25=10),TRANSPOSE(COLUMN(L5:Q5)^0))&gt;0)*(MMULT(--(L5:Q25=15),TRANSPOSE(COLUMN(L5:Q5)^0))&gt;0)*R5:R25)</f>
        <v>13</v>
      </c>
    </row>
    <row r="10">
      <c r="A10" s="4" t="s">
        <v>12843</v>
      </c>
      <c r="B10" s="27" t="s">
        <v>4536</v>
      </c>
      <c r="L10" s="3"/>
      <c r="M10" s="3"/>
      <c r="N10" s="3">
        <v>9.0</v>
      </c>
      <c r="O10" s="3">
        <v>10.0</v>
      </c>
      <c r="P10" s="3">
        <v>13.0</v>
      </c>
      <c r="Q10" s="3">
        <v>15.0</v>
      </c>
      <c r="R10" s="16">
        <f t="array" ref="R10">COUNTIF($D$4:$D$3339&amp;"|"&amp;$E$4:$E$3339&amp;"|"&amp;$F$4:$F$3339&amp;"|"&amp;$G$4:$G$3339&amp;"|"&amp;$H$4:$H$3339&amp;"|"&amp;$I$4:$I$3339,$L10&amp;"|"&amp;$M10&amp;"|"&amp;$N10&amp;"|"&amp;$O10&amp;"|"&amp;$P10&amp;"|"&amp;$Q10)</f>
        <v>2</v>
      </c>
      <c r="U10" s="4" t="s">
        <v>1299</v>
      </c>
      <c r="V10" s="17"/>
      <c r="W10" s="17"/>
      <c r="X10" s="17"/>
      <c r="Y10" s="17"/>
      <c r="Z10" s="17"/>
      <c r="AA10" s="3">
        <f t="array" ref="AA10">SUM((MMULT(--(L5:Q25=13),TRANSPOSE(COLUMN(L5:Q5)^0))&gt;0)*(MMULT(--(L5:Q25=15),TRANSPOSE(COLUMN(L5:Q5)^0))&gt;0)*R5:R25)</f>
        <v>50</v>
      </c>
    </row>
    <row r="11">
      <c r="A11" s="4" t="s">
        <v>12844</v>
      </c>
      <c r="B11" s="27" t="s">
        <v>4536</v>
      </c>
      <c r="L11" s="3"/>
      <c r="M11" s="3"/>
      <c r="N11" s="3">
        <v>9.0</v>
      </c>
      <c r="O11" s="3"/>
      <c r="P11" s="3">
        <v>13.0</v>
      </c>
      <c r="Q11" s="3">
        <v>15.0</v>
      </c>
      <c r="R11" s="16">
        <f t="array" ref="R11">COUNTIF($D$4:$D$3339&amp;"|"&amp;$E$4:$E$3339&amp;"|"&amp;$F$4:$F$3339&amp;"|"&amp;$G$4:$G$3339&amp;"|"&amp;$H$4:$H$3339&amp;"|"&amp;$I$4:$I$3339,$L11&amp;"|"&amp;$M11&amp;"|"&amp;$N11&amp;"|"&amp;$O11&amp;"|"&amp;$P11&amp;"|"&amp;$Q11)</f>
        <v>4</v>
      </c>
      <c r="U11" s="4" t="s">
        <v>1300</v>
      </c>
      <c r="V11" s="17"/>
      <c r="W11" s="17"/>
      <c r="X11" s="17"/>
      <c r="Y11" s="17"/>
      <c r="Z11" s="17"/>
      <c r="AA11" s="17"/>
    </row>
    <row r="12">
      <c r="A12" s="4" t="s">
        <v>12845</v>
      </c>
      <c r="B12" s="27" t="s">
        <v>4536</v>
      </c>
      <c r="J12" s="3"/>
      <c r="L12" s="3">
        <v>1.0</v>
      </c>
      <c r="M12" s="3"/>
      <c r="N12" s="3">
        <v>9.0</v>
      </c>
      <c r="O12" s="3"/>
      <c r="P12" s="3">
        <v>13.0</v>
      </c>
      <c r="Q12" s="3">
        <v>15.0</v>
      </c>
      <c r="R12" s="16">
        <f t="array" ref="R12">COUNTIF($D$4:$D$3339&amp;"|"&amp;$E$4:$E$3339&amp;"|"&amp;$F$4:$F$3339&amp;"|"&amp;$G$4:$G$3339&amp;"|"&amp;$H$4:$H$3339&amp;"|"&amp;$I$4:$I$3339,$L12&amp;"|"&amp;$M12&amp;"|"&amp;$N12&amp;"|"&amp;$O12&amp;"|"&amp;$P12&amp;"|"&amp;$Q12)</f>
        <v>6</v>
      </c>
    </row>
    <row r="13">
      <c r="A13" s="4" t="s">
        <v>12846</v>
      </c>
      <c r="B13" s="27" t="s">
        <v>4536</v>
      </c>
      <c r="J13" s="3"/>
      <c r="L13" s="3"/>
      <c r="M13" s="3">
        <v>2.0</v>
      </c>
      <c r="N13" s="3">
        <v>9.0</v>
      </c>
      <c r="O13" s="3"/>
      <c r="P13" s="3">
        <v>13.0</v>
      </c>
      <c r="Q13" s="3">
        <v>15.0</v>
      </c>
      <c r="R13" s="16">
        <f t="array" ref="R13">COUNTIF($D$4:$D$3339&amp;"|"&amp;$E$4:$E$3339&amp;"|"&amp;$F$4:$F$3339&amp;"|"&amp;$G$4:$G$3339&amp;"|"&amp;$H$4:$H$3339&amp;"|"&amp;$I$4:$I$3339,$L13&amp;"|"&amp;$M13&amp;"|"&amp;$N13&amp;"|"&amp;$O13&amp;"|"&amp;$P13&amp;"|"&amp;$Q13)</f>
        <v>12</v>
      </c>
    </row>
    <row r="14">
      <c r="A14" s="4" t="s">
        <v>12847</v>
      </c>
      <c r="B14" s="27" t="s">
        <v>4536</v>
      </c>
      <c r="L14" s="3">
        <v>1.0</v>
      </c>
      <c r="M14" s="3">
        <v>2.0</v>
      </c>
      <c r="N14" s="3">
        <v>9.0</v>
      </c>
      <c r="O14" s="3"/>
      <c r="P14" s="3">
        <v>13.0</v>
      </c>
      <c r="Q14" s="3">
        <v>15.0</v>
      </c>
      <c r="R14" s="16">
        <f t="array" ref="R14">COUNTIF($D$4:$D$3339&amp;"|"&amp;$E$4:$E$3339&amp;"|"&amp;$F$4:$F$3339&amp;"|"&amp;$G$4:$G$3339&amp;"|"&amp;$H$4:$H$3339&amp;"|"&amp;$I$4:$I$3339,$L14&amp;"|"&amp;$M14&amp;"|"&amp;$N14&amp;"|"&amp;$O14&amp;"|"&amp;$P14&amp;"|"&amp;$Q14)</f>
        <v>26</v>
      </c>
    </row>
    <row r="15">
      <c r="A15" s="4" t="s">
        <v>12848</v>
      </c>
      <c r="B15" s="27" t="s">
        <v>4536</v>
      </c>
      <c r="L15" s="3"/>
      <c r="M15" s="3"/>
      <c r="N15" s="3">
        <v>9.0</v>
      </c>
      <c r="O15" s="3"/>
      <c r="P15" s="3">
        <v>13.0</v>
      </c>
      <c r="Q15" s="3"/>
      <c r="R15" s="16">
        <f t="array" ref="R15">COUNTIF($D$4:$D$3339&amp;"|"&amp;$E$4:$E$3339&amp;"|"&amp;$F$4:$F$3339&amp;"|"&amp;$G$4:$G$3339&amp;"|"&amp;$H$4:$H$3339&amp;"|"&amp;$I$4:$I$3339,$L15&amp;"|"&amp;$M15&amp;"|"&amp;$N15&amp;"|"&amp;$O15&amp;"|"&amp;$P15&amp;"|"&amp;$Q15)</f>
        <v>16</v>
      </c>
    </row>
    <row r="16">
      <c r="A16" s="4" t="s">
        <v>12849</v>
      </c>
      <c r="B16" s="27" t="s">
        <v>4536</v>
      </c>
      <c r="L16" s="3"/>
      <c r="M16" s="3">
        <v>2.0</v>
      </c>
      <c r="N16" s="3"/>
      <c r="O16" s="3"/>
      <c r="P16" s="3">
        <v>13.0</v>
      </c>
      <c r="Q16" s="3"/>
      <c r="R16" s="16">
        <f t="array" ref="R16">COUNTIF($D$4:$D$3339&amp;"|"&amp;$E$4:$E$3339&amp;"|"&amp;$F$4:$F$3339&amp;"|"&amp;$G$4:$G$3339&amp;"|"&amp;$H$4:$H$3339&amp;"|"&amp;$I$4:$I$3339,$L16&amp;"|"&amp;$M16&amp;"|"&amp;$N16&amp;"|"&amp;$O16&amp;"|"&amp;$P16&amp;"|"&amp;$Q16)</f>
        <v>42</v>
      </c>
    </row>
    <row r="17">
      <c r="A17" s="4" t="s">
        <v>12850</v>
      </c>
      <c r="B17" s="27" t="s">
        <v>4536</v>
      </c>
      <c r="L17" s="3"/>
      <c r="M17" s="3"/>
      <c r="N17" s="3"/>
      <c r="O17" s="3"/>
      <c r="P17" s="3">
        <v>13.0</v>
      </c>
      <c r="Q17" s="3"/>
      <c r="R17" s="16">
        <f t="array" ref="R17">COUNTIF($D$4:$D$3339&amp;"|"&amp;$E$4:$E$3339&amp;"|"&amp;$F$4:$F$3339&amp;"|"&amp;$G$4:$G$3339&amp;"|"&amp;$H$4:$H$3339&amp;"|"&amp;$I$4:$I$3339,$L17&amp;"|"&amp;$M17&amp;"|"&amp;$N17&amp;"|"&amp;$O17&amp;"|"&amp;$P17&amp;"|"&amp;$Q17)</f>
        <v>18</v>
      </c>
    </row>
    <row r="18">
      <c r="A18" s="4" t="s">
        <v>12851</v>
      </c>
      <c r="B18" s="13" t="s">
        <v>43</v>
      </c>
      <c r="D18" s="3"/>
      <c r="E18" s="3"/>
      <c r="F18" s="3"/>
      <c r="G18" s="3"/>
      <c r="H18" s="3"/>
      <c r="I18" s="3"/>
      <c r="L18" s="3"/>
      <c r="M18" s="3">
        <v>2.0</v>
      </c>
      <c r="N18" s="3">
        <v>9.0</v>
      </c>
      <c r="O18" s="3"/>
      <c r="P18" s="3">
        <v>13.0</v>
      </c>
      <c r="Q18" s="3"/>
      <c r="R18" s="16">
        <f t="array" ref="R18">COUNTIF($D$4:$D$3339&amp;"|"&amp;$E$4:$E$3339&amp;"|"&amp;$F$4:$F$3339&amp;"|"&amp;$G$4:$G$3339&amp;"|"&amp;$H$4:$H$3339&amp;"|"&amp;$I$4:$I$3339,$L18&amp;"|"&amp;$M18&amp;"|"&amp;$N18&amp;"|"&amp;$O18&amp;"|"&amp;$P18&amp;"|"&amp;$Q18)</f>
        <v>17</v>
      </c>
    </row>
    <row r="19">
      <c r="A19" s="4" t="s">
        <v>12852</v>
      </c>
      <c r="B19" s="13" t="s">
        <v>43</v>
      </c>
      <c r="D19" s="3"/>
      <c r="E19" s="3"/>
      <c r="F19" s="3"/>
      <c r="G19" s="3"/>
      <c r="H19" s="3"/>
      <c r="I19" s="3"/>
      <c r="L19" s="3">
        <v>1.0</v>
      </c>
      <c r="M19" s="3">
        <v>2.0</v>
      </c>
      <c r="N19" s="3">
        <v>9.0</v>
      </c>
      <c r="O19" s="3"/>
      <c r="P19" s="3">
        <v>13.0</v>
      </c>
      <c r="Q19" s="3"/>
      <c r="R19" s="16">
        <f t="array" ref="R19">COUNTIF($D$4:$D$3339&amp;"|"&amp;$E$4:$E$3339&amp;"|"&amp;$F$4:$F$3339&amp;"|"&amp;$G$4:$G$3339&amp;"|"&amp;$H$4:$H$3339&amp;"|"&amp;$I$4:$I$3339,$L19&amp;"|"&amp;$M19&amp;"|"&amp;$N19&amp;"|"&amp;$O19&amp;"|"&amp;$P19&amp;"|"&amp;$Q19)</f>
        <v>5</v>
      </c>
    </row>
    <row r="20">
      <c r="A20" s="4" t="s">
        <v>12853</v>
      </c>
      <c r="B20" s="13" t="s">
        <v>48</v>
      </c>
      <c r="C20" s="4">
        <v>1.0</v>
      </c>
      <c r="D20" s="3"/>
      <c r="E20" s="3"/>
      <c r="F20" s="3"/>
      <c r="G20" s="4">
        <v>10.0</v>
      </c>
      <c r="H20" s="3"/>
      <c r="I20" s="3"/>
      <c r="L20" s="3"/>
      <c r="M20" s="3"/>
      <c r="N20" s="3">
        <v>9.0</v>
      </c>
      <c r="O20" s="3"/>
      <c r="P20" s="3"/>
      <c r="Q20" s="3"/>
      <c r="R20" s="16">
        <f t="array" ref="R20">COUNTIF($D$4:$D$3339&amp;"|"&amp;$E$4:$E$3339&amp;"|"&amp;$F$4:$F$3339&amp;"|"&amp;$G$4:$G$3339&amp;"|"&amp;$H$4:$H$3339&amp;"|"&amp;$I$4:$I$3339,$L20&amp;"|"&amp;$M20&amp;"|"&amp;$N20&amp;"|"&amp;$O20&amp;"|"&amp;$P20&amp;"|"&amp;$Q20)</f>
        <v>10</v>
      </c>
    </row>
    <row r="21">
      <c r="A21" s="4" t="s">
        <v>12854</v>
      </c>
      <c r="B21" s="13" t="s">
        <v>48</v>
      </c>
      <c r="C21" s="4">
        <v>1.0</v>
      </c>
      <c r="D21" s="3"/>
      <c r="E21" s="3"/>
      <c r="F21" s="3"/>
      <c r="G21" s="4">
        <v>10.0</v>
      </c>
      <c r="H21" s="3"/>
      <c r="I21" s="3"/>
      <c r="L21" s="3">
        <v>1.0</v>
      </c>
      <c r="M21" s="3"/>
      <c r="N21" s="3"/>
      <c r="O21" s="3"/>
      <c r="P21" s="3"/>
      <c r="Q21" s="3">
        <v>15.0</v>
      </c>
      <c r="R21" s="16">
        <f t="array" ref="R21">COUNTIF($D$4:$D$3339&amp;"|"&amp;$E$4:$E$3339&amp;"|"&amp;$F$4:$F$3339&amp;"|"&amp;$G$4:$G$3339&amp;"|"&amp;$H$4:$H$3339&amp;"|"&amp;$I$4:$I$3339,$L21&amp;"|"&amp;$M21&amp;"|"&amp;$N21&amp;"|"&amp;$O21&amp;"|"&amp;$P21&amp;"|"&amp;$Q21)</f>
        <v>13</v>
      </c>
    </row>
    <row r="22">
      <c r="A22" s="4" t="s">
        <v>12855</v>
      </c>
      <c r="B22" s="13" t="s">
        <v>48</v>
      </c>
      <c r="C22" s="4">
        <v>1.0</v>
      </c>
      <c r="D22" s="3"/>
      <c r="E22" s="3"/>
      <c r="F22" s="3"/>
      <c r="G22" s="4">
        <v>10.0</v>
      </c>
      <c r="H22" s="3"/>
      <c r="I22" s="3"/>
      <c r="L22" s="3">
        <v>1.0</v>
      </c>
      <c r="M22" s="3"/>
      <c r="N22" s="3">
        <v>9.0</v>
      </c>
      <c r="O22" s="3"/>
      <c r="P22" s="3">
        <v>13.0</v>
      </c>
      <c r="Q22" s="3"/>
      <c r="R22" s="16">
        <f t="array" ref="R22">COUNTIF($D$4:$D$3339&amp;"|"&amp;$E$4:$E$3339&amp;"|"&amp;$F$4:$F$3339&amp;"|"&amp;$G$4:$G$3339&amp;"|"&amp;$H$4:$H$3339&amp;"|"&amp;$I$4:$I$3339,$L22&amp;"|"&amp;$M22&amp;"|"&amp;$N22&amp;"|"&amp;$O22&amp;"|"&amp;$P22&amp;"|"&amp;$Q22)</f>
        <v>5</v>
      </c>
    </row>
    <row r="23">
      <c r="A23" s="4" t="s">
        <v>12856</v>
      </c>
      <c r="B23" s="13" t="s">
        <v>48</v>
      </c>
      <c r="C23" s="4">
        <v>1.0</v>
      </c>
      <c r="D23" s="3"/>
      <c r="E23" s="3"/>
      <c r="F23" s="3"/>
      <c r="G23" s="4">
        <v>10.0</v>
      </c>
      <c r="H23" s="3"/>
      <c r="I23" s="3"/>
      <c r="L23" s="3">
        <v>1.0</v>
      </c>
      <c r="M23" s="3"/>
      <c r="N23" s="3">
        <v>9.0</v>
      </c>
      <c r="O23" s="3"/>
      <c r="P23" s="3"/>
      <c r="Q23" s="3"/>
      <c r="R23" s="16">
        <f t="array" ref="R23">COUNTIF($D$4:$D$3339&amp;"|"&amp;$E$4:$E$3339&amp;"|"&amp;$F$4:$F$3339&amp;"|"&amp;$G$4:$G$3339&amp;"|"&amp;$H$4:$H$3339&amp;"|"&amp;$I$4:$I$3339,$L23&amp;"|"&amp;$M23&amp;"|"&amp;$N23&amp;"|"&amp;$O23&amp;"|"&amp;$P23&amp;"|"&amp;$Q23)</f>
        <v>1</v>
      </c>
    </row>
    <row r="24">
      <c r="A24" s="4" t="s">
        <v>12857</v>
      </c>
      <c r="B24" s="13" t="s">
        <v>48</v>
      </c>
      <c r="C24" s="4">
        <v>1.0</v>
      </c>
      <c r="D24" s="3"/>
      <c r="E24" s="3"/>
      <c r="F24" s="3"/>
      <c r="G24" s="4">
        <v>10.0</v>
      </c>
      <c r="H24" s="3"/>
      <c r="I24" s="3"/>
      <c r="L24" s="3">
        <v>1.0</v>
      </c>
      <c r="M24" s="3"/>
      <c r="N24" s="3"/>
      <c r="O24" s="3"/>
      <c r="P24" s="3"/>
      <c r="Q24" s="3"/>
      <c r="R24" s="16">
        <f t="array" ref="R24">COUNTIF($D$4:$D$3339&amp;"|"&amp;$E$4:$E$3339&amp;"|"&amp;$F$4:$F$3339&amp;"|"&amp;$G$4:$G$3339&amp;"|"&amp;$H$4:$H$3339&amp;"|"&amp;$I$4:$I$3339,$L24&amp;"|"&amp;$M24&amp;"|"&amp;$N24&amp;"|"&amp;$O24&amp;"|"&amp;$P24&amp;"|"&amp;$Q24)</f>
        <v>4</v>
      </c>
    </row>
    <row r="25">
      <c r="A25" s="4" t="s">
        <v>12858</v>
      </c>
      <c r="B25" s="13" t="s">
        <v>48</v>
      </c>
      <c r="C25" s="4">
        <v>1.0</v>
      </c>
      <c r="D25" s="3"/>
      <c r="E25" s="3"/>
      <c r="F25" s="3"/>
      <c r="G25" s="4">
        <v>10.0</v>
      </c>
      <c r="H25" s="3"/>
      <c r="I25" s="3"/>
      <c r="L25" s="3">
        <v>1.0</v>
      </c>
      <c r="M25" s="3"/>
      <c r="N25" s="3">
        <v>9.0</v>
      </c>
      <c r="O25" s="3"/>
      <c r="P25" s="3"/>
      <c r="Q25" s="3">
        <v>15.0</v>
      </c>
      <c r="R25" s="16">
        <f t="array" ref="R25">COUNTIF($D$4:$D$3339&amp;"|"&amp;$E$4:$E$3339&amp;"|"&amp;$F$4:$F$3339&amp;"|"&amp;$G$4:$G$3339&amp;"|"&amp;$H$4:$H$3339&amp;"|"&amp;$I$4:$I$3339,$L25&amp;"|"&amp;$M25&amp;"|"&amp;$N25&amp;"|"&amp;$O25&amp;"|"&amp;$P25&amp;"|"&amp;$Q25)</f>
        <v>1</v>
      </c>
    </row>
    <row r="26">
      <c r="A26" s="4" t="s">
        <v>12859</v>
      </c>
      <c r="B26" s="13" t="s">
        <v>48</v>
      </c>
      <c r="C26" s="4">
        <v>1.0</v>
      </c>
      <c r="D26" s="3"/>
      <c r="E26" s="3"/>
      <c r="F26" s="3"/>
      <c r="G26" s="4">
        <v>10.0</v>
      </c>
      <c r="H26" s="3"/>
      <c r="I26" s="3"/>
      <c r="L26" s="3"/>
      <c r="M26" s="3"/>
      <c r="N26" s="3"/>
      <c r="O26" s="3">
        <v>10.0</v>
      </c>
      <c r="P26" s="3"/>
      <c r="Q26" s="3">
        <v>15.0</v>
      </c>
      <c r="R26" s="16">
        <f t="array" ref="R26">COUNTIF($D$4:$D$3339&amp;"|"&amp;$E$4:$E$3339&amp;"|"&amp;$F$4:$F$3339&amp;"|"&amp;$G$4:$G$3339&amp;"|"&amp;$H$4:$H$3339&amp;"|"&amp;$I$4:$I$3339,$L26&amp;"|"&amp;$M26&amp;"|"&amp;$N26&amp;"|"&amp;$O26&amp;"|"&amp;$P26&amp;"|"&amp;$Q26)</f>
        <v>1</v>
      </c>
    </row>
    <row r="27">
      <c r="A27" s="4" t="s">
        <v>12860</v>
      </c>
      <c r="B27" s="13" t="s">
        <v>48</v>
      </c>
      <c r="C27" s="4">
        <v>1.0</v>
      </c>
      <c r="D27" s="3"/>
      <c r="E27" s="3"/>
      <c r="F27" s="3"/>
      <c r="G27" s="4">
        <v>10.0</v>
      </c>
      <c r="H27" s="3"/>
      <c r="I27" s="3"/>
      <c r="L27" s="3"/>
      <c r="M27" s="3"/>
      <c r="N27" s="3"/>
      <c r="O27" s="3"/>
      <c r="P27" s="3"/>
      <c r="Q27" s="3">
        <v>15.0</v>
      </c>
      <c r="R27" s="16">
        <f t="array" ref="R27">COUNTIF($D$4:$D$3339&amp;"|"&amp;$E$4:$E$3339&amp;"|"&amp;$F$4:$F$3339&amp;"|"&amp;$G$4:$G$3339&amp;"|"&amp;$H$4:$H$3339&amp;"|"&amp;$I$4:$I$3339,$L27&amp;"|"&amp;$M27&amp;"|"&amp;$N27&amp;"|"&amp;$O27&amp;"|"&amp;$P27&amp;"|"&amp;$Q27)</f>
        <v>2</v>
      </c>
    </row>
    <row r="28">
      <c r="A28" s="4" t="s">
        <v>12861</v>
      </c>
      <c r="B28" s="13" t="s">
        <v>48</v>
      </c>
      <c r="C28" s="4">
        <v>1.0</v>
      </c>
      <c r="D28" s="3"/>
      <c r="E28" s="3"/>
      <c r="F28" s="3"/>
      <c r="G28" s="4">
        <v>10.0</v>
      </c>
      <c r="H28" s="3"/>
      <c r="I28" s="3"/>
      <c r="L28" s="3"/>
      <c r="M28" s="3">
        <v>2.0</v>
      </c>
      <c r="N28" s="3">
        <v>9.0</v>
      </c>
      <c r="O28" s="3"/>
      <c r="P28" s="3"/>
      <c r="Q28" s="3">
        <v>15.0</v>
      </c>
      <c r="R28" s="16">
        <f t="array" ref="R28">COUNTIF($D$4:$D$3339&amp;"|"&amp;$E$4:$E$3339&amp;"|"&amp;$F$4:$F$3339&amp;"|"&amp;$G$4:$G$3339&amp;"|"&amp;$H$4:$H$3339&amp;"|"&amp;$I$4:$I$3339,$L28&amp;"|"&amp;$M28&amp;"|"&amp;$N28&amp;"|"&amp;$O28&amp;"|"&amp;$P28&amp;"|"&amp;$Q28)</f>
        <v>1</v>
      </c>
    </row>
    <row r="29">
      <c r="A29" s="4" t="s">
        <v>12862</v>
      </c>
      <c r="B29" s="13" t="s">
        <v>48</v>
      </c>
      <c r="C29" s="4">
        <v>1.0</v>
      </c>
      <c r="D29" s="3"/>
      <c r="E29" s="3"/>
      <c r="F29" s="3"/>
      <c r="G29" s="4">
        <v>10.0</v>
      </c>
      <c r="H29" s="3"/>
      <c r="I29" s="3"/>
      <c r="L29" s="3">
        <v>1.0</v>
      </c>
      <c r="M29" s="3"/>
      <c r="N29" s="3"/>
      <c r="O29" s="3"/>
      <c r="P29" s="3">
        <v>13.0</v>
      </c>
      <c r="Q29" s="3">
        <v>15.0</v>
      </c>
      <c r="R29" s="16">
        <f t="array" ref="R29">COUNTIF($D$4:$D$3339&amp;"|"&amp;$E$4:$E$3339&amp;"|"&amp;$F$4:$F$3339&amp;"|"&amp;$G$4:$G$3339&amp;"|"&amp;$H$4:$H$3339&amp;"|"&amp;$I$4:$I$3339,$L29&amp;"|"&amp;$M29&amp;"|"&amp;$N29&amp;"|"&amp;$O29&amp;"|"&amp;$P29&amp;"|"&amp;$Q29)</f>
        <v>4</v>
      </c>
    </row>
    <row r="30">
      <c r="A30" s="4" t="s">
        <v>12863</v>
      </c>
      <c r="B30" s="13" t="s">
        <v>48</v>
      </c>
      <c r="C30" s="4">
        <v>1.0</v>
      </c>
      <c r="D30" s="3"/>
      <c r="E30" s="3"/>
      <c r="F30" s="3"/>
      <c r="G30" s="4">
        <v>10.0</v>
      </c>
      <c r="H30" s="3"/>
      <c r="I30" s="3"/>
      <c r="L30" s="3">
        <v>1.0</v>
      </c>
      <c r="M30" s="3"/>
      <c r="N30" s="3"/>
      <c r="O30" s="3"/>
      <c r="P30" s="3">
        <v>13.0</v>
      </c>
      <c r="Q30" s="3"/>
      <c r="R30" s="16">
        <f t="array" ref="R30">COUNTIF($D$4:$D$3339&amp;"|"&amp;$E$4:$E$3339&amp;"|"&amp;$F$4:$F$3339&amp;"|"&amp;$G$4:$G$3339&amp;"|"&amp;$H$4:$H$3339&amp;"|"&amp;$I$4:$I$3339,$L30&amp;"|"&amp;$M30&amp;"|"&amp;$N30&amp;"|"&amp;$O30&amp;"|"&amp;$P30&amp;"|"&amp;$Q30)</f>
        <v>2</v>
      </c>
    </row>
    <row r="31">
      <c r="A31" s="4" t="s">
        <v>12864</v>
      </c>
      <c r="B31" s="13" t="s">
        <v>48</v>
      </c>
      <c r="C31" s="4">
        <v>1.0</v>
      </c>
      <c r="D31" s="3"/>
      <c r="E31" s="3"/>
      <c r="F31" s="3"/>
      <c r="G31" s="4">
        <v>10.0</v>
      </c>
      <c r="H31" s="3"/>
      <c r="I31" s="3"/>
      <c r="L31" s="3"/>
      <c r="M31" s="3">
        <v>2.0</v>
      </c>
      <c r="N31" s="3"/>
      <c r="O31" s="3"/>
      <c r="P31" s="3"/>
      <c r="Q31" s="3"/>
      <c r="R31" s="16">
        <f t="array" ref="R31">COUNTIF($D$4:$D$3339&amp;"|"&amp;$E$4:$E$3339&amp;"|"&amp;$F$4:$F$3339&amp;"|"&amp;$G$4:$G$3339&amp;"|"&amp;$H$4:$H$3339&amp;"|"&amp;$I$4:$I$3339,$L31&amp;"|"&amp;$M31&amp;"|"&amp;$N31&amp;"|"&amp;$O31&amp;"|"&amp;$P31&amp;"|"&amp;$Q31)</f>
        <v>12</v>
      </c>
    </row>
    <row r="32">
      <c r="A32" s="4" t="s">
        <v>12865</v>
      </c>
      <c r="B32" s="13" t="s">
        <v>48</v>
      </c>
      <c r="C32" s="4">
        <v>1.0</v>
      </c>
      <c r="D32" s="3"/>
      <c r="E32" s="3"/>
      <c r="F32" s="3"/>
      <c r="G32" s="4">
        <v>10.0</v>
      </c>
      <c r="H32" s="3"/>
      <c r="I32" s="3"/>
      <c r="L32" s="3"/>
      <c r="M32" s="3">
        <v>2.0</v>
      </c>
      <c r="N32" s="3">
        <v>9.0</v>
      </c>
      <c r="O32" s="3"/>
      <c r="P32" s="3"/>
      <c r="Q32" s="3"/>
      <c r="R32" s="16">
        <f t="array" ref="R32">COUNTIF($D$4:$D$3339&amp;"|"&amp;$E$4:$E$3339&amp;"|"&amp;$F$4:$F$3339&amp;"|"&amp;$G$4:$G$3339&amp;"|"&amp;$H$4:$H$3339&amp;"|"&amp;$I$4:$I$3339,$L32&amp;"|"&amp;$M32&amp;"|"&amp;$N32&amp;"|"&amp;$O32&amp;"|"&amp;$P32&amp;"|"&amp;$Q32)</f>
        <v>3</v>
      </c>
    </row>
    <row r="33">
      <c r="A33" s="4" t="s">
        <v>12866</v>
      </c>
      <c r="B33" s="13" t="s">
        <v>43</v>
      </c>
      <c r="D33" s="3"/>
      <c r="E33" s="3"/>
      <c r="F33" s="3"/>
      <c r="G33" s="3"/>
      <c r="H33" s="3"/>
      <c r="I33" s="3"/>
      <c r="R33" s="18">
        <f>SUm(R6:R32)</f>
        <v>282</v>
      </c>
    </row>
    <row r="34">
      <c r="A34" s="4" t="s">
        <v>12867</v>
      </c>
      <c r="B34" s="13" t="s">
        <v>43</v>
      </c>
      <c r="D34" s="3"/>
      <c r="E34" s="3"/>
      <c r="F34" s="3"/>
      <c r="G34" s="3"/>
      <c r="H34" s="3"/>
      <c r="I34" s="3"/>
      <c r="R34" s="3">
        <f>$C$2</f>
        <v>282</v>
      </c>
    </row>
    <row r="35">
      <c r="A35" s="4" t="s">
        <v>12868</v>
      </c>
      <c r="B35" s="13" t="s">
        <v>43</v>
      </c>
      <c r="D35" s="3"/>
      <c r="E35" s="3"/>
      <c r="F35" s="3"/>
      <c r="G35" s="3"/>
      <c r="H35" s="3"/>
      <c r="I35" s="3"/>
    </row>
    <row r="36">
      <c r="A36" s="4" t="s">
        <v>12869</v>
      </c>
      <c r="B36" s="13" t="s">
        <v>43</v>
      </c>
      <c r="D36" s="3"/>
      <c r="E36" s="3"/>
      <c r="F36" s="3"/>
      <c r="G36" s="3"/>
      <c r="H36" s="3"/>
      <c r="I36" s="3"/>
    </row>
    <row r="37">
      <c r="A37" s="4" t="s">
        <v>12870</v>
      </c>
      <c r="B37" s="13" t="s">
        <v>43</v>
      </c>
      <c r="D37" s="3"/>
      <c r="E37" s="3"/>
      <c r="F37" s="3"/>
      <c r="G37" s="3"/>
      <c r="H37" s="3"/>
      <c r="I37" s="3"/>
    </row>
    <row r="38">
      <c r="A38" s="4" t="s">
        <v>12871</v>
      </c>
      <c r="B38" s="13" t="s">
        <v>43</v>
      </c>
      <c r="D38" s="3"/>
      <c r="E38" s="3"/>
      <c r="F38" s="3"/>
      <c r="G38" s="3"/>
      <c r="H38" s="3"/>
      <c r="I38" s="3"/>
    </row>
    <row r="39">
      <c r="A39" s="4" t="s">
        <v>12872</v>
      </c>
      <c r="B39" s="13" t="s">
        <v>43</v>
      </c>
      <c r="D39" s="3"/>
      <c r="E39" s="3"/>
      <c r="F39" s="3"/>
      <c r="G39" s="3"/>
      <c r="H39" s="3"/>
      <c r="I39" s="3"/>
    </row>
    <row r="40">
      <c r="A40" s="4" t="s">
        <v>12873</v>
      </c>
      <c r="B40" s="13" t="s">
        <v>43</v>
      </c>
      <c r="D40" s="3"/>
      <c r="E40" s="3"/>
      <c r="F40" s="3"/>
      <c r="G40" s="3"/>
      <c r="H40" s="3"/>
      <c r="I40" s="3"/>
    </row>
    <row r="41">
      <c r="A41" s="4" t="s">
        <v>12874</v>
      </c>
      <c r="B41" s="13" t="s">
        <v>43</v>
      </c>
      <c r="D41" s="3"/>
      <c r="E41" s="3"/>
      <c r="F41" s="3"/>
      <c r="G41" s="3"/>
      <c r="H41" s="3"/>
      <c r="I41" s="3"/>
    </row>
    <row r="42">
      <c r="A42" s="4" t="s">
        <v>12875</v>
      </c>
      <c r="B42" s="13" t="s">
        <v>43</v>
      </c>
      <c r="D42" s="3"/>
      <c r="E42" s="3"/>
      <c r="F42" s="3"/>
      <c r="G42" s="3"/>
      <c r="H42" s="3"/>
      <c r="I42" s="3"/>
    </row>
    <row r="43">
      <c r="A43" s="4" t="s">
        <v>12876</v>
      </c>
      <c r="B43" s="13" t="s">
        <v>43</v>
      </c>
      <c r="D43" s="3"/>
      <c r="E43" s="3"/>
      <c r="F43" s="3"/>
      <c r="G43" s="3"/>
      <c r="H43" s="3"/>
      <c r="I43" s="3"/>
    </row>
    <row r="44">
      <c r="A44" s="4" t="s">
        <v>12877</v>
      </c>
      <c r="B44" s="13" t="s">
        <v>43</v>
      </c>
      <c r="D44" s="3"/>
      <c r="E44" s="3"/>
      <c r="F44" s="3"/>
      <c r="G44" s="3"/>
      <c r="H44" s="3"/>
      <c r="I44" s="3"/>
    </row>
    <row r="45">
      <c r="A45" s="4" t="s">
        <v>12878</v>
      </c>
      <c r="B45" s="13" t="s">
        <v>43</v>
      </c>
      <c r="D45" s="3"/>
      <c r="E45" s="3"/>
      <c r="F45" s="3"/>
      <c r="G45" s="3"/>
      <c r="H45" s="3"/>
      <c r="I45" s="3"/>
    </row>
    <row r="46">
      <c r="A46" s="4" t="s">
        <v>12879</v>
      </c>
      <c r="B46" s="13" t="s">
        <v>48</v>
      </c>
      <c r="C46" s="4">
        <v>2.0</v>
      </c>
      <c r="D46" s="3"/>
      <c r="E46" s="3"/>
      <c r="F46" s="4">
        <v>9.0</v>
      </c>
      <c r="G46" s="4">
        <v>10.0</v>
      </c>
      <c r="H46" s="3"/>
      <c r="I46" s="3"/>
      <c r="J46" s="4" t="s">
        <v>1757</v>
      </c>
    </row>
    <row r="47">
      <c r="A47" s="4" t="s">
        <v>12880</v>
      </c>
      <c r="B47" s="13" t="s">
        <v>48</v>
      </c>
      <c r="C47" s="4">
        <v>2.0</v>
      </c>
      <c r="D47" s="3"/>
      <c r="E47" s="3"/>
      <c r="F47" s="4">
        <v>9.0</v>
      </c>
      <c r="G47" s="4">
        <v>10.0</v>
      </c>
      <c r="H47" s="3"/>
      <c r="I47" s="3"/>
      <c r="J47" s="4" t="s">
        <v>1757</v>
      </c>
    </row>
    <row r="48">
      <c r="A48" s="4" t="s">
        <v>12881</v>
      </c>
      <c r="B48" s="13" t="s">
        <v>48</v>
      </c>
      <c r="C48" s="4">
        <v>2.0</v>
      </c>
      <c r="D48" s="3"/>
      <c r="E48" s="3"/>
      <c r="F48" s="4">
        <v>9.0</v>
      </c>
      <c r="G48" s="4">
        <v>10.0</v>
      </c>
      <c r="H48" s="3"/>
      <c r="I48" s="3"/>
      <c r="J48" s="4" t="s">
        <v>1757</v>
      </c>
    </row>
    <row r="49">
      <c r="A49" s="4" t="s">
        <v>12882</v>
      </c>
      <c r="B49" s="13" t="s">
        <v>48</v>
      </c>
      <c r="C49" s="4">
        <v>2.0</v>
      </c>
      <c r="D49" s="3"/>
      <c r="E49" s="3"/>
      <c r="F49" s="4">
        <v>9.0</v>
      </c>
      <c r="G49" s="3"/>
      <c r="H49" s="3"/>
      <c r="I49" s="4">
        <v>15.0</v>
      </c>
      <c r="J49" s="4" t="s">
        <v>1757</v>
      </c>
    </row>
    <row r="50">
      <c r="A50" s="4" t="s">
        <v>12883</v>
      </c>
      <c r="B50" s="13" t="s">
        <v>48</v>
      </c>
      <c r="C50" s="4">
        <v>3.0</v>
      </c>
      <c r="D50" s="3"/>
      <c r="E50" s="3"/>
      <c r="F50" s="4">
        <v>9.0</v>
      </c>
      <c r="G50" s="4">
        <v>10.0</v>
      </c>
      <c r="H50" s="3"/>
      <c r="I50" s="4">
        <v>15.0</v>
      </c>
      <c r="J50" s="4" t="s">
        <v>1757</v>
      </c>
    </row>
    <row r="51">
      <c r="A51" s="4" t="s">
        <v>12884</v>
      </c>
      <c r="B51" s="13" t="s">
        <v>48</v>
      </c>
      <c r="C51" s="4">
        <v>3.0</v>
      </c>
      <c r="D51" s="3"/>
      <c r="E51" s="3"/>
      <c r="F51" s="4">
        <v>9.0</v>
      </c>
      <c r="G51" s="4">
        <v>10.0</v>
      </c>
      <c r="H51" s="3"/>
      <c r="I51" s="4">
        <v>15.0</v>
      </c>
      <c r="J51" s="4" t="s">
        <v>1757</v>
      </c>
    </row>
    <row r="52">
      <c r="A52" s="4" t="s">
        <v>12885</v>
      </c>
      <c r="B52" s="13" t="s">
        <v>48</v>
      </c>
      <c r="C52" s="4">
        <v>3.0</v>
      </c>
      <c r="D52" s="3"/>
      <c r="E52" s="3"/>
      <c r="F52" s="4">
        <v>9.0</v>
      </c>
      <c r="G52" s="4">
        <v>10.0</v>
      </c>
      <c r="H52" s="3"/>
      <c r="I52" s="4">
        <v>15.0</v>
      </c>
      <c r="J52" s="4" t="s">
        <v>1757</v>
      </c>
    </row>
    <row r="53">
      <c r="A53" s="4" t="s">
        <v>12886</v>
      </c>
      <c r="B53" s="13" t="s">
        <v>48</v>
      </c>
      <c r="C53" s="4">
        <v>2.0</v>
      </c>
      <c r="D53" s="3"/>
      <c r="E53" s="3"/>
      <c r="F53" s="4">
        <v>9.0</v>
      </c>
      <c r="G53" s="4">
        <v>10.0</v>
      </c>
      <c r="H53" s="3"/>
      <c r="I53" s="3"/>
      <c r="J53" s="4" t="s">
        <v>1757</v>
      </c>
    </row>
    <row r="54">
      <c r="A54" s="4" t="s">
        <v>12887</v>
      </c>
      <c r="B54" s="13" t="s">
        <v>48</v>
      </c>
      <c r="C54" s="4">
        <v>2.0</v>
      </c>
      <c r="D54" s="3"/>
      <c r="E54" s="3"/>
      <c r="F54" s="4">
        <v>9.0</v>
      </c>
      <c r="G54" s="4">
        <v>10.0</v>
      </c>
      <c r="H54" s="3"/>
      <c r="I54" s="3"/>
      <c r="J54" s="4" t="s">
        <v>1757</v>
      </c>
    </row>
    <row r="55">
      <c r="A55" s="4" t="s">
        <v>12888</v>
      </c>
      <c r="B55" s="13" t="s">
        <v>48</v>
      </c>
      <c r="C55" s="4">
        <v>2.0</v>
      </c>
      <c r="D55" s="3"/>
      <c r="E55" s="3"/>
      <c r="F55" s="4">
        <v>9.0</v>
      </c>
      <c r="G55" s="4">
        <v>10.0</v>
      </c>
      <c r="H55" s="3"/>
      <c r="I55" s="3"/>
      <c r="J55" s="4" t="s">
        <v>1757</v>
      </c>
    </row>
    <row r="56">
      <c r="A56" s="4" t="s">
        <v>12889</v>
      </c>
      <c r="B56" s="13" t="s">
        <v>48</v>
      </c>
      <c r="C56" s="4">
        <v>4.0</v>
      </c>
      <c r="D56" s="3"/>
      <c r="E56" s="3"/>
      <c r="F56" s="4">
        <v>9.0</v>
      </c>
      <c r="G56" s="4">
        <v>10.0</v>
      </c>
      <c r="H56" s="4">
        <v>13.0</v>
      </c>
      <c r="I56" s="4">
        <v>15.0</v>
      </c>
      <c r="J56" s="4" t="s">
        <v>1757</v>
      </c>
      <c r="K56" s="4" t="s">
        <v>1757</v>
      </c>
    </row>
    <row r="57">
      <c r="A57" s="4" t="s">
        <v>12890</v>
      </c>
      <c r="B57" s="13" t="s">
        <v>48</v>
      </c>
      <c r="C57" s="4">
        <v>4.0</v>
      </c>
      <c r="D57" s="3"/>
      <c r="E57" s="3"/>
      <c r="F57" s="4">
        <v>9.0</v>
      </c>
      <c r="G57" s="4">
        <v>10.0</v>
      </c>
      <c r="H57" s="4">
        <v>13.0</v>
      </c>
      <c r="I57" s="4">
        <v>15.0</v>
      </c>
      <c r="J57" s="4" t="s">
        <v>1757</v>
      </c>
      <c r="K57" s="4" t="s">
        <v>1757</v>
      </c>
    </row>
    <row r="58">
      <c r="A58" s="4" t="s">
        <v>12891</v>
      </c>
      <c r="B58" s="13" t="s">
        <v>48</v>
      </c>
      <c r="C58" s="4">
        <v>3.0</v>
      </c>
      <c r="D58" s="3"/>
      <c r="E58" s="3"/>
      <c r="F58" s="4">
        <v>9.0</v>
      </c>
      <c r="G58" s="3"/>
      <c r="H58" s="4">
        <v>13.0</v>
      </c>
      <c r="I58" s="4">
        <v>15.0</v>
      </c>
      <c r="J58" s="4" t="s">
        <v>1757</v>
      </c>
      <c r="K58" s="4" t="s">
        <v>1757</v>
      </c>
    </row>
    <row r="59">
      <c r="A59" s="4" t="s">
        <v>12892</v>
      </c>
      <c r="B59" s="13" t="s">
        <v>48</v>
      </c>
      <c r="C59" s="4">
        <v>3.0</v>
      </c>
      <c r="D59" s="3"/>
      <c r="E59" s="3"/>
      <c r="F59" s="4">
        <v>9.0</v>
      </c>
      <c r="G59" s="3"/>
      <c r="H59" s="4">
        <v>13.0</v>
      </c>
      <c r="I59" s="4">
        <v>15.0</v>
      </c>
      <c r="J59" s="4" t="s">
        <v>1757</v>
      </c>
      <c r="K59" s="4" t="s">
        <v>1757</v>
      </c>
    </row>
    <row r="60">
      <c r="A60" s="4" t="s">
        <v>12893</v>
      </c>
      <c r="B60" s="13" t="s">
        <v>48</v>
      </c>
      <c r="C60" s="4">
        <v>4.0</v>
      </c>
      <c r="D60" s="4">
        <v>1.0</v>
      </c>
      <c r="E60" s="3"/>
      <c r="F60" s="4">
        <v>9.0</v>
      </c>
      <c r="G60" s="3"/>
      <c r="H60" s="4">
        <v>13.0</v>
      </c>
      <c r="I60" s="4">
        <v>15.0</v>
      </c>
      <c r="J60" s="4" t="s">
        <v>1757</v>
      </c>
      <c r="K60" s="4" t="s">
        <v>1757</v>
      </c>
    </row>
    <row r="61">
      <c r="A61" s="4" t="s">
        <v>12894</v>
      </c>
      <c r="B61" s="13" t="s">
        <v>48</v>
      </c>
      <c r="C61" s="4">
        <v>4.0</v>
      </c>
      <c r="D61" s="4">
        <v>1.0</v>
      </c>
      <c r="E61" s="3"/>
      <c r="F61" s="4">
        <v>9.0</v>
      </c>
      <c r="G61" s="3"/>
      <c r="H61" s="4">
        <v>13.0</v>
      </c>
      <c r="I61" s="4">
        <v>15.0</v>
      </c>
      <c r="J61" s="4" t="s">
        <v>1757</v>
      </c>
      <c r="K61" s="4" t="s">
        <v>1757</v>
      </c>
    </row>
    <row r="62">
      <c r="A62" s="4" t="s">
        <v>12895</v>
      </c>
      <c r="B62" s="13" t="s">
        <v>48</v>
      </c>
      <c r="C62" s="4">
        <v>4.0</v>
      </c>
      <c r="D62" s="4">
        <v>1.0</v>
      </c>
      <c r="E62" s="3"/>
      <c r="F62" s="4">
        <v>9.0</v>
      </c>
      <c r="G62" s="3"/>
      <c r="H62" s="4">
        <v>13.0</v>
      </c>
      <c r="I62" s="4">
        <v>15.0</v>
      </c>
      <c r="J62" s="4" t="s">
        <v>1757</v>
      </c>
      <c r="K62" s="4" t="s">
        <v>1757</v>
      </c>
    </row>
    <row r="63">
      <c r="A63" s="4" t="s">
        <v>12896</v>
      </c>
      <c r="B63" s="13" t="s">
        <v>48</v>
      </c>
      <c r="C63" s="4">
        <v>4.0</v>
      </c>
      <c r="D63" s="3"/>
      <c r="E63" s="4">
        <v>2.0</v>
      </c>
      <c r="F63" s="4">
        <v>9.0</v>
      </c>
      <c r="G63" s="3"/>
      <c r="H63" s="4">
        <v>13.0</v>
      </c>
      <c r="I63" s="4">
        <v>15.0</v>
      </c>
      <c r="J63" s="4" t="s">
        <v>1757</v>
      </c>
      <c r="K63" s="4" t="s">
        <v>1757</v>
      </c>
    </row>
    <row r="64">
      <c r="A64" s="4" t="s">
        <v>12897</v>
      </c>
      <c r="B64" s="13" t="s">
        <v>48</v>
      </c>
      <c r="C64" s="4">
        <v>5.0</v>
      </c>
      <c r="D64" s="4">
        <v>1.0</v>
      </c>
      <c r="E64" s="4">
        <v>2.0</v>
      </c>
      <c r="F64" s="4">
        <v>9.0</v>
      </c>
      <c r="G64" s="3"/>
      <c r="H64" s="4">
        <v>13.0</v>
      </c>
      <c r="I64" s="4">
        <v>15.0</v>
      </c>
      <c r="J64" s="4" t="s">
        <v>1757</v>
      </c>
      <c r="K64" s="4" t="s">
        <v>1757</v>
      </c>
    </row>
    <row r="65">
      <c r="A65" s="4" t="s">
        <v>12898</v>
      </c>
      <c r="B65" s="13" t="s">
        <v>48</v>
      </c>
      <c r="C65" s="4">
        <v>4.0</v>
      </c>
      <c r="D65" s="3"/>
      <c r="E65" s="4">
        <v>2.0</v>
      </c>
      <c r="F65" s="4">
        <v>9.0</v>
      </c>
      <c r="G65" s="3"/>
      <c r="H65" s="4">
        <v>13.0</v>
      </c>
      <c r="I65" s="4">
        <v>15.0</v>
      </c>
      <c r="J65" s="4" t="s">
        <v>1757</v>
      </c>
      <c r="K65" s="4" t="s">
        <v>1757</v>
      </c>
    </row>
    <row r="66">
      <c r="A66" s="4" t="s">
        <v>12899</v>
      </c>
      <c r="B66" s="13" t="s">
        <v>48</v>
      </c>
      <c r="C66" s="4">
        <v>4.0</v>
      </c>
      <c r="D66" s="3"/>
      <c r="E66" s="4">
        <v>2.0</v>
      </c>
      <c r="F66" s="4">
        <v>9.0</v>
      </c>
      <c r="G66" s="3"/>
      <c r="H66" s="4">
        <v>13.0</v>
      </c>
      <c r="I66" s="4">
        <v>15.0</v>
      </c>
      <c r="J66" s="4" t="s">
        <v>1757</v>
      </c>
      <c r="K66" s="4" t="s">
        <v>1757</v>
      </c>
    </row>
    <row r="67">
      <c r="A67" s="4" t="s">
        <v>12900</v>
      </c>
      <c r="B67" s="13" t="s">
        <v>48</v>
      </c>
      <c r="C67" s="4">
        <v>5.0</v>
      </c>
      <c r="D67" s="4">
        <v>1.0</v>
      </c>
      <c r="E67" s="4">
        <v>2.0</v>
      </c>
      <c r="F67" s="4">
        <v>9.0</v>
      </c>
      <c r="G67" s="3"/>
      <c r="H67" s="4">
        <v>13.0</v>
      </c>
      <c r="I67" s="4">
        <v>15.0</v>
      </c>
      <c r="J67" s="4" t="s">
        <v>1757</v>
      </c>
      <c r="K67" s="4" t="s">
        <v>1757</v>
      </c>
    </row>
    <row r="68">
      <c r="A68" s="4" t="s">
        <v>12901</v>
      </c>
      <c r="B68" s="13" t="s">
        <v>48</v>
      </c>
      <c r="C68" s="4">
        <v>5.0</v>
      </c>
      <c r="D68" s="4">
        <v>1.0</v>
      </c>
      <c r="E68" s="4">
        <v>2.0</v>
      </c>
      <c r="F68" s="4">
        <v>9.0</v>
      </c>
      <c r="G68" s="3"/>
      <c r="H68" s="4">
        <v>13.0</v>
      </c>
      <c r="I68" s="4">
        <v>15.0</v>
      </c>
      <c r="J68" s="4" t="s">
        <v>1757</v>
      </c>
      <c r="K68" s="4" t="s">
        <v>1757</v>
      </c>
    </row>
    <row r="69">
      <c r="A69" s="4" t="s">
        <v>12902</v>
      </c>
      <c r="B69" s="13" t="s">
        <v>48</v>
      </c>
      <c r="C69" s="4">
        <v>5.0</v>
      </c>
      <c r="D69" s="4">
        <v>1.0</v>
      </c>
      <c r="E69" s="4">
        <v>2.0</v>
      </c>
      <c r="F69" s="4">
        <v>9.0</v>
      </c>
      <c r="G69" s="3"/>
      <c r="H69" s="4">
        <v>13.0</v>
      </c>
      <c r="I69" s="4">
        <v>15.0</v>
      </c>
      <c r="J69" s="4" t="s">
        <v>1757</v>
      </c>
      <c r="K69" s="4" t="s">
        <v>1757</v>
      </c>
    </row>
    <row r="70">
      <c r="A70" s="4" t="s">
        <v>12903</v>
      </c>
      <c r="B70" s="13" t="s">
        <v>48</v>
      </c>
      <c r="C70" s="4">
        <v>4.0</v>
      </c>
      <c r="D70" s="3"/>
      <c r="E70" s="4">
        <v>2.0</v>
      </c>
      <c r="F70" s="4">
        <v>9.0</v>
      </c>
      <c r="G70" s="3"/>
      <c r="H70" s="4">
        <v>13.0</v>
      </c>
      <c r="I70" s="4">
        <v>15.0</v>
      </c>
      <c r="J70" s="4" t="s">
        <v>1757</v>
      </c>
      <c r="K70" s="4" t="s">
        <v>1757</v>
      </c>
    </row>
    <row r="71">
      <c r="A71" s="4" t="s">
        <v>12904</v>
      </c>
      <c r="B71" s="13" t="s">
        <v>48</v>
      </c>
      <c r="C71" s="4">
        <v>2.0</v>
      </c>
      <c r="D71" s="3"/>
      <c r="E71" s="3"/>
      <c r="F71" s="4">
        <v>9.0</v>
      </c>
      <c r="G71" s="3"/>
      <c r="H71" s="4">
        <v>13.0</v>
      </c>
      <c r="I71" s="3"/>
      <c r="J71" s="4" t="s">
        <v>1757</v>
      </c>
      <c r="K71" s="4" t="s">
        <v>1757</v>
      </c>
    </row>
    <row r="72">
      <c r="A72" s="4" t="s">
        <v>12905</v>
      </c>
      <c r="B72" s="13" t="s">
        <v>48</v>
      </c>
      <c r="C72" s="4">
        <v>2.0</v>
      </c>
      <c r="D72" s="3"/>
      <c r="E72" s="3"/>
      <c r="F72" s="4">
        <v>9.0</v>
      </c>
      <c r="G72" s="3"/>
      <c r="H72" s="4">
        <v>13.0</v>
      </c>
      <c r="I72" s="3"/>
      <c r="J72" s="4" t="s">
        <v>1757</v>
      </c>
      <c r="K72" s="4" t="s">
        <v>1757</v>
      </c>
    </row>
    <row r="73">
      <c r="A73" s="4" t="s">
        <v>12906</v>
      </c>
      <c r="B73" s="13" t="s">
        <v>48</v>
      </c>
      <c r="C73" s="4">
        <v>2.0</v>
      </c>
      <c r="D73" s="3"/>
      <c r="E73" s="3"/>
      <c r="F73" s="4">
        <v>9.0</v>
      </c>
      <c r="G73" s="3"/>
      <c r="H73" s="4">
        <v>13.0</v>
      </c>
      <c r="I73" s="3"/>
      <c r="J73" s="4" t="s">
        <v>1757</v>
      </c>
    </row>
    <row r="74">
      <c r="A74" s="4" t="s">
        <v>12907</v>
      </c>
      <c r="B74" s="13" t="s">
        <v>48</v>
      </c>
      <c r="C74" s="4">
        <v>2.0</v>
      </c>
      <c r="D74" s="3"/>
      <c r="E74" s="3"/>
      <c r="F74" s="4">
        <v>9.0</v>
      </c>
      <c r="G74" s="3"/>
      <c r="H74" s="4">
        <v>13.0</v>
      </c>
      <c r="I74" s="3"/>
      <c r="J74" s="4" t="s">
        <v>1757</v>
      </c>
    </row>
    <row r="75">
      <c r="A75" s="4" t="s">
        <v>12908</v>
      </c>
      <c r="B75" s="13" t="s">
        <v>48</v>
      </c>
      <c r="C75" s="4">
        <v>2.0</v>
      </c>
      <c r="D75" s="3"/>
      <c r="E75" s="3"/>
      <c r="F75" s="4">
        <v>9.0</v>
      </c>
      <c r="G75" s="3"/>
      <c r="H75" s="4">
        <v>13.0</v>
      </c>
      <c r="I75" s="3"/>
      <c r="J75" s="4" t="s">
        <v>1757</v>
      </c>
    </row>
    <row r="76">
      <c r="A76" s="4" t="s">
        <v>12909</v>
      </c>
      <c r="B76" s="13" t="s">
        <v>48</v>
      </c>
      <c r="C76" s="4">
        <v>2.0</v>
      </c>
      <c r="D76" s="3"/>
      <c r="E76" s="4">
        <v>2.0</v>
      </c>
      <c r="F76" s="3"/>
      <c r="G76" s="3"/>
      <c r="H76" s="4">
        <v>13.0</v>
      </c>
      <c r="I76" s="3"/>
      <c r="J76" s="4" t="s">
        <v>1757</v>
      </c>
    </row>
    <row r="77">
      <c r="A77" s="4" t="s">
        <v>12910</v>
      </c>
      <c r="B77" s="13" t="s">
        <v>48</v>
      </c>
      <c r="C77" s="4">
        <v>2.0</v>
      </c>
      <c r="D77" s="3"/>
      <c r="E77" s="4">
        <v>2.0</v>
      </c>
      <c r="F77" s="3"/>
      <c r="G77" s="3"/>
      <c r="H77" s="4">
        <v>13.0</v>
      </c>
      <c r="I77" s="3"/>
    </row>
    <row r="78">
      <c r="A78" s="4" t="s">
        <v>12911</v>
      </c>
      <c r="B78" s="13" t="s">
        <v>48</v>
      </c>
      <c r="C78" s="4">
        <v>2.0</v>
      </c>
      <c r="D78" s="3"/>
      <c r="E78" s="4">
        <v>2.0</v>
      </c>
      <c r="F78" s="3"/>
      <c r="G78" s="3"/>
      <c r="H78" s="4">
        <v>13.0</v>
      </c>
      <c r="I78" s="3"/>
    </row>
    <row r="79">
      <c r="A79" s="4" t="s">
        <v>12912</v>
      </c>
      <c r="B79" s="13" t="s">
        <v>48</v>
      </c>
      <c r="C79" s="4">
        <v>2.0</v>
      </c>
      <c r="D79" s="3"/>
      <c r="E79" s="4">
        <v>2.0</v>
      </c>
      <c r="F79" s="3"/>
      <c r="G79" s="3"/>
      <c r="H79" s="4">
        <v>13.0</v>
      </c>
      <c r="I79" s="3"/>
    </row>
    <row r="80">
      <c r="A80" s="4" t="s">
        <v>12913</v>
      </c>
      <c r="B80" s="13" t="s">
        <v>48</v>
      </c>
      <c r="C80" s="4">
        <v>1.0</v>
      </c>
      <c r="D80" s="3"/>
      <c r="E80" s="3"/>
      <c r="F80" s="3"/>
      <c r="G80" s="3"/>
      <c r="H80" s="4">
        <v>13.0</v>
      </c>
      <c r="I80" s="3"/>
      <c r="J80" s="4" t="s">
        <v>1757</v>
      </c>
    </row>
    <row r="81">
      <c r="A81" s="4" t="s">
        <v>12914</v>
      </c>
      <c r="B81" s="13" t="s">
        <v>48</v>
      </c>
      <c r="C81" s="4">
        <v>1.0</v>
      </c>
      <c r="D81" s="3"/>
      <c r="E81" s="3"/>
      <c r="F81" s="3"/>
      <c r="G81" s="3"/>
      <c r="H81" s="4">
        <v>13.0</v>
      </c>
      <c r="I81" s="3"/>
      <c r="J81" s="4" t="s">
        <v>1757</v>
      </c>
    </row>
    <row r="82">
      <c r="A82" s="4" t="s">
        <v>12915</v>
      </c>
      <c r="B82" s="13" t="s">
        <v>48</v>
      </c>
      <c r="C82" s="4">
        <v>1.0</v>
      </c>
      <c r="D82" s="3"/>
      <c r="E82" s="3"/>
      <c r="F82" s="3"/>
      <c r="G82" s="3"/>
      <c r="H82" s="4">
        <v>13.0</v>
      </c>
      <c r="I82" s="3"/>
      <c r="J82" s="4" t="s">
        <v>1757</v>
      </c>
      <c r="K82" s="4" t="s">
        <v>1757</v>
      </c>
    </row>
    <row r="83">
      <c r="A83" s="4" t="s">
        <v>12916</v>
      </c>
      <c r="B83" s="13" t="s">
        <v>48</v>
      </c>
      <c r="C83" s="4">
        <v>1.0</v>
      </c>
      <c r="D83" s="3"/>
      <c r="E83" s="3"/>
      <c r="F83" s="3"/>
      <c r="G83" s="3"/>
      <c r="H83" s="4">
        <v>13.0</v>
      </c>
      <c r="I83" s="3"/>
      <c r="J83" s="4" t="s">
        <v>1757</v>
      </c>
    </row>
    <row r="84">
      <c r="A84" s="4" t="s">
        <v>12917</v>
      </c>
      <c r="B84" s="19" t="s">
        <v>43</v>
      </c>
      <c r="D84" s="3"/>
      <c r="E84" s="3"/>
      <c r="F84" s="3"/>
      <c r="G84" s="3"/>
      <c r="H84" s="3"/>
      <c r="I84" s="3"/>
      <c r="J84" s="4" t="s">
        <v>1757</v>
      </c>
    </row>
    <row r="85">
      <c r="A85" s="4" t="s">
        <v>12918</v>
      </c>
      <c r="B85" s="19" t="s">
        <v>43</v>
      </c>
      <c r="D85" s="3"/>
      <c r="E85" s="3"/>
      <c r="F85" s="3"/>
      <c r="G85" s="3"/>
      <c r="H85" s="3"/>
      <c r="I85" s="3"/>
      <c r="J85" s="4" t="s">
        <v>1757</v>
      </c>
    </row>
    <row r="86">
      <c r="A86" s="4" t="s">
        <v>12919</v>
      </c>
      <c r="B86" s="19" t="s">
        <v>43</v>
      </c>
      <c r="D86" s="3"/>
      <c r="E86" s="3"/>
      <c r="F86" s="3"/>
      <c r="G86" s="3"/>
      <c r="H86" s="3"/>
      <c r="I86" s="3"/>
      <c r="J86" s="4" t="s">
        <v>1757</v>
      </c>
    </row>
    <row r="87">
      <c r="A87" s="4" t="s">
        <v>12920</v>
      </c>
      <c r="B87" s="19" t="s">
        <v>43</v>
      </c>
      <c r="D87" s="3"/>
      <c r="E87" s="3"/>
      <c r="F87" s="3"/>
      <c r="G87" s="3"/>
      <c r="H87" s="3"/>
      <c r="I87" s="3"/>
      <c r="J87" s="4" t="s">
        <v>1757</v>
      </c>
      <c r="K87" s="4" t="s">
        <v>1757</v>
      </c>
    </row>
    <row r="88">
      <c r="A88" s="4" t="s">
        <v>12921</v>
      </c>
      <c r="B88" s="19" t="s">
        <v>43</v>
      </c>
      <c r="D88" s="3"/>
      <c r="E88" s="3"/>
      <c r="F88" s="3"/>
      <c r="G88" s="3"/>
      <c r="H88" s="3"/>
      <c r="I88" s="3"/>
      <c r="J88" s="4" t="s">
        <v>1757</v>
      </c>
      <c r="K88" s="4" t="s">
        <v>1757</v>
      </c>
    </row>
    <row r="89">
      <c r="A89" s="4" t="s">
        <v>12922</v>
      </c>
      <c r="B89" s="19" t="s">
        <v>43</v>
      </c>
      <c r="D89" s="3"/>
      <c r="E89" s="3"/>
      <c r="F89" s="3"/>
      <c r="G89" s="3"/>
      <c r="H89" s="3"/>
      <c r="I89" s="3"/>
      <c r="J89" s="4" t="s">
        <v>1757</v>
      </c>
      <c r="K89" s="4" t="s">
        <v>1757</v>
      </c>
    </row>
    <row r="90">
      <c r="A90" s="4" t="s">
        <v>12923</v>
      </c>
      <c r="B90" s="19" t="s">
        <v>43</v>
      </c>
      <c r="D90" s="3"/>
      <c r="E90" s="3"/>
      <c r="F90" s="3"/>
      <c r="G90" s="3"/>
      <c r="H90" s="3"/>
      <c r="I90" s="3"/>
      <c r="J90" s="4" t="s">
        <v>1757</v>
      </c>
      <c r="K90" s="4" t="s">
        <v>1757</v>
      </c>
    </row>
    <row r="91">
      <c r="A91" s="4" t="s">
        <v>12924</v>
      </c>
      <c r="B91" s="19" t="s">
        <v>43</v>
      </c>
      <c r="D91" s="3"/>
      <c r="E91" s="3"/>
      <c r="F91" s="3"/>
      <c r="G91" s="3"/>
      <c r="H91" s="3"/>
      <c r="I91" s="3"/>
      <c r="J91" s="4" t="s">
        <v>1757</v>
      </c>
      <c r="K91" s="4" t="s">
        <v>1757</v>
      </c>
    </row>
    <row r="92">
      <c r="A92" s="4" t="s">
        <v>12925</v>
      </c>
      <c r="B92" s="19" t="s">
        <v>43</v>
      </c>
      <c r="D92" s="3"/>
      <c r="E92" s="3"/>
      <c r="F92" s="3"/>
      <c r="G92" s="3"/>
      <c r="H92" s="3"/>
      <c r="I92" s="3"/>
      <c r="J92" s="4" t="s">
        <v>1757</v>
      </c>
      <c r="K92" s="4" t="s">
        <v>1757</v>
      </c>
    </row>
    <row r="93">
      <c r="A93" s="4" t="s">
        <v>12926</v>
      </c>
      <c r="B93" s="19" t="s">
        <v>43</v>
      </c>
      <c r="D93" s="3"/>
      <c r="E93" s="3"/>
      <c r="F93" s="3"/>
      <c r="G93" s="3"/>
      <c r="H93" s="3"/>
      <c r="I93" s="3"/>
      <c r="J93" s="4" t="s">
        <v>1757</v>
      </c>
    </row>
    <row r="94">
      <c r="A94" s="4" t="s">
        <v>12927</v>
      </c>
      <c r="B94" s="19" t="s">
        <v>43</v>
      </c>
      <c r="D94" s="3"/>
      <c r="E94" s="3"/>
      <c r="F94" s="3"/>
      <c r="G94" s="3"/>
      <c r="H94" s="3"/>
      <c r="I94" s="3"/>
      <c r="J94" s="4" t="s">
        <v>1757</v>
      </c>
    </row>
    <row r="95">
      <c r="A95" s="4" t="s">
        <v>12928</v>
      </c>
      <c r="B95" s="19" t="s">
        <v>43</v>
      </c>
      <c r="D95" s="3"/>
      <c r="E95" s="3"/>
      <c r="F95" s="3"/>
      <c r="G95" s="3"/>
      <c r="H95" s="3"/>
      <c r="I95" s="3"/>
      <c r="J95" s="4" t="s">
        <v>1757</v>
      </c>
    </row>
    <row r="96">
      <c r="A96" s="4" t="s">
        <v>12929</v>
      </c>
      <c r="B96" s="19" t="s">
        <v>43</v>
      </c>
      <c r="D96" s="3"/>
      <c r="E96" s="3"/>
      <c r="F96" s="3"/>
      <c r="G96" s="3"/>
      <c r="H96" s="3"/>
      <c r="I96" s="3"/>
      <c r="J96" s="4" t="s">
        <v>1757</v>
      </c>
    </row>
    <row r="97">
      <c r="A97" s="4" t="s">
        <v>12930</v>
      </c>
      <c r="B97" s="19" t="s">
        <v>43</v>
      </c>
      <c r="D97" s="3"/>
      <c r="E97" s="3"/>
      <c r="F97" s="3"/>
      <c r="G97" s="3"/>
      <c r="H97" s="3"/>
      <c r="I97" s="3"/>
      <c r="J97" s="4" t="s">
        <v>1757</v>
      </c>
    </row>
    <row r="98">
      <c r="A98" s="4" t="s">
        <v>12931</v>
      </c>
      <c r="B98" s="19" t="s">
        <v>43</v>
      </c>
      <c r="D98" s="3"/>
      <c r="E98" s="3"/>
      <c r="F98" s="3"/>
      <c r="G98" s="3"/>
      <c r="H98" s="3"/>
      <c r="I98" s="3"/>
      <c r="J98" s="4" t="s">
        <v>1757</v>
      </c>
    </row>
    <row r="99">
      <c r="A99" s="4" t="s">
        <v>12932</v>
      </c>
      <c r="B99" s="19" t="s">
        <v>43</v>
      </c>
      <c r="D99" s="3"/>
      <c r="E99" s="3"/>
      <c r="F99" s="3"/>
      <c r="G99" s="3"/>
      <c r="H99" s="3"/>
      <c r="I99" s="3"/>
      <c r="J99" s="4" t="s">
        <v>1757</v>
      </c>
    </row>
    <row r="100">
      <c r="A100" s="4" t="s">
        <v>12933</v>
      </c>
      <c r="B100" s="19" t="s">
        <v>43</v>
      </c>
      <c r="D100" s="3"/>
      <c r="E100" s="3"/>
      <c r="F100" s="3"/>
      <c r="G100" s="3"/>
      <c r="H100" s="3"/>
      <c r="I100" s="3"/>
      <c r="J100" s="4" t="s">
        <v>1757</v>
      </c>
    </row>
    <row r="101">
      <c r="A101" s="4" t="s">
        <v>12934</v>
      </c>
      <c r="B101" s="19" t="s">
        <v>43</v>
      </c>
      <c r="D101" s="3"/>
      <c r="E101" s="3"/>
      <c r="F101" s="3"/>
      <c r="G101" s="3"/>
      <c r="H101" s="3"/>
      <c r="I101" s="3"/>
      <c r="J101" s="4" t="s">
        <v>1757</v>
      </c>
    </row>
    <row r="102">
      <c r="A102" s="4" t="s">
        <v>12935</v>
      </c>
      <c r="B102" s="19" t="s">
        <v>43</v>
      </c>
      <c r="D102" s="3"/>
      <c r="E102" s="3"/>
      <c r="F102" s="3"/>
      <c r="G102" s="3"/>
      <c r="H102" s="3"/>
      <c r="I102" s="3"/>
      <c r="J102" s="4" t="s">
        <v>1757</v>
      </c>
    </row>
    <row r="103">
      <c r="A103" s="4" t="s">
        <v>12936</v>
      </c>
      <c r="B103" s="19" t="s">
        <v>43</v>
      </c>
      <c r="D103" s="3"/>
      <c r="E103" s="3"/>
      <c r="F103" s="3"/>
      <c r="G103" s="3"/>
      <c r="H103" s="3"/>
      <c r="I103" s="3"/>
    </row>
    <row r="104">
      <c r="A104" s="4" t="s">
        <v>12937</v>
      </c>
      <c r="B104" s="19" t="s">
        <v>43</v>
      </c>
      <c r="D104" s="3"/>
      <c r="E104" s="3"/>
      <c r="F104" s="3"/>
      <c r="G104" s="3"/>
      <c r="H104" s="3"/>
      <c r="I104" s="3"/>
    </row>
    <row r="105">
      <c r="A105" s="4" t="s">
        <v>12938</v>
      </c>
      <c r="B105" s="19" t="s">
        <v>43</v>
      </c>
      <c r="D105" s="3"/>
      <c r="E105" s="3"/>
      <c r="F105" s="3"/>
      <c r="G105" s="3"/>
      <c r="H105" s="3"/>
      <c r="I105" s="3"/>
    </row>
    <row r="106">
      <c r="A106" s="4" t="s">
        <v>12939</v>
      </c>
      <c r="B106" s="19" t="s">
        <v>43</v>
      </c>
      <c r="D106" s="3"/>
      <c r="E106" s="3"/>
      <c r="F106" s="3"/>
      <c r="G106" s="3"/>
      <c r="H106" s="3"/>
      <c r="I106" s="3"/>
    </row>
    <row r="107">
      <c r="A107" s="4" t="s">
        <v>12940</v>
      </c>
      <c r="B107" s="19" t="s">
        <v>43</v>
      </c>
      <c r="D107" s="3"/>
      <c r="E107" s="3"/>
      <c r="F107" s="3"/>
      <c r="G107" s="3"/>
      <c r="H107" s="3"/>
      <c r="I107" s="3"/>
    </row>
    <row r="108">
      <c r="A108" s="4" t="s">
        <v>12941</v>
      </c>
      <c r="B108" s="19" t="s">
        <v>43</v>
      </c>
      <c r="D108" s="3"/>
      <c r="E108" s="3"/>
      <c r="F108" s="3"/>
      <c r="G108" s="3"/>
      <c r="H108" s="3"/>
      <c r="I108" s="3"/>
    </row>
    <row r="109">
      <c r="A109" s="4" t="s">
        <v>12942</v>
      </c>
      <c r="B109" s="19" t="s">
        <v>43</v>
      </c>
      <c r="D109" s="3"/>
      <c r="E109" s="3"/>
      <c r="F109" s="3"/>
      <c r="G109" s="3"/>
      <c r="H109" s="3"/>
      <c r="I109" s="3"/>
    </row>
    <row r="110">
      <c r="A110" s="4" t="s">
        <v>12943</v>
      </c>
      <c r="B110" s="19" t="s">
        <v>43</v>
      </c>
      <c r="D110" s="3"/>
      <c r="E110" s="3"/>
      <c r="F110" s="3"/>
      <c r="G110" s="3"/>
      <c r="H110" s="3"/>
      <c r="I110" s="3"/>
    </row>
    <row r="111">
      <c r="A111" s="4" t="s">
        <v>12944</v>
      </c>
      <c r="B111" s="19" t="s">
        <v>43</v>
      </c>
      <c r="D111" s="3"/>
      <c r="E111" s="3"/>
      <c r="F111" s="3"/>
      <c r="G111" s="3"/>
      <c r="H111" s="3"/>
      <c r="I111" s="3"/>
    </row>
    <row r="112">
      <c r="A112" s="4" t="s">
        <v>12945</v>
      </c>
      <c r="B112" s="19" t="s">
        <v>43</v>
      </c>
      <c r="D112" s="3"/>
      <c r="E112" s="3"/>
      <c r="F112" s="3"/>
      <c r="G112" s="3"/>
      <c r="H112" s="3"/>
      <c r="I112" s="3"/>
    </row>
    <row r="113">
      <c r="A113" s="4" t="s">
        <v>12946</v>
      </c>
      <c r="B113" s="19" t="s">
        <v>43</v>
      </c>
      <c r="D113" s="3"/>
      <c r="E113" s="3"/>
      <c r="F113" s="3"/>
      <c r="G113" s="3"/>
      <c r="H113" s="3"/>
      <c r="I113" s="3"/>
    </row>
    <row r="114">
      <c r="A114" s="4" t="s">
        <v>12947</v>
      </c>
      <c r="B114" s="19" t="s">
        <v>43</v>
      </c>
      <c r="D114" s="3"/>
      <c r="E114" s="3"/>
      <c r="F114" s="3"/>
      <c r="G114" s="3"/>
      <c r="H114" s="3"/>
      <c r="I114" s="3"/>
    </row>
    <row r="115">
      <c r="A115" s="4" t="s">
        <v>12948</v>
      </c>
      <c r="B115" s="19" t="s">
        <v>43</v>
      </c>
      <c r="D115" s="3"/>
      <c r="E115" s="3"/>
      <c r="F115" s="3"/>
      <c r="G115" s="3"/>
      <c r="H115" s="3"/>
      <c r="I115" s="3"/>
    </row>
    <row r="116">
      <c r="A116" s="4" t="s">
        <v>12949</v>
      </c>
      <c r="B116" s="19" t="s">
        <v>43</v>
      </c>
      <c r="D116" s="3"/>
      <c r="E116" s="3"/>
      <c r="F116" s="3"/>
      <c r="G116" s="3"/>
      <c r="H116" s="3"/>
      <c r="I116" s="3"/>
      <c r="J116" s="4" t="s">
        <v>1757</v>
      </c>
    </row>
    <row r="117">
      <c r="A117" s="4" t="s">
        <v>12950</v>
      </c>
      <c r="B117" s="19" t="s">
        <v>43</v>
      </c>
      <c r="D117" s="3"/>
      <c r="E117" s="3"/>
      <c r="F117" s="3"/>
      <c r="G117" s="3"/>
      <c r="H117" s="3"/>
      <c r="I117" s="3"/>
      <c r="J117" s="4" t="s">
        <v>1757</v>
      </c>
    </row>
    <row r="118">
      <c r="A118" s="4" t="s">
        <v>12951</v>
      </c>
      <c r="B118" s="19" t="s">
        <v>43</v>
      </c>
      <c r="D118" s="3"/>
      <c r="E118" s="3"/>
      <c r="F118" s="3"/>
      <c r="G118" s="3"/>
      <c r="H118" s="3"/>
      <c r="I118" s="3"/>
      <c r="J118" s="4" t="s">
        <v>1757</v>
      </c>
    </row>
    <row r="119">
      <c r="A119" s="4" t="s">
        <v>12952</v>
      </c>
      <c r="B119" s="19" t="s">
        <v>43</v>
      </c>
      <c r="D119" s="3"/>
      <c r="E119" s="3"/>
      <c r="F119" s="3"/>
      <c r="G119" s="3"/>
      <c r="H119" s="3"/>
      <c r="I119" s="3"/>
      <c r="J119" s="4" t="s">
        <v>1757</v>
      </c>
    </row>
    <row r="120">
      <c r="A120" s="4" t="s">
        <v>12953</v>
      </c>
      <c r="B120" s="19" t="s">
        <v>48</v>
      </c>
      <c r="C120" s="4">
        <v>1.0</v>
      </c>
      <c r="D120" s="3"/>
      <c r="E120" s="3"/>
      <c r="F120" s="3"/>
      <c r="G120" s="3"/>
      <c r="H120" s="4">
        <v>13.0</v>
      </c>
      <c r="I120" s="3"/>
      <c r="J120" s="4" t="s">
        <v>1757</v>
      </c>
    </row>
    <row r="121">
      <c r="A121" s="4" t="s">
        <v>12954</v>
      </c>
      <c r="B121" s="19" t="s">
        <v>48</v>
      </c>
      <c r="C121" s="4">
        <v>1.0</v>
      </c>
      <c r="D121" s="3"/>
      <c r="E121" s="3"/>
      <c r="F121" s="3"/>
      <c r="G121" s="3"/>
      <c r="H121" s="4">
        <v>13.0</v>
      </c>
      <c r="I121" s="3"/>
      <c r="J121" s="4" t="s">
        <v>1757</v>
      </c>
    </row>
    <row r="122">
      <c r="A122" s="4" t="s">
        <v>12955</v>
      </c>
      <c r="B122" s="19" t="s">
        <v>48</v>
      </c>
      <c r="C122" s="4">
        <v>1.0</v>
      </c>
      <c r="D122" s="3"/>
      <c r="E122" s="3"/>
      <c r="F122" s="3"/>
      <c r="G122" s="3"/>
      <c r="H122" s="4">
        <v>13.0</v>
      </c>
      <c r="I122" s="3"/>
      <c r="J122" s="4" t="s">
        <v>1757</v>
      </c>
    </row>
    <row r="123">
      <c r="A123" s="4" t="s">
        <v>12956</v>
      </c>
      <c r="B123" s="19" t="s">
        <v>48</v>
      </c>
      <c r="C123" s="4">
        <v>1.0</v>
      </c>
      <c r="D123" s="3"/>
      <c r="E123" s="3"/>
      <c r="F123" s="3"/>
      <c r="G123" s="3"/>
      <c r="H123" s="4">
        <v>13.0</v>
      </c>
      <c r="I123" s="3"/>
      <c r="J123" s="4" t="s">
        <v>1757</v>
      </c>
    </row>
    <row r="124">
      <c r="A124" s="4" t="s">
        <v>12957</v>
      </c>
      <c r="B124" s="19" t="s">
        <v>48</v>
      </c>
      <c r="C124" s="4">
        <v>1.0</v>
      </c>
      <c r="D124" s="3"/>
      <c r="E124" s="3"/>
      <c r="F124" s="3"/>
      <c r="G124" s="3"/>
      <c r="H124" s="4">
        <v>13.0</v>
      </c>
      <c r="I124" s="3"/>
      <c r="J124" s="4" t="s">
        <v>1757</v>
      </c>
    </row>
    <row r="125">
      <c r="A125" s="4" t="s">
        <v>12958</v>
      </c>
      <c r="B125" s="19" t="s">
        <v>48</v>
      </c>
      <c r="C125" s="4">
        <v>2.0</v>
      </c>
      <c r="D125" s="3"/>
      <c r="E125" s="4">
        <v>2.0</v>
      </c>
      <c r="F125" s="3"/>
      <c r="G125" s="3"/>
      <c r="H125" s="4">
        <v>13.0</v>
      </c>
      <c r="I125" s="3"/>
    </row>
    <row r="126">
      <c r="A126" s="4" t="s">
        <v>12959</v>
      </c>
      <c r="B126" s="19" t="s">
        <v>48</v>
      </c>
      <c r="C126" s="4">
        <v>3.0</v>
      </c>
      <c r="D126" s="3"/>
      <c r="E126" s="4">
        <v>2.0</v>
      </c>
      <c r="F126" s="4">
        <v>9.0</v>
      </c>
      <c r="G126" s="3"/>
      <c r="H126" s="4">
        <v>13.0</v>
      </c>
      <c r="I126" s="3"/>
    </row>
    <row r="127">
      <c r="A127" s="4" t="s">
        <v>12960</v>
      </c>
      <c r="B127" s="19" t="s">
        <v>48</v>
      </c>
      <c r="C127" s="4">
        <v>3.0</v>
      </c>
      <c r="D127" s="3"/>
      <c r="E127" s="4">
        <v>2.0</v>
      </c>
      <c r="F127" s="4">
        <v>9.0</v>
      </c>
      <c r="G127" s="3"/>
      <c r="H127" s="4">
        <v>13.0</v>
      </c>
      <c r="I127" s="3"/>
      <c r="J127" s="4" t="s">
        <v>1757</v>
      </c>
    </row>
    <row r="128">
      <c r="A128" s="4" t="s">
        <v>12961</v>
      </c>
      <c r="B128" s="19" t="s">
        <v>48</v>
      </c>
      <c r="C128" s="4">
        <v>4.0</v>
      </c>
      <c r="D128" s="4">
        <v>1.0</v>
      </c>
      <c r="E128" s="4">
        <v>2.0</v>
      </c>
      <c r="F128" s="4">
        <v>9.0</v>
      </c>
      <c r="G128" s="3"/>
      <c r="H128" s="4">
        <v>13.0</v>
      </c>
      <c r="I128" s="3"/>
      <c r="J128" s="4" t="s">
        <v>1757</v>
      </c>
    </row>
    <row r="129">
      <c r="A129" s="4" t="s">
        <v>12962</v>
      </c>
      <c r="B129" s="19" t="s">
        <v>48</v>
      </c>
      <c r="C129" s="4">
        <v>4.0</v>
      </c>
      <c r="D129" s="4">
        <v>1.0</v>
      </c>
      <c r="E129" s="4">
        <v>2.0</v>
      </c>
      <c r="F129" s="4">
        <v>9.0</v>
      </c>
      <c r="G129" s="3"/>
      <c r="H129" s="4">
        <v>13.0</v>
      </c>
      <c r="I129" s="3"/>
      <c r="J129" s="4" t="s">
        <v>1757</v>
      </c>
    </row>
    <row r="130">
      <c r="A130" s="4" t="s">
        <v>12963</v>
      </c>
      <c r="B130" s="19" t="s">
        <v>48</v>
      </c>
      <c r="C130" s="4">
        <v>4.0</v>
      </c>
      <c r="D130" s="4">
        <v>1.0</v>
      </c>
      <c r="E130" s="4">
        <v>2.0</v>
      </c>
      <c r="F130" s="4">
        <v>9.0</v>
      </c>
      <c r="G130" s="3"/>
      <c r="H130" s="4">
        <v>13.0</v>
      </c>
      <c r="I130" s="3"/>
      <c r="J130" s="4" t="s">
        <v>1757</v>
      </c>
    </row>
    <row r="131">
      <c r="A131" s="4" t="s">
        <v>12964</v>
      </c>
      <c r="B131" s="19" t="s">
        <v>48</v>
      </c>
      <c r="C131" s="4">
        <v>4.0</v>
      </c>
      <c r="D131" s="4">
        <v>1.0</v>
      </c>
      <c r="E131" s="4">
        <v>2.0</v>
      </c>
      <c r="F131" s="4">
        <v>9.0</v>
      </c>
      <c r="G131" s="3"/>
      <c r="H131" s="4">
        <v>13.0</v>
      </c>
      <c r="I131" s="3"/>
      <c r="J131" s="4" t="s">
        <v>1757</v>
      </c>
      <c r="K131" s="4" t="s">
        <v>1757</v>
      </c>
    </row>
    <row r="132">
      <c r="A132" s="4" t="s">
        <v>12965</v>
      </c>
      <c r="B132" s="19" t="s">
        <v>48</v>
      </c>
      <c r="C132" s="4">
        <v>4.0</v>
      </c>
      <c r="D132" s="4">
        <v>1.0</v>
      </c>
      <c r="E132" s="4">
        <v>2.0</v>
      </c>
      <c r="F132" s="4">
        <v>9.0</v>
      </c>
      <c r="G132" s="3"/>
      <c r="H132" s="4">
        <v>13.0</v>
      </c>
      <c r="I132" s="3"/>
      <c r="J132" s="4" t="s">
        <v>1757</v>
      </c>
      <c r="K132" s="4" t="s">
        <v>1757</v>
      </c>
      <c r="L132" s="4" t="s">
        <v>1757</v>
      </c>
    </row>
    <row r="133">
      <c r="A133" s="4" t="s">
        <v>12966</v>
      </c>
      <c r="B133" s="19" t="s">
        <v>48</v>
      </c>
      <c r="C133" s="4">
        <v>5.0</v>
      </c>
      <c r="D133" s="4">
        <v>1.0</v>
      </c>
      <c r="E133" s="4">
        <v>2.0</v>
      </c>
      <c r="F133" s="4">
        <v>9.0</v>
      </c>
      <c r="G133" s="3"/>
      <c r="H133" s="4">
        <v>13.0</v>
      </c>
      <c r="I133" s="4">
        <v>15.0</v>
      </c>
      <c r="J133" s="4" t="s">
        <v>1757</v>
      </c>
      <c r="K133" s="4" t="s">
        <v>1757</v>
      </c>
      <c r="L133" s="4" t="s">
        <v>1757</v>
      </c>
    </row>
    <row r="134">
      <c r="A134" s="4" t="s">
        <v>12967</v>
      </c>
      <c r="B134" s="19" t="s">
        <v>48</v>
      </c>
      <c r="C134" s="4">
        <v>4.0</v>
      </c>
      <c r="D134" s="3"/>
      <c r="E134" s="4">
        <v>2.0</v>
      </c>
      <c r="F134" s="4">
        <v>9.0</v>
      </c>
      <c r="G134" s="3"/>
      <c r="H134" s="4">
        <v>13.0</v>
      </c>
      <c r="I134" s="4">
        <v>15.0</v>
      </c>
      <c r="J134" s="4" t="s">
        <v>1757</v>
      </c>
      <c r="K134" s="4" t="s">
        <v>1757</v>
      </c>
    </row>
    <row r="135">
      <c r="A135" s="4" t="s">
        <v>12968</v>
      </c>
      <c r="B135" s="19" t="s">
        <v>48</v>
      </c>
      <c r="C135" s="4">
        <v>4.0</v>
      </c>
      <c r="D135" s="3"/>
      <c r="E135" s="4">
        <v>2.0</v>
      </c>
      <c r="F135" s="4">
        <v>9.0</v>
      </c>
      <c r="G135" s="3"/>
      <c r="H135" s="4">
        <v>13.0</v>
      </c>
      <c r="I135" s="4">
        <v>15.0</v>
      </c>
      <c r="J135" s="4" t="s">
        <v>1757</v>
      </c>
      <c r="K135" s="4" t="s">
        <v>1757</v>
      </c>
    </row>
    <row r="136">
      <c r="A136" s="4" t="s">
        <v>12969</v>
      </c>
      <c r="B136" s="19" t="s">
        <v>48</v>
      </c>
      <c r="C136" s="4">
        <v>4.0</v>
      </c>
      <c r="D136" s="3"/>
      <c r="E136" s="4">
        <v>2.0</v>
      </c>
      <c r="F136" s="4">
        <v>9.0</v>
      </c>
      <c r="G136" s="3"/>
      <c r="H136" s="4">
        <v>13.0</v>
      </c>
      <c r="I136" s="4">
        <v>15.0</v>
      </c>
      <c r="J136" s="4" t="s">
        <v>1757</v>
      </c>
      <c r="K136" s="4" t="s">
        <v>1757</v>
      </c>
    </row>
    <row r="137">
      <c r="A137" s="4" t="s">
        <v>12970</v>
      </c>
      <c r="B137" s="19" t="s">
        <v>48</v>
      </c>
      <c r="C137" s="4">
        <v>4.0</v>
      </c>
      <c r="D137" s="3"/>
      <c r="E137" s="4">
        <v>2.0</v>
      </c>
      <c r="F137" s="4">
        <v>9.0</v>
      </c>
      <c r="G137" s="3"/>
      <c r="H137" s="4">
        <v>13.0</v>
      </c>
      <c r="I137" s="4">
        <v>15.0</v>
      </c>
      <c r="J137" s="4" t="s">
        <v>1757</v>
      </c>
      <c r="K137" s="4" t="s">
        <v>1757</v>
      </c>
    </row>
    <row r="138">
      <c r="A138" s="4" t="s">
        <v>12971</v>
      </c>
      <c r="B138" s="19" t="s">
        <v>48</v>
      </c>
      <c r="C138" s="4">
        <v>2.0</v>
      </c>
      <c r="D138" s="3"/>
      <c r="E138" s="3"/>
      <c r="F138" s="4">
        <v>9.0</v>
      </c>
      <c r="G138" s="3"/>
      <c r="H138" s="4">
        <v>13.0</v>
      </c>
      <c r="I138" s="3"/>
      <c r="J138" s="4" t="s">
        <v>1757</v>
      </c>
      <c r="K138" s="4" t="s">
        <v>1757</v>
      </c>
    </row>
    <row r="139">
      <c r="A139" s="4" t="s">
        <v>12972</v>
      </c>
      <c r="B139" s="19" t="s">
        <v>48</v>
      </c>
      <c r="C139" s="4">
        <v>3.0</v>
      </c>
      <c r="D139" s="3"/>
      <c r="E139" s="4">
        <v>2.0</v>
      </c>
      <c r="F139" s="4">
        <v>9.0</v>
      </c>
      <c r="G139" s="3"/>
      <c r="H139" s="4">
        <v>13.0</v>
      </c>
      <c r="I139" s="3"/>
      <c r="J139" s="4" t="s">
        <v>1757</v>
      </c>
      <c r="K139" s="4" t="s">
        <v>1757</v>
      </c>
    </row>
    <row r="140">
      <c r="A140" s="4" t="s">
        <v>12973</v>
      </c>
      <c r="B140" s="19" t="s">
        <v>48</v>
      </c>
      <c r="C140" s="4">
        <v>3.0</v>
      </c>
      <c r="D140" s="3"/>
      <c r="E140" s="4">
        <v>2.0</v>
      </c>
      <c r="F140" s="4">
        <v>9.0</v>
      </c>
      <c r="G140" s="3"/>
      <c r="H140" s="4">
        <v>13.0</v>
      </c>
      <c r="I140" s="3"/>
      <c r="J140" s="4" t="s">
        <v>1757</v>
      </c>
      <c r="K140" s="4" t="s">
        <v>1757</v>
      </c>
    </row>
    <row r="141">
      <c r="A141" s="4" t="s">
        <v>12974</v>
      </c>
      <c r="B141" s="19" t="s">
        <v>48</v>
      </c>
      <c r="C141" s="4">
        <v>2.0</v>
      </c>
      <c r="D141" s="3"/>
      <c r="E141" s="3"/>
      <c r="F141" s="4">
        <v>9.0</v>
      </c>
      <c r="G141" s="3"/>
      <c r="H141" s="4">
        <v>13.0</v>
      </c>
      <c r="I141" s="3"/>
      <c r="J141" s="4" t="s">
        <v>1757</v>
      </c>
      <c r="K141" s="4" t="s">
        <v>1757</v>
      </c>
    </row>
    <row r="142">
      <c r="A142" s="4" t="s">
        <v>12975</v>
      </c>
      <c r="B142" s="19" t="s">
        <v>48</v>
      </c>
      <c r="C142" s="4">
        <v>3.0</v>
      </c>
      <c r="D142" s="3"/>
      <c r="E142" s="3"/>
      <c r="F142" s="4">
        <v>9.0</v>
      </c>
      <c r="G142" s="3"/>
      <c r="H142" s="4">
        <v>13.0</v>
      </c>
      <c r="I142" s="4">
        <v>15.0</v>
      </c>
      <c r="J142" s="4" t="s">
        <v>1757</v>
      </c>
      <c r="K142" s="4" t="s">
        <v>1757</v>
      </c>
    </row>
    <row r="143">
      <c r="A143" s="4" t="s">
        <v>12976</v>
      </c>
      <c r="B143" s="19" t="s">
        <v>48</v>
      </c>
      <c r="C143" s="4">
        <v>3.0</v>
      </c>
      <c r="D143" s="3"/>
      <c r="E143" s="3"/>
      <c r="F143" s="4">
        <v>9.0</v>
      </c>
      <c r="G143" s="3"/>
      <c r="H143" s="4">
        <v>13.0</v>
      </c>
      <c r="I143" s="4">
        <v>15.0</v>
      </c>
      <c r="J143" s="4" t="s">
        <v>1757</v>
      </c>
      <c r="K143" s="4" t="s">
        <v>1757</v>
      </c>
    </row>
    <row r="144">
      <c r="A144" s="4" t="s">
        <v>12977</v>
      </c>
      <c r="B144" s="19" t="s">
        <v>48</v>
      </c>
      <c r="C144" s="4">
        <v>1.0</v>
      </c>
      <c r="D144" s="3"/>
      <c r="E144" s="3"/>
      <c r="F144" s="4">
        <v>9.0</v>
      </c>
      <c r="G144" s="3"/>
      <c r="H144" s="3"/>
      <c r="I144" s="3"/>
      <c r="J144" s="4" t="s">
        <v>1757</v>
      </c>
      <c r="K144" s="4" t="s">
        <v>1757</v>
      </c>
    </row>
    <row r="145">
      <c r="A145" s="4" t="s">
        <v>12978</v>
      </c>
      <c r="B145" s="19" t="s">
        <v>48</v>
      </c>
      <c r="C145" s="4">
        <v>1.0</v>
      </c>
      <c r="D145" s="3"/>
      <c r="E145" s="3"/>
      <c r="F145" s="4">
        <v>9.0</v>
      </c>
      <c r="G145" s="3"/>
      <c r="H145" s="3"/>
      <c r="I145" s="3"/>
      <c r="J145" s="4" t="s">
        <v>1757</v>
      </c>
    </row>
    <row r="146">
      <c r="A146" s="4" t="s">
        <v>12979</v>
      </c>
      <c r="B146" s="19" t="s">
        <v>48</v>
      </c>
      <c r="C146" s="4">
        <v>2.0</v>
      </c>
      <c r="D146" s="3"/>
      <c r="E146" s="3"/>
      <c r="F146" s="4">
        <v>9.0</v>
      </c>
      <c r="G146" s="4">
        <v>10.0</v>
      </c>
      <c r="H146" s="3"/>
      <c r="I146" s="3"/>
      <c r="J146" s="4" t="s">
        <v>1757</v>
      </c>
    </row>
    <row r="147">
      <c r="A147" s="4" t="s">
        <v>12980</v>
      </c>
      <c r="B147" s="19" t="s">
        <v>48</v>
      </c>
      <c r="C147" s="4">
        <v>1.0</v>
      </c>
      <c r="D147" s="3"/>
      <c r="E147" s="3"/>
      <c r="F147" s="4">
        <v>9.0</v>
      </c>
      <c r="G147" s="3"/>
      <c r="H147" s="3"/>
      <c r="I147" s="3"/>
      <c r="J147" s="4" t="s">
        <v>1757</v>
      </c>
    </row>
    <row r="148">
      <c r="A148" s="4" t="s">
        <v>12981</v>
      </c>
      <c r="B148" s="19" t="s">
        <v>48</v>
      </c>
      <c r="C148" s="4">
        <v>2.0</v>
      </c>
      <c r="D148" s="3"/>
      <c r="E148" s="3"/>
      <c r="F148" s="4">
        <v>9.0</v>
      </c>
      <c r="G148" s="4">
        <v>10.0</v>
      </c>
      <c r="H148" s="3"/>
      <c r="I148" s="3"/>
      <c r="J148" s="4" t="s">
        <v>1757</v>
      </c>
    </row>
    <row r="149">
      <c r="A149" s="4" t="s">
        <v>12982</v>
      </c>
      <c r="B149" s="19" t="s">
        <v>48</v>
      </c>
      <c r="C149" s="4">
        <v>2.0</v>
      </c>
      <c r="D149" s="3"/>
      <c r="E149" s="3"/>
      <c r="F149" s="4">
        <v>9.0</v>
      </c>
      <c r="G149" s="4">
        <v>10.0</v>
      </c>
      <c r="H149" s="3"/>
      <c r="I149" s="3"/>
      <c r="J149" s="4" t="s">
        <v>1757</v>
      </c>
    </row>
    <row r="150">
      <c r="A150" s="4" t="s">
        <v>12983</v>
      </c>
      <c r="B150" s="19" t="s">
        <v>48</v>
      </c>
      <c r="C150" s="4">
        <v>1.0</v>
      </c>
      <c r="D150" s="3"/>
      <c r="E150" s="3"/>
      <c r="F150" s="4">
        <v>9.0</v>
      </c>
      <c r="G150" s="3"/>
      <c r="H150" s="3"/>
      <c r="I150" s="3"/>
      <c r="J150" s="4" t="s">
        <v>1757</v>
      </c>
    </row>
    <row r="151">
      <c r="A151" s="4" t="s">
        <v>12984</v>
      </c>
      <c r="B151" s="13" t="s">
        <v>43</v>
      </c>
      <c r="D151" s="3"/>
      <c r="E151" s="3"/>
      <c r="F151" s="3"/>
      <c r="G151" s="3"/>
      <c r="H151" s="3"/>
      <c r="I151" s="3"/>
      <c r="J151" s="4" t="s">
        <v>1757</v>
      </c>
    </row>
    <row r="152">
      <c r="A152" s="4" t="s">
        <v>12985</v>
      </c>
      <c r="B152" s="13" t="s">
        <v>48</v>
      </c>
      <c r="C152" s="4">
        <v>1.0</v>
      </c>
      <c r="D152" s="3"/>
      <c r="E152" s="3"/>
      <c r="F152" s="3"/>
      <c r="G152" s="4">
        <v>10.0</v>
      </c>
      <c r="H152" s="3"/>
      <c r="I152" s="3"/>
      <c r="J152" s="4" t="s">
        <v>1757</v>
      </c>
    </row>
    <row r="153">
      <c r="A153" s="4" t="s">
        <v>12986</v>
      </c>
      <c r="B153" s="13" t="s">
        <v>43</v>
      </c>
      <c r="D153" s="3"/>
      <c r="E153" s="3"/>
      <c r="F153" s="3"/>
      <c r="G153" s="3"/>
      <c r="H153" s="3"/>
      <c r="I153" s="3"/>
      <c r="J153" s="4" t="s">
        <v>1757</v>
      </c>
    </row>
    <row r="154">
      <c r="A154" s="4" t="s">
        <v>12987</v>
      </c>
      <c r="B154" s="13" t="s">
        <v>48</v>
      </c>
      <c r="C154" s="4">
        <v>1.0</v>
      </c>
      <c r="D154" s="3"/>
      <c r="E154" s="3"/>
      <c r="F154" s="3"/>
      <c r="G154" s="4">
        <v>10.0</v>
      </c>
      <c r="H154" s="3"/>
      <c r="I154" s="3"/>
    </row>
    <row r="155">
      <c r="A155" s="4" t="s">
        <v>12988</v>
      </c>
      <c r="B155" s="13" t="s">
        <v>48</v>
      </c>
      <c r="C155" s="4">
        <v>1.0</v>
      </c>
      <c r="D155" s="3"/>
      <c r="E155" s="3"/>
      <c r="F155" s="3"/>
      <c r="G155" s="4">
        <v>10.0</v>
      </c>
      <c r="H155" s="3"/>
      <c r="I155" s="3"/>
    </row>
    <row r="156">
      <c r="A156" s="4" t="s">
        <v>12989</v>
      </c>
      <c r="B156" s="13" t="s">
        <v>48</v>
      </c>
      <c r="C156" s="4">
        <v>1.0</v>
      </c>
      <c r="D156" s="3"/>
      <c r="E156" s="3"/>
      <c r="F156" s="3"/>
      <c r="G156" s="4">
        <v>10.0</v>
      </c>
      <c r="H156" s="3"/>
      <c r="I156" s="3"/>
    </row>
    <row r="157">
      <c r="A157" s="4" t="s">
        <v>12990</v>
      </c>
      <c r="B157" s="13" t="s">
        <v>48</v>
      </c>
      <c r="C157" s="4">
        <v>1.0</v>
      </c>
      <c r="D157" s="3"/>
      <c r="E157" s="3"/>
      <c r="F157" s="3"/>
      <c r="G157" s="4">
        <v>10.0</v>
      </c>
      <c r="H157" s="3"/>
      <c r="I157" s="3"/>
    </row>
    <row r="158">
      <c r="A158" s="4" t="s">
        <v>12991</v>
      </c>
      <c r="B158" s="13" t="s">
        <v>48</v>
      </c>
      <c r="C158" s="4">
        <v>1.0</v>
      </c>
      <c r="D158" s="3"/>
      <c r="E158" s="3"/>
      <c r="F158" s="3"/>
      <c r="G158" s="4">
        <v>10.0</v>
      </c>
      <c r="H158" s="3"/>
      <c r="I158" s="3"/>
    </row>
    <row r="159">
      <c r="A159" s="4" t="s">
        <v>12992</v>
      </c>
      <c r="B159" s="13" t="s">
        <v>48</v>
      </c>
      <c r="C159" s="4">
        <v>1.0</v>
      </c>
      <c r="D159" s="3"/>
      <c r="E159" s="3"/>
      <c r="F159" s="3"/>
      <c r="G159" s="4">
        <v>10.0</v>
      </c>
      <c r="H159" s="3"/>
      <c r="I159" s="3"/>
    </row>
    <row r="160">
      <c r="A160" s="4" t="s">
        <v>12993</v>
      </c>
      <c r="B160" s="13" t="s">
        <v>48</v>
      </c>
      <c r="C160" s="4">
        <v>1.0</v>
      </c>
      <c r="D160" s="3"/>
      <c r="E160" s="3"/>
      <c r="F160" s="3"/>
      <c r="G160" s="4">
        <v>10.0</v>
      </c>
      <c r="H160" s="3"/>
      <c r="I160" s="3"/>
    </row>
    <row r="161">
      <c r="A161" s="4" t="s">
        <v>12994</v>
      </c>
      <c r="B161" s="13" t="s">
        <v>48</v>
      </c>
      <c r="C161" s="4">
        <v>1.0</v>
      </c>
      <c r="D161" s="3"/>
      <c r="E161" s="3"/>
      <c r="F161" s="3"/>
      <c r="G161" s="4">
        <v>10.0</v>
      </c>
      <c r="H161" s="3"/>
      <c r="I161" s="3"/>
    </row>
    <row r="162">
      <c r="A162" s="4" t="s">
        <v>12995</v>
      </c>
      <c r="B162" s="13" t="s">
        <v>48</v>
      </c>
      <c r="C162" s="4">
        <v>1.0</v>
      </c>
      <c r="D162" s="3"/>
      <c r="E162" s="3"/>
      <c r="F162" s="3"/>
      <c r="G162" s="4">
        <v>10.0</v>
      </c>
      <c r="H162" s="3"/>
      <c r="I162" s="3"/>
    </row>
    <row r="163">
      <c r="A163" s="4" t="s">
        <v>12996</v>
      </c>
      <c r="B163" s="13" t="s">
        <v>48</v>
      </c>
      <c r="C163" s="4">
        <v>1.0</v>
      </c>
      <c r="D163" s="3"/>
      <c r="E163" s="3"/>
      <c r="F163" s="3"/>
      <c r="G163" s="4">
        <v>10.0</v>
      </c>
      <c r="H163" s="3"/>
      <c r="I163" s="3"/>
    </row>
    <row r="164">
      <c r="A164" s="4" t="s">
        <v>12997</v>
      </c>
      <c r="B164" s="13" t="s">
        <v>43</v>
      </c>
      <c r="D164" s="3"/>
      <c r="E164" s="3"/>
      <c r="F164" s="3"/>
      <c r="G164" s="3"/>
      <c r="H164" s="3"/>
      <c r="I164" s="3"/>
    </row>
    <row r="165">
      <c r="A165" s="4" t="s">
        <v>12998</v>
      </c>
      <c r="B165" s="13" t="s">
        <v>43</v>
      </c>
      <c r="D165" s="3"/>
      <c r="E165" s="3"/>
      <c r="F165" s="3"/>
      <c r="G165" s="3"/>
      <c r="H165" s="3"/>
      <c r="I165" s="3"/>
    </row>
    <row r="166">
      <c r="A166" s="4" t="s">
        <v>12999</v>
      </c>
      <c r="B166" s="13" t="s">
        <v>43</v>
      </c>
      <c r="D166" s="3"/>
      <c r="E166" s="3"/>
      <c r="F166" s="3"/>
      <c r="G166" s="3"/>
      <c r="H166" s="3"/>
      <c r="I166" s="3"/>
    </row>
    <row r="167">
      <c r="A167" s="4" t="s">
        <v>13000</v>
      </c>
      <c r="B167" s="13" t="s">
        <v>43</v>
      </c>
      <c r="D167" s="3"/>
      <c r="E167" s="3"/>
      <c r="F167" s="3"/>
      <c r="G167" s="3"/>
      <c r="H167" s="3"/>
      <c r="I167" s="3"/>
    </row>
    <row r="168">
      <c r="A168" s="4" t="s">
        <v>13001</v>
      </c>
      <c r="B168" s="13" t="s">
        <v>48</v>
      </c>
      <c r="C168" s="4">
        <v>2.0</v>
      </c>
      <c r="D168" s="4">
        <v>1.0</v>
      </c>
      <c r="E168" s="3"/>
      <c r="F168" s="3"/>
      <c r="G168" s="3"/>
      <c r="H168" s="3"/>
      <c r="I168" s="4">
        <v>15.0</v>
      </c>
      <c r="J168" s="4" t="s">
        <v>1757</v>
      </c>
    </row>
    <row r="169">
      <c r="A169" s="4" t="s">
        <v>13002</v>
      </c>
      <c r="B169" s="13" t="s">
        <v>48</v>
      </c>
      <c r="C169" s="4">
        <v>2.0</v>
      </c>
      <c r="D169" s="4">
        <v>1.0</v>
      </c>
      <c r="E169" s="3"/>
      <c r="F169" s="3"/>
      <c r="G169" s="3"/>
      <c r="H169" s="3"/>
      <c r="I169" s="4">
        <v>15.0</v>
      </c>
      <c r="J169" s="4" t="s">
        <v>1757</v>
      </c>
      <c r="K169" s="4" t="s">
        <v>1757</v>
      </c>
    </row>
    <row r="170">
      <c r="A170" s="4" t="s">
        <v>13003</v>
      </c>
      <c r="B170" s="13" t="s">
        <v>48</v>
      </c>
      <c r="C170" s="4">
        <v>4.0</v>
      </c>
      <c r="D170" s="4">
        <v>1.0</v>
      </c>
      <c r="E170" s="3"/>
      <c r="F170" s="4">
        <v>9.0</v>
      </c>
      <c r="G170" s="3"/>
      <c r="H170" s="4">
        <v>13.0</v>
      </c>
      <c r="I170" s="4">
        <v>15.0</v>
      </c>
      <c r="J170" s="4" t="s">
        <v>1757</v>
      </c>
      <c r="K170" s="4" t="s">
        <v>1757</v>
      </c>
    </row>
    <row r="171">
      <c r="A171" s="4" t="s">
        <v>13004</v>
      </c>
      <c r="B171" s="13" t="s">
        <v>48</v>
      </c>
      <c r="C171" s="4">
        <v>4.0</v>
      </c>
      <c r="D171" s="4">
        <v>1.0</v>
      </c>
      <c r="E171" s="3"/>
      <c r="F171" s="4">
        <v>9.0</v>
      </c>
      <c r="G171" s="3"/>
      <c r="H171" s="4">
        <v>13.0</v>
      </c>
      <c r="I171" s="4">
        <v>15.0</v>
      </c>
      <c r="J171" s="4" t="s">
        <v>1757</v>
      </c>
      <c r="K171" s="4" t="s">
        <v>1757</v>
      </c>
    </row>
    <row r="172">
      <c r="A172" s="4" t="s">
        <v>13005</v>
      </c>
      <c r="B172" s="13" t="s">
        <v>48</v>
      </c>
      <c r="C172" s="4">
        <v>1.0</v>
      </c>
      <c r="D172" s="3"/>
      <c r="E172" s="3"/>
      <c r="F172" s="4">
        <v>9.0</v>
      </c>
      <c r="G172" s="3"/>
      <c r="H172" s="3"/>
      <c r="I172" s="3"/>
      <c r="J172" s="4" t="s">
        <v>1757</v>
      </c>
      <c r="K172" s="4" t="s">
        <v>1757</v>
      </c>
    </row>
    <row r="173">
      <c r="A173" s="4" t="s">
        <v>13006</v>
      </c>
      <c r="B173" s="13" t="s">
        <v>48</v>
      </c>
      <c r="C173" s="4">
        <v>1.0</v>
      </c>
      <c r="D173" s="3"/>
      <c r="E173" s="3"/>
      <c r="F173" s="4">
        <v>9.0</v>
      </c>
      <c r="G173" s="3"/>
      <c r="H173" s="3"/>
      <c r="I173" s="3"/>
      <c r="J173" s="4" t="s">
        <v>1757</v>
      </c>
      <c r="K173" s="4" t="s">
        <v>1757</v>
      </c>
    </row>
    <row r="174">
      <c r="A174" s="4" t="s">
        <v>13007</v>
      </c>
      <c r="B174" s="13" t="s">
        <v>48</v>
      </c>
      <c r="C174" s="4">
        <v>1.0</v>
      </c>
      <c r="D174" s="3"/>
      <c r="E174" s="3"/>
      <c r="F174" s="4">
        <v>9.0</v>
      </c>
      <c r="G174" s="3"/>
      <c r="H174" s="3"/>
      <c r="I174" s="3"/>
      <c r="J174" s="4" t="s">
        <v>1757</v>
      </c>
    </row>
    <row r="175">
      <c r="A175" s="4" t="s">
        <v>13008</v>
      </c>
      <c r="B175" s="13" t="s">
        <v>48</v>
      </c>
      <c r="C175" s="4">
        <v>2.0</v>
      </c>
      <c r="D175" s="3"/>
      <c r="E175" s="3"/>
      <c r="F175" s="4">
        <v>9.0</v>
      </c>
      <c r="G175" s="3"/>
      <c r="H175" s="4">
        <v>13.0</v>
      </c>
      <c r="I175" s="3"/>
      <c r="J175" s="4" t="s">
        <v>1757</v>
      </c>
      <c r="K175" s="4" t="s">
        <v>1757</v>
      </c>
    </row>
    <row r="176">
      <c r="A176" s="4" t="s">
        <v>13009</v>
      </c>
      <c r="B176" s="13" t="s">
        <v>48</v>
      </c>
      <c r="C176" s="4">
        <v>2.0</v>
      </c>
      <c r="D176" s="3"/>
      <c r="E176" s="3"/>
      <c r="F176" s="4">
        <v>9.0</v>
      </c>
      <c r="G176" s="3"/>
      <c r="H176" s="4">
        <v>13.0</v>
      </c>
      <c r="I176" s="3"/>
      <c r="J176" s="4" t="s">
        <v>1757</v>
      </c>
      <c r="K176" s="4" t="s">
        <v>1757</v>
      </c>
    </row>
    <row r="177">
      <c r="A177" s="4" t="s">
        <v>13010</v>
      </c>
      <c r="B177" s="13" t="s">
        <v>48</v>
      </c>
      <c r="C177" s="4">
        <v>2.0</v>
      </c>
      <c r="D177" s="3"/>
      <c r="E177" s="3"/>
      <c r="F177" s="4">
        <v>9.0</v>
      </c>
      <c r="G177" s="3"/>
      <c r="H177" s="4">
        <v>13.0</v>
      </c>
      <c r="I177" s="3"/>
      <c r="J177" s="4" t="s">
        <v>1757</v>
      </c>
      <c r="K177" s="4" t="s">
        <v>1757</v>
      </c>
    </row>
    <row r="178">
      <c r="A178" s="4" t="s">
        <v>13011</v>
      </c>
      <c r="B178" s="13" t="s">
        <v>48</v>
      </c>
      <c r="C178" s="4">
        <v>3.0</v>
      </c>
      <c r="D178" s="3"/>
      <c r="E178" s="4">
        <v>2.0</v>
      </c>
      <c r="F178" s="4">
        <v>9.0</v>
      </c>
      <c r="G178" s="3"/>
      <c r="H178" s="4">
        <v>13.0</v>
      </c>
      <c r="I178" s="3"/>
      <c r="J178" s="4" t="s">
        <v>1757</v>
      </c>
      <c r="K178" s="4" t="s">
        <v>1757</v>
      </c>
    </row>
    <row r="179">
      <c r="A179" s="4" t="s">
        <v>13012</v>
      </c>
      <c r="B179" s="13" t="s">
        <v>48</v>
      </c>
      <c r="C179" s="4">
        <v>2.0</v>
      </c>
      <c r="D179" s="3"/>
      <c r="E179" s="3"/>
      <c r="F179" s="4">
        <v>9.0</v>
      </c>
      <c r="G179" s="3"/>
      <c r="H179" s="4">
        <v>13.0</v>
      </c>
      <c r="I179" s="3"/>
      <c r="J179" s="4" t="s">
        <v>1757</v>
      </c>
      <c r="K179" s="4" t="s">
        <v>1757</v>
      </c>
    </row>
    <row r="180">
      <c r="A180" s="4" t="s">
        <v>13013</v>
      </c>
      <c r="B180" s="13" t="s">
        <v>48</v>
      </c>
      <c r="C180" s="4">
        <v>2.0</v>
      </c>
      <c r="D180" s="3"/>
      <c r="E180" s="3"/>
      <c r="F180" s="4">
        <v>9.0</v>
      </c>
      <c r="G180" s="3"/>
      <c r="H180" s="4">
        <v>13.0</v>
      </c>
      <c r="I180" s="3"/>
      <c r="J180" s="4" t="s">
        <v>1757</v>
      </c>
      <c r="K180" s="4" t="s">
        <v>1757</v>
      </c>
    </row>
    <row r="181">
      <c r="A181" s="4" t="s">
        <v>13014</v>
      </c>
      <c r="B181" s="13" t="s">
        <v>48</v>
      </c>
      <c r="C181" s="4">
        <v>2.0</v>
      </c>
      <c r="D181" s="3"/>
      <c r="E181" s="3"/>
      <c r="F181" s="4">
        <v>9.0</v>
      </c>
      <c r="G181" s="3"/>
      <c r="H181" s="4">
        <v>13.0</v>
      </c>
      <c r="I181" s="3"/>
      <c r="J181" s="4" t="s">
        <v>1757</v>
      </c>
    </row>
    <row r="182">
      <c r="A182" s="4" t="s">
        <v>13015</v>
      </c>
      <c r="B182" s="13" t="s">
        <v>48</v>
      </c>
      <c r="C182" s="4">
        <v>3.0</v>
      </c>
      <c r="D182" s="3"/>
      <c r="E182" s="4">
        <v>2.0</v>
      </c>
      <c r="F182" s="4">
        <v>9.0</v>
      </c>
      <c r="G182" s="3"/>
      <c r="H182" s="4">
        <v>13.0</v>
      </c>
      <c r="I182" s="3"/>
      <c r="J182" s="4" t="s">
        <v>1757</v>
      </c>
    </row>
    <row r="183">
      <c r="A183" s="4" t="s">
        <v>13016</v>
      </c>
      <c r="B183" s="13" t="s">
        <v>48</v>
      </c>
      <c r="C183" s="4">
        <v>2.0</v>
      </c>
      <c r="D183" s="3"/>
      <c r="E183" s="4">
        <v>2.0</v>
      </c>
      <c r="F183" s="3"/>
      <c r="G183" s="3"/>
      <c r="H183" s="4">
        <v>13.0</v>
      </c>
      <c r="I183" s="3"/>
      <c r="J183" s="4" t="s">
        <v>1757</v>
      </c>
    </row>
    <row r="184">
      <c r="A184" s="4" t="s">
        <v>13017</v>
      </c>
      <c r="B184" s="13" t="s">
        <v>48</v>
      </c>
      <c r="C184" s="4">
        <v>2.0</v>
      </c>
      <c r="D184" s="3"/>
      <c r="E184" s="4">
        <v>2.0</v>
      </c>
      <c r="F184" s="3"/>
      <c r="G184" s="3"/>
      <c r="H184" s="4">
        <v>13.0</v>
      </c>
      <c r="I184" s="3"/>
      <c r="J184" s="4" t="s">
        <v>1757</v>
      </c>
    </row>
    <row r="185">
      <c r="A185" s="4" t="s">
        <v>13018</v>
      </c>
      <c r="B185" s="13" t="s">
        <v>48</v>
      </c>
      <c r="C185" s="4">
        <v>2.0</v>
      </c>
      <c r="D185" s="3"/>
      <c r="E185" s="4">
        <v>2.0</v>
      </c>
      <c r="F185" s="3"/>
      <c r="G185" s="3"/>
      <c r="H185" s="4">
        <v>13.0</v>
      </c>
      <c r="I185" s="3"/>
      <c r="J185" s="4" t="s">
        <v>1757</v>
      </c>
    </row>
    <row r="186">
      <c r="A186" s="4" t="s">
        <v>13019</v>
      </c>
      <c r="B186" s="13" t="s">
        <v>48</v>
      </c>
      <c r="C186" s="4">
        <v>1.0</v>
      </c>
      <c r="D186" s="3"/>
      <c r="E186" s="3"/>
      <c r="F186" s="3"/>
      <c r="G186" s="3"/>
      <c r="H186" s="4">
        <v>13.0</v>
      </c>
      <c r="I186" s="3"/>
      <c r="J186" s="4" t="s">
        <v>1757</v>
      </c>
    </row>
    <row r="187">
      <c r="A187" s="4" t="s">
        <v>13020</v>
      </c>
      <c r="B187" s="13" t="s">
        <v>48</v>
      </c>
      <c r="C187" s="4">
        <v>1.0</v>
      </c>
      <c r="D187" s="3"/>
      <c r="E187" s="3"/>
      <c r="F187" s="3"/>
      <c r="G187" s="3"/>
      <c r="H187" s="4">
        <v>13.0</v>
      </c>
      <c r="I187" s="3"/>
      <c r="J187" s="4" t="s">
        <v>1757</v>
      </c>
    </row>
    <row r="188">
      <c r="A188" s="4" t="s">
        <v>13021</v>
      </c>
      <c r="B188" s="13" t="s">
        <v>48</v>
      </c>
      <c r="C188" s="4">
        <v>1.0</v>
      </c>
      <c r="D188" s="3"/>
      <c r="E188" s="3"/>
      <c r="F188" s="3"/>
      <c r="G188" s="3"/>
      <c r="H188" s="4">
        <v>13.0</v>
      </c>
      <c r="I188" s="3"/>
      <c r="J188" s="4" t="s">
        <v>1757</v>
      </c>
    </row>
    <row r="189">
      <c r="A189" s="4" t="s">
        <v>13022</v>
      </c>
      <c r="B189" s="13" t="s">
        <v>48</v>
      </c>
      <c r="C189" s="4">
        <v>1.0</v>
      </c>
      <c r="D189" s="3"/>
      <c r="E189" s="3"/>
      <c r="F189" s="3"/>
      <c r="G189" s="3"/>
      <c r="H189" s="4">
        <v>13.0</v>
      </c>
      <c r="I189" s="3"/>
      <c r="J189" s="4" t="s">
        <v>1757</v>
      </c>
    </row>
    <row r="190">
      <c r="A190" s="4" t="s">
        <v>13023</v>
      </c>
      <c r="B190" s="13" t="s">
        <v>48</v>
      </c>
      <c r="C190" s="4">
        <v>1.0</v>
      </c>
      <c r="D190" s="3"/>
      <c r="E190" s="3"/>
      <c r="F190" s="3"/>
      <c r="G190" s="3"/>
      <c r="H190" s="4">
        <v>13.0</v>
      </c>
      <c r="I190" s="3"/>
      <c r="J190" s="4" t="s">
        <v>1757</v>
      </c>
    </row>
    <row r="191">
      <c r="A191" s="4" t="s">
        <v>13024</v>
      </c>
      <c r="B191" s="13" t="s">
        <v>43</v>
      </c>
      <c r="D191" s="3"/>
      <c r="E191" s="3"/>
      <c r="F191" s="3"/>
      <c r="G191" s="3"/>
      <c r="H191" s="3"/>
      <c r="I191" s="3"/>
    </row>
    <row r="192">
      <c r="A192" s="4" t="s">
        <v>13025</v>
      </c>
      <c r="B192" s="13" t="s">
        <v>43</v>
      </c>
      <c r="D192" s="3"/>
      <c r="E192" s="3"/>
      <c r="F192" s="3"/>
      <c r="G192" s="3"/>
      <c r="H192" s="3"/>
      <c r="I192" s="3"/>
    </row>
    <row r="193">
      <c r="A193" s="4" t="s">
        <v>13026</v>
      </c>
      <c r="B193" s="13" t="s">
        <v>43</v>
      </c>
      <c r="D193" s="3"/>
      <c r="E193" s="3"/>
      <c r="F193" s="3"/>
      <c r="G193" s="3"/>
      <c r="H193" s="3"/>
      <c r="I193" s="3"/>
      <c r="J193" s="4" t="s">
        <v>1757</v>
      </c>
    </row>
    <row r="194">
      <c r="A194" s="4" t="s">
        <v>13027</v>
      </c>
      <c r="B194" s="13" t="s">
        <v>43</v>
      </c>
      <c r="D194" s="3"/>
      <c r="E194" s="3"/>
      <c r="F194" s="3"/>
      <c r="G194" s="3"/>
      <c r="H194" s="3"/>
      <c r="I194" s="3"/>
      <c r="J194" s="4" t="s">
        <v>1757</v>
      </c>
    </row>
    <row r="195">
      <c r="A195" s="4" t="s">
        <v>13028</v>
      </c>
      <c r="B195" s="13" t="s">
        <v>43</v>
      </c>
      <c r="D195" s="3"/>
      <c r="E195" s="3"/>
      <c r="F195" s="3"/>
      <c r="G195" s="3"/>
      <c r="H195" s="3"/>
      <c r="I195" s="3"/>
      <c r="J195" s="4" t="s">
        <v>1757</v>
      </c>
    </row>
    <row r="196">
      <c r="A196" s="4" t="s">
        <v>13029</v>
      </c>
      <c r="B196" s="13" t="s">
        <v>43</v>
      </c>
      <c r="D196" s="3"/>
      <c r="E196" s="3"/>
      <c r="F196" s="3"/>
      <c r="G196" s="3"/>
      <c r="H196" s="3"/>
      <c r="I196" s="3"/>
      <c r="J196" s="4" t="s">
        <v>1757</v>
      </c>
      <c r="K196" s="4" t="s">
        <v>1757</v>
      </c>
    </row>
    <row r="197">
      <c r="A197" s="4" t="s">
        <v>13030</v>
      </c>
      <c r="B197" s="13" t="s">
        <v>43</v>
      </c>
      <c r="D197" s="3"/>
      <c r="E197" s="3"/>
      <c r="F197" s="3"/>
      <c r="G197" s="3"/>
      <c r="H197" s="3"/>
      <c r="I197" s="3"/>
      <c r="J197" s="4" t="s">
        <v>1757</v>
      </c>
      <c r="K197" s="4" t="s">
        <v>1757</v>
      </c>
    </row>
    <row r="198">
      <c r="A198" s="4" t="s">
        <v>13031</v>
      </c>
      <c r="B198" s="13" t="s">
        <v>43</v>
      </c>
      <c r="D198" s="3"/>
      <c r="E198" s="3"/>
      <c r="F198" s="3"/>
      <c r="G198" s="3"/>
      <c r="H198" s="3"/>
      <c r="I198" s="3"/>
      <c r="J198" s="4" t="s">
        <v>1757</v>
      </c>
    </row>
    <row r="199">
      <c r="A199" s="4" t="s">
        <v>13032</v>
      </c>
      <c r="B199" s="13" t="s">
        <v>43</v>
      </c>
      <c r="C199" s="4" t="s">
        <v>10816</v>
      </c>
      <c r="D199" s="3"/>
      <c r="E199" s="3"/>
      <c r="F199" s="3"/>
      <c r="G199" s="3"/>
      <c r="H199" s="3"/>
      <c r="I199" s="3"/>
      <c r="J199" s="4" t="s">
        <v>1757</v>
      </c>
      <c r="K199" s="4" t="s">
        <v>1757</v>
      </c>
    </row>
    <row r="200">
      <c r="A200" s="4" t="s">
        <v>13033</v>
      </c>
      <c r="B200" s="13" t="s">
        <v>43</v>
      </c>
      <c r="C200" s="4" t="s">
        <v>10816</v>
      </c>
      <c r="D200" s="3"/>
      <c r="E200" s="3"/>
      <c r="F200" s="3"/>
      <c r="G200" s="3"/>
      <c r="H200" s="3"/>
      <c r="I200" s="3"/>
      <c r="J200" s="4" t="s">
        <v>1757</v>
      </c>
      <c r="K200" s="4" t="s">
        <v>1757</v>
      </c>
    </row>
    <row r="201">
      <c r="A201" s="4" t="s">
        <v>13034</v>
      </c>
      <c r="B201" s="13" t="s">
        <v>43</v>
      </c>
      <c r="C201" s="4" t="s">
        <v>10816</v>
      </c>
      <c r="D201" s="3"/>
      <c r="E201" s="3"/>
      <c r="F201" s="3"/>
      <c r="G201" s="3"/>
      <c r="H201" s="3"/>
      <c r="I201" s="3"/>
      <c r="J201" s="4" t="s">
        <v>1757</v>
      </c>
      <c r="K201" s="4" t="s">
        <v>1757</v>
      </c>
    </row>
    <row r="202">
      <c r="A202" s="4" t="s">
        <v>13035</v>
      </c>
      <c r="B202" s="13" t="s">
        <v>43</v>
      </c>
      <c r="C202" s="4" t="s">
        <v>10816</v>
      </c>
      <c r="D202" s="3"/>
      <c r="E202" s="3"/>
      <c r="F202" s="3"/>
      <c r="G202" s="3"/>
      <c r="H202" s="3"/>
      <c r="I202" s="3"/>
      <c r="J202" s="4" t="s">
        <v>1757</v>
      </c>
    </row>
    <row r="203">
      <c r="A203" s="4" t="s">
        <v>13036</v>
      </c>
      <c r="B203" s="13" t="s">
        <v>43</v>
      </c>
      <c r="C203" s="4" t="s">
        <v>10816</v>
      </c>
      <c r="D203" s="3"/>
      <c r="E203" s="3"/>
      <c r="F203" s="3"/>
      <c r="G203" s="3"/>
      <c r="H203" s="3"/>
      <c r="I203" s="3"/>
      <c r="J203" s="4" t="s">
        <v>1757</v>
      </c>
    </row>
    <row r="204">
      <c r="A204" s="4" t="s">
        <v>13037</v>
      </c>
      <c r="B204" s="13" t="s">
        <v>43</v>
      </c>
      <c r="C204" s="4" t="s">
        <v>10816</v>
      </c>
      <c r="D204" s="3"/>
      <c r="E204" s="3"/>
      <c r="F204" s="3"/>
      <c r="G204" s="3"/>
      <c r="H204" s="3"/>
      <c r="I204" s="3"/>
      <c r="J204" s="4" t="s">
        <v>1757</v>
      </c>
    </row>
    <row r="205">
      <c r="A205" s="4" t="s">
        <v>13038</v>
      </c>
      <c r="B205" s="13" t="s">
        <v>43</v>
      </c>
      <c r="C205" s="4" t="s">
        <v>10816</v>
      </c>
      <c r="D205" s="3"/>
      <c r="E205" s="3"/>
      <c r="F205" s="3"/>
      <c r="G205" s="3"/>
      <c r="H205" s="3"/>
      <c r="I205" s="3"/>
      <c r="J205" s="4" t="s">
        <v>1757</v>
      </c>
    </row>
    <row r="206">
      <c r="A206" s="4" t="s">
        <v>13039</v>
      </c>
      <c r="B206" s="13" t="s">
        <v>43</v>
      </c>
      <c r="C206" s="4" t="s">
        <v>10816</v>
      </c>
      <c r="D206" s="3"/>
      <c r="E206" s="3"/>
      <c r="F206" s="3"/>
      <c r="G206" s="3"/>
      <c r="H206" s="3"/>
      <c r="I206" s="3"/>
      <c r="J206" s="4" t="s">
        <v>1757</v>
      </c>
    </row>
    <row r="207">
      <c r="A207" s="4" t="s">
        <v>13040</v>
      </c>
      <c r="B207" s="13" t="s">
        <v>43</v>
      </c>
      <c r="C207" s="4" t="s">
        <v>10816</v>
      </c>
      <c r="D207" s="3"/>
      <c r="E207" s="3"/>
      <c r="F207" s="3"/>
      <c r="G207" s="3"/>
      <c r="H207" s="3"/>
      <c r="I207" s="3"/>
      <c r="J207" s="4" t="s">
        <v>1757</v>
      </c>
    </row>
    <row r="208">
      <c r="A208" s="4" t="s">
        <v>13041</v>
      </c>
      <c r="B208" s="13" t="s">
        <v>43</v>
      </c>
      <c r="C208" s="4" t="s">
        <v>10816</v>
      </c>
      <c r="D208" s="3"/>
      <c r="E208" s="3"/>
      <c r="F208" s="3"/>
      <c r="G208" s="3"/>
      <c r="H208" s="3"/>
      <c r="I208" s="3"/>
      <c r="J208" s="4" t="s">
        <v>1757</v>
      </c>
    </row>
    <row r="209">
      <c r="A209" s="4" t="s">
        <v>13042</v>
      </c>
      <c r="B209" s="13" t="s">
        <v>43</v>
      </c>
      <c r="C209" s="4" t="s">
        <v>10816</v>
      </c>
      <c r="D209" s="3"/>
      <c r="E209" s="3"/>
      <c r="F209" s="3"/>
      <c r="G209" s="3"/>
      <c r="H209" s="3"/>
      <c r="I209" s="3"/>
      <c r="J209" s="4" t="s">
        <v>1757</v>
      </c>
    </row>
    <row r="210">
      <c r="A210" s="4" t="s">
        <v>13043</v>
      </c>
      <c r="B210" s="13" t="s">
        <v>43</v>
      </c>
      <c r="C210" s="4" t="s">
        <v>10816</v>
      </c>
      <c r="D210" s="3"/>
      <c r="E210" s="3"/>
      <c r="F210" s="3"/>
      <c r="G210" s="3"/>
      <c r="H210" s="3"/>
      <c r="I210" s="3"/>
      <c r="J210" s="4" t="s">
        <v>1757</v>
      </c>
    </row>
    <row r="211">
      <c r="A211" s="4" t="s">
        <v>13044</v>
      </c>
      <c r="B211" s="13" t="s">
        <v>43</v>
      </c>
      <c r="C211" s="4" t="s">
        <v>10816</v>
      </c>
      <c r="D211" s="3"/>
      <c r="E211" s="3"/>
      <c r="F211" s="3"/>
      <c r="G211" s="3"/>
      <c r="H211" s="3"/>
      <c r="I211" s="3"/>
      <c r="J211" s="4" t="s">
        <v>1757</v>
      </c>
    </row>
    <row r="212">
      <c r="A212" s="4" t="s">
        <v>13045</v>
      </c>
      <c r="B212" s="13" t="s">
        <v>43</v>
      </c>
      <c r="C212" s="4" t="s">
        <v>10816</v>
      </c>
      <c r="D212" s="3"/>
      <c r="E212" s="3"/>
      <c r="F212" s="3"/>
      <c r="G212" s="3"/>
      <c r="H212" s="3"/>
      <c r="I212" s="3"/>
      <c r="J212" s="4" t="s">
        <v>1757</v>
      </c>
    </row>
    <row r="213">
      <c r="A213" s="4" t="s">
        <v>13046</v>
      </c>
      <c r="B213" s="13" t="s">
        <v>43</v>
      </c>
      <c r="C213" s="4" t="s">
        <v>10816</v>
      </c>
      <c r="D213" s="3"/>
      <c r="E213" s="3"/>
      <c r="F213" s="3"/>
      <c r="G213" s="3"/>
      <c r="H213" s="3"/>
      <c r="I213" s="3"/>
    </row>
    <row r="214">
      <c r="A214" s="4" t="s">
        <v>13047</v>
      </c>
      <c r="B214" s="13" t="s">
        <v>43</v>
      </c>
      <c r="D214" s="3"/>
      <c r="E214" s="3"/>
      <c r="F214" s="3"/>
      <c r="G214" s="3"/>
      <c r="H214" s="3"/>
      <c r="I214" s="3"/>
    </row>
    <row r="215">
      <c r="A215" s="4" t="s">
        <v>13048</v>
      </c>
      <c r="B215" s="13" t="s">
        <v>43</v>
      </c>
      <c r="D215" s="3"/>
      <c r="E215" s="3"/>
      <c r="F215" s="3"/>
      <c r="G215" s="3"/>
      <c r="H215" s="3"/>
      <c r="I215" s="3"/>
    </row>
    <row r="216">
      <c r="A216" s="4" t="s">
        <v>13049</v>
      </c>
      <c r="B216" s="13" t="s">
        <v>43</v>
      </c>
      <c r="D216" s="3"/>
      <c r="E216" s="3"/>
      <c r="F216" s="3"/>
      <c r="G216" s="3"/>
      <c r="H216" s="3"/>
      <c r="I216" s="3"/>
    </row>
    <row r="217">
      <c r="A217" s="4" t="s">
        <v>13050</v>
      </c>
      <c r="B217" s="13" t="s">
        <v>43</v>
      </c>
      <c r="D217" s="3"/>
      <c r="E217" s="3"/>
      <c r="F217" s="3"/>
      <c r="G217" s="3"/>
      <c r="H217" s="3"/>
      <c r="I217" s="3"/>
    </row>
    <row r="218">
      <c r="A218" s="4" t="s">
        <v>13051</v>
      </c>
      <c r="B218" s="13" t="s">
        <v>43</v>
      </c>
      <c r="D218" s="3"/>
      <c r="E218" s="3"/>
      <c r="F218" s="3"/>
      <c r="G218" s="3"/>
      <c r="H218" s="3"/>
      <c r="I218" s="3"/>
    </row>
    <row r="219">
      <c r="A219" s="4" t="s">
        <v>13052</v>
      </c>
      <c r="B219" s="13" t="s">
        <v>43</v>
      </c>
      <c r="D219" s="3"/>
      <c r="E219" s="3"/>
      <c r="F219" s="3"/>
      <c r="G219" s="3"/>
      <c r="H219" s="3"/>
      <c r="I219" s="3"/>
    </row>
    <row r="220">
      <c r="A220" s="4" t="s">
        <v>13053</v>
      </c>
      <c r="B220" s="13" t="s">
        <v>43</v>
      </c>
      <c r="D220" s="3"/>
      <c r="E220" s="3"/>
      <c r="F220" s="3"/>
      <c r="G220" s="3"/>
      <c r="H220" s="3"/>
      <c r="I220" s="3"/>
    </row>
    <row r="221">
      <c r="A221" s="4" t="s">
        <v>13054</v>
      </c>
      <c r="B221" s="13" t="s">
        <v>43</v>
      </c>
      <c r="D221" s="3"/>
      <c r="E221" s="3"/>
      <c r="F221" s="3"/>
      <c r="G221" s="3"/>
      <c r="H221" s="3"/>
      <c r="I221" s="3"/>
    </row>
    <row r="222">
      <c r="A222" s="4" t="s">
        <v>13055</v>
      </c>
      <c r="B222" s="13" t="s">
        <v>43</v>
      </c>
      <c r="D222" s="3"/>
      <c r="E222" s="3"/>
      <c r="F222" s="3"/>
      <c r="G222" s="3"/>
      <c r="H222" s="3"/>
      <c r="I222" s="3"/>
    </row>
    <row r="223">
      <c r="A223" s="4" t="s">
        <v>13056</v>
      </c>
      <c r="B223" s="13" t="s">
        <v>43</v>
      </c>
      <c r="D223" s="3"/>
      <c r="E223" s="3"/>
      <c r="F223" s="3"/>
      <c r="G223" s="3"/>
      <c r="H223" s="3"/>
      <c r="I223" s="3"/>
    </row>
    <row r="224">
      <c r="A224" s="4" t="s">
        <v>13057</v>
      </c>
      <c r="B224" s="13" t="s">
        <v>43</v>
      </c>
      <c r="D224" s="3"/>
      <c r="E224" s="3"/>
      <c r="F224" s="3"/>
      <c r="G224" s="3"/>
      <c r="H224" s="3"/>
      <c r="I224" s="3"/>
    </row>
    <row r="225">
      <c r="A225" s="4" t="s">
        <v>13058</v>
      </c>
      <c r="B225" s="13" t="s">
        <v>43</v>
      </c>
      <c r="D225" s="3"/>
      <c r="E225" s="3"/>
      <c r="F225" s="3"/>
      <c r="G225" s="3"/>
      <c r="H225" s="3"/>
      <c r="I225" s="3"/>
    </row>
    <row r="226">
      <c r="A226" s="4" t="s">
        <v>13059</v>
      </c>
      <c r="B226" s="13" t="s">
        <v>43</v>
      </c>
      <c r="D226" s="3"/>
      <c r="E226" s="3"/>
      <c r="F226" s="3"/>
      <c r="G226" s="3"/>
      <c r="H226" s="3"/>
      <c r="I226" s="3"/>
      <c r="J226" s="4" t="s">
        <v>1757</v>
      </c>
    </row>
    <row r="227">
      <c r="A227" s="4" t="s">
        <v>13060</v>
      </c>
      <c r="B227" s="13" t="s">
        <v>43</v>
      </c>
      <c r="D227" s="3"/>
      <c r="E227" s="3"/>
      <c r="F227" s="3"/>
      <c r="G227" s="3"/>
      <c r="H227" s="3"/>
      <c r="I227" s="3"/>
      <c r="J227" s="4" t="s">
        <v>1757</v>
      </c>
    </row>
    <row r="228">
      <c r="A228" s="4" t="s">
        <v>13061</v>
      </c>
      <c r="B228" s="13" t="s">
        <v>43</v>
      </c>
      <c r="D228" s="3"/>
      <c r="E228" s="3"/>
      <c r="F228" s="3"/>
      <c r="G228" s="3"/>
      <c r="H228" s="3"/>
      <c r="I228" s="3"/>
      <c r="J228" s="4" t="s">
        <v>1757</v>
      </c>
    </row>
    <row r="229">
      <c r="A229" s="4" t="s">
        <v>13062</v>
      </c>
      <c r="B229" s="13" t="s">
        <v>43</v>
      </c>
      <c r="D229" s="3"/>
      <c r="E229" s="3"/>
      <c r="F229" s="3"/>
      <c r="G229" s="3"/>
      <c r="H229" s="3"/>
      <c r="I229" s="3"/>
      <c r="J229" s="4" t="s">
        <v>1757</v>
      </c>
    </row>
    <row r="230">
      <c r="A230" s="4" t="s">
        <v>13063</v>
      </c>
      <c r="B230" s="13" t="s">
        <v>43</v>
      </c>
      <c r="D230" s="3"/>
      <c r="E230" s="3"/>
      <c r="F230" s="3"/>
      <c r="G230" s="3"/>
      <c r="H230" s="3"/>
      <c r="I230" s="3"/>
      <c r="J230" s="4" t="s">
        <v>1757</v>
      </c>
    </row>
    <row r="231">
      <c r="A231" s="4" t="s">
        <v>13064</v>
      </c>
      <c r="B231" s="13" t="s">
        <v>43</v>
      </c>
      <c r="D231" s="3"/>
      <c r="E231" s="3"/>
      <c r="F231" s="3"/>
      <c r="G231" s="3"/>
      <c r="H231" s="3"/>
      <c r="I231" s="3"/>
      <c r="J231" s="4" t="s">
        <v>1757</v>
      </c>
    </row>
    <row r="232">
      <c r="A232" s="4" t="s">
        <v>13065</v>
      </c>
      <c r="B232" s="13" t="s">
        <v>43</v>
      </c>
      <c r="D232" s="3"/>
      <c r="E232" s="3"/>
      <c r="F232" s="3"/>
      <c r="G232" s="3"/>
      <c r="H232" s="3"/>
      <c r="I232" s="3"/>
    </row>
    <row r="233">
      <c r="A233" s="4" t="s">
        <v>13066</v>
      </c>
      <c r="B233" s="13" t="s">
        <v>43</v>
      </c>
      <c r="D233" s="3"/>
      <c r="E233" s="3"/>
      <c r="F233" s="3"/>
      <c r="G233" s="3"/>
      <c r="H233" s="3"/>
      <c r="I233" s="3"/>
    </row>
    <row r="234">
      <c r="A234" s="4" t="s">
        <v>13067</v>
      </c>
      <c r="B234" s="13" t="s">
        <v>48</v>
      </c>
      <c r="C234" s="4">
        <v>3.0</v>
      </c>
      <c r="D234" s="4">
        <v>1.0</v>
      </c>
      <c r="E234" s="3"/>
      <c r="F234" s="4">
        <v>9.0</v>
      </c>
      <c r="G234" s="3"/>
      <c r="H234" s="4">
        <v>13.0</v>
      </c>
      <c r="I234" s="3"/>
      <c r="J234" s="4" t="s">
        <v>1757</v>
      </c>
    </row>
    <row r="235">
      <c r="A235" s="4" t="s">
        <v>13068</v>
      </c>
      <c r="B235" s="13" t="s">
        <v>48</v>
      </c>
      <c r="C235" s="4">
        <v>3.0</v>
      </c>
      <c r="D235" s="4">
        <v>1.0</v>
      </c>
      <c r="E235" s="3"/>
      <c r="F235" s="4">
        <v>9.0</v>
      </c>
      <c r="G235" s="3"/>
      <c r="H235" s="4">
        <v>13.0</v>
      </c>
      <c r="I235" s="3"/>
      <c r="J235" s="4" t="s">
        <v>1757</v>
      </c>
    </row>
    <row r="236">
      <c r="A236" s="4" t="s">
        <v>13069</v>
      </c>
      <c r="B236" s="13" t="s">
        <v>48</v>
      </c>
      <c r="C236" s="4">
        <v>3.0</v>
      </c>
      <c r="D236" s="4">
        <v>1.0</v>
      </c>
      <c r="E236" s="3"/>
      <c r="F236" s="4">
        <v>9.0</v>
      </c>
      <c r="G236" s="3"/>
      <c r="H236" s="4">
        <v>13.0</v>
      </c>
      <c r="I236" s="3"/>
      <c r="J236" s="4" t="s">
        <v>1757</v>
      </c>
    </row>
    <row r="237">
      <c r="A237" s="4" t="s">
        <v>13070</v>
      </c>
      <c r="B237" s="13" t="s">
        <v>48</v>
      </c>
      <c r="C237" s="4">
        <v>3.0</v>
      </c>
      <c r="D237" s="4">
        <v>1.0</v>
      </c>
      <c r="E237" s="3"/>
      <c r="F237" s="4">
        <v>9.0</v>
      </c>
      <c r="G237" s="3"/>
      <c r="H237" s="4">
        <v>13.0</v>
      </c>
      <c r="I237" s="3"/>
      <c r="J237" s="4" t="s">
        <v>1757</v>
      </c>
      <c r="K237" s="4" t="s">
        <v>1757</v>
      </c>
    </row>
    <row r="238">
      <c r="A238" s="4" t="s">
        <v>13071</v>
      </c>
      <c r="B238" s="13" t="s">
        <v>48</v>
      </c>
      <c r="C238" s="4">
        <v>3.0</v>
      </c>
      <c r="D238" s="4">
        <v>1.0</v>
      </c>
      <c r="E238" s="3"/>
      <c r="F238" s="4">
        <v>9.0</v>
      </c>
      <c r="G238" s="3"/>
      <c r="H238" s="4">
        <v>13.0</v>
      </c>
      <c r="I238" s="3"/>
      <c r="J238" s="4" t="s">
        <v>1757</v>
      </c>
      <c r="K238" s="4" t="s">
        <v>1757</v>
      </c>
    </row>
    <row r="239">
      <c r="A239" s="4" t="s">
        <v>13072</v>
      </c>
      <c r="B239" s="13" t="s">
        <v>48</v>
      </c>
      <c r="C239" s="4">
        <v>2.0</v>
      </c>
      <c r="D239" s="4">
        <v>1.0</v>
      </c>
      <c r="E239" s="3"/>
      <c r="F239" s="4">
        <v>9.0</v>
      </c>
      <c r="G239" s="3"/>
      <c r="H239" s="3"/>
      <c r="I239" s="3"/>
      <c r="J239" s="4" t="s">
        <v>1757</v>
      </c>
      <c r="K239" s="4" t="s">
        <v>1757</v>
      </c>
    </row>
    <row r="240">
      <c r="A240" s="4" t="s">
        <v>13073</v>
      </c>
      <c r="B240" s="13" t="s">
        <v>48</v>
      </c>
      <c r="C240" s="4">
        <v>1.0</v>
      </c>
      <c r="D240" s="4">
        <v>1.0</v>
      </c>
      <c r="E240" s="3"/>
      <c r="F240" s="3"/>
      <c r="G240" s="3"/>
      <c r="H240" s="3"/>
      <c r="I240" s="3"/>
      <c r="J240" s="4" t="s">
        <v>1757</v>
      </c>
    </row>
    <row r="241">
      <c r="A241" s="4" t="s">
        <v>13074</v>
      </c>
      <c r="B241" s="13" t="s">
        <v>48</v>
      </c>
      <c r="C241" s="4">
        <v>1.0</v>
      </c>
      <c r="D241" s="4">
        <v>1.0</v>
      </c>
      <c r="E241" s="3"/>
      <c r="F241" s="3"/>
      <c r="G241" s="3"/>
      <c r="H241" s="3"/>
      <c r="I241" s="3"/>
      <c r="J241" s="4" t="s">
        <v>1757</v>
      </c>
      <c r="K241" s="4" t="s">
        <v>1757</v>
      </c>
    </row>
    <row r="242">
      <c r="A242" s="4" t="s">
        <v>13075</v>
      </c>
      <c r="B242" s="13" t="s">
        <v>48</v>
      </c>
      <c r="C242" s="4">
        <v>2.0</v>
      </c>
      <c r="D242" s="4">
        <v>1.0</v>
      </c>
      <c r="E242" s="3"/>
      <c r="F242" s="3"/>
      <c r="G242" s="3"/>
      <c r="H242" s="3"/>
      <c r="I242" s="4">
        <v>15.0</v>
      </c>
      <c r="J242" s="4" t="s">
        <v>1757</v>
      </c>
      <c r="K242" s="4" t="s">
        <v>1757</v>
      </c>
    </row>
    <row r="243">
      <c r="A243" s="4" t="s">
        <v>13076</v>
      </c>
      <c r="B243" s="13" t="s">
        <v>48</v>
      </c>
      <c r="C243" s="4">
        <v>2.0</v>
      </c>
      <c r="D243" s="4">
        <v>1.0</v>
      </c>
      <c r="E243" s="3"/>
      <c r="F243" s="3"/>
      <c r="G243" s="3"/>
      <c r="H243" s="3"/>
      <c r="I243" s="4">
        <v>15.0</v>
      </c>
      <c r="J243" s="4" t="s">
        <v>1757</v>
      </c>
      <c r="K243" s="4" t="s">
        <v>1757</v>
      </c>
    </row>
    <row r="244">
      <c r="A244" s="4" t="s">
        <v>13077</v>
      </c>
      <c r="B244" s="13" t="s">
        <v>48</v>
      </c>
      <c r="C244" s="4">
        <v>2.0</v>
      </c>
      <c r="D244" s="4">
        <v>1.0</v>
      </c>
      <c r="E244" s="3"/>
      <c r="F244" s="3"/>
      <c r="G244" s="3"/>
      <c r="H244" s="3"/>
      <c r="I244" s="4">
        <v>15.0</v>
      </c>
      <c r="J244" s="4" t="s">
        <v>1757</v>
      </c>
      <c r="K244" s="4" t="s">
        <v>1757</v>
      </c>
    </row>
    <row r="245">
      <c r="A245" s="4" t="s">
        <v>13078</v>
      </c>
      <c r="B245" s="13" t="s">
        <v>48</v>
      </c>
      <c r="C245" s="4">
        <v>3.0</v>
      </c>
      <c r="D245" s="4">
        <v>1.0</v>
      </c>
      <c r="E245" s="3"/>
      <c r="F245" s="4">
        <v>9.0</v>
      </c>
      <c r="G245" s="3"/>
      <c r="H245" s="3"/>
      <c r="I245" s="4">
        <v>15.0</v>
      </c>
      <c r="J245" s="4" t="s">
        <v>1757</v>
      </c>
      <c r="K245" s="4" t="s">
        <v>1757</v>
      </c>
    </row>
    <row r="246">
      <c r="A246" s="4" t="s">
        <v>13079</v>
      </c>
      <c r="B246" s="13" t="s">
        <v>48</v>
      </c>
      <c r="C246" s="4">
        <v>2.0</v>
      </c>
      <c r="D246" s="3"/>
      <c r="E246" s="3"/>
      <c r="F246" s="4">
        <v>9.0</v>
      </c>
      <c r="G246" s="3"/>
      <c r="H246" s="3"/>
      <c r="I246" s="4">
        <v>15.0</v>
      </c>
      <c r="J246" s="4" t="s">
        <v>1757</v>
      </c>
      <c r="K246" s="4" t="s">
        <v>1757</v>
      </c>
    </row>
    <row r="247">
      <c r="A247" s="4" t="s">
        <v>13080</v>
      </c>
      <c r="B247" s="13" t="s">
        <v>48</v>
      </c>
      <c r="C247" s="4">
        <v>3.0</v>
      </c>
      <c r="D247" s="3"/>
      <c r="E247" s="3"/>
      <c r="F247" s="4">
        <v>9.0</v>
      </c>
      <c r="G247" s="4">
        <v>10.0</v>
      </c>
      <c r="H247" s="3"/>
      <c r="I247" s="4">
        <v>15.0</v>
      </c>
      <c r="J247" s="4" t="s">
        <v>1757</v>
      </c>
    </row>
    <row r="248">
      <c r="A248" s="4" t="s">
        <v>13081</v>
      </c>
      <c r="B248" s="13" t="s">
        <v>48</v>
      </c>
      <c r="C248" s="4">
        <v>3.0</v>
      </c>
      <c r="D248" s="3"/>
      <c r="E248" s="3"/>
      <c r="F248" s="4">
        <v>9.0</v>
      </c>
      <c r="G248" s="4">
        <v>10.0</v>
      </c>
      <c r="H248" s="3"/>
      <c r="I248" s="4">
        <v>15.0</v>
      </c>
      <c r="J248" s="4" t="s">
        <v>1757</v>
      </c>
    </row>
    <row r="249">
      <c r="A249" s="4" t="s">
        <v>13082</v>
      </c>
      <c r="B249" s="13" t="s">
        <v>48</v>
      </c>
      <c r="C249" s="4">
        <v>2.0</v>
      </c>
      <c r="D249" s="3"/>
      <c r="E249" s="3"/>
      <c r="F249" s="3"/>
      <c r="G249" s="4">
        <v>10.0</v>
      </c>
      <c r="H249" s="3"/>
      <c r="I249" s="4">
        <v>15.0</v>
      </c>
      <c r="J249" s="4" t="s">
        <v>1757</v>
      </c>
    </row>
    <row r="250">
      <c r="A250" s="4" t="s">
        <v>13083</v>
      </c>
      <c r="B250" s="13" t="s">
        <v>48</v>
      </c>
      <c r="C250" s="4">
        <v>1.0</v>
      </c>
      <c r="D250" s="3"/>
      <c r="E250" s="3"/>
      <c r="F250" s="3"/>
      <c r="G250" s="3"/>
      <c r="H250" s="3"/>
      <c r="I250" s="4">
        <v>15.0</v>
      </c>
      <c r="J250" s="4" t="s">
        <v>1757</v>
      </c>
    </row>
    <row r="251">
      <c r="A251" s="4" t="s">
        <v>13084</v>
      </c>
      <c r="B251" s="13" t="s">
        <v>48</v>
      </c>
      <c r="C251" s="4">
        <v>2.0</v>
      </c>
      <c r="D251" s="3"/>
      <c r="E251" s="3"/>
      <c r="F251" s="4">
        <v>9.0</v>
      </c>
      <c r="G251" s="3"/>
      <c r="H251" s="3"/>
      <c r="I251" s="4">
        <v>15.0</v>
      </c>
      <c r="J251" s="4" t="s">
        <v>1757</v>
      </c>
    </row>
    <row r="252">
      <c r="A252" s="4" t="s">
        <v>13085</v>
      </c>
      <c r="B252" s="13" t="s">
        <v>43</v>
      </c>
      <c r="D252" s="3"/>
      <c r="E252" s="3"/>
      <c r="F252" s="3"/>
      <c r="G252" s="3"/>
      <c r="H252" s="3"/>
      <c r="I252" s="3"/>
      <c r="J252" s="4" t="s">
        <v>1757</v>
      </c>
    </row>
    <row r="253">
      <c r="A253" s="4" t="s">
        <v>13086</v>
      </c>
      <c r="B253" s="13" t="s">
        <v>43</v>
      </c>
      <c r="D253" s="3"/>
      <c r="E253" s="3"/>
      <c r="F253" s="3"/>
      <c r="G253" s="3"/>
      <c r="H253" s="3"/>
      <c r="I253" s="3"/>
      <c r="J253" s="4" t="s">
        <v>1757</v>
      </c>
    </row>
    <row r="254">
      <c r="A254" s="4" t="s">
        <v>13087</v>
      </c>
      <c r="B254" s="13" t="s">
        <v>43</v>
      </c>
      <c r="D254" s="3"/>
      <c r="E254" s="3"/>
      <c r="F254" s="3"/>
      <c r="G254" s="3"/>
      <c r="H254" s="3"/>
      <c r="I254" s="3"/>
      <c r="J254" s="4" t="s">
        <v>1757</v>
      </c>
    </row>
    <row r="255">
      <c r="A255" s="4" t="s">
        <v>13088</v>
      </c>
      <c r="B255" s="13" t="s">
        <v>43</v>
      </c>
      <c r="D255" s="3"/>
      <c r="E255" s="3"/>
      <c r="F255" s="3"/>
      <c r="G255" s="3"/>
      <c r="H255" s="3"/>
      <c r="I255" s="3"/>
      <c r="J255" s="4" t="s">
        <v>1757</v>
      </c>
    </row>
    <row r="256">
      <c r="A256" s="4" t="s">
        <v>13089</v>
      </c>
      <c r="B256" s="13" t="s">
        <v>43</v>
      </c>
      <c r="D256" s="3"/>
      <c r="E256" s="3"/>
      <c r="F256" s="3"/>
      <c r="G256" s="3"/>
      <c r="H256" s="3"/>
      <c r="I256" s="3"/>
    </row>
    <row r="257">
      <c r="A257" s="4" t="s">
        <v>13090</v>
      </c>
      <c r="B257" s="13" t="s">
        <v>43</v>
      </c>
      <c r="D257" s="3"/>
      <c r="E257" s="3"/>
      <c r="F257" s="3"/>
      <c r="G257" s="3"/>
      <c r="H257" s="3"/>
      <c r="I257" s="3"/>
    </row>
    <row r="258">
      <c r="A258" s="4" t="s">
        <v>13091</v>
      </c>
      <c r="B258" s="13" t="s">
        <v>43</v>
      </c>
      <c r="D258" s="3"/>
      <c r="E258" s="3"/>
      <c r="F258" s="3"/>
      <c r="G258" s="3"/>
      <c r="H258" s="3"/>
      <c r="I258" s="3"/>
    </row>
    <row r="259">
      <c r="A259" s="4" t="s">
        <v>13092</v>
      </c>
      <c r="B259" s="13" t="s">
        <v>43</v>
      </c>
      <c r="D259" s="3"/>
      <c r="E259" s="3"/>
      <c r="F259" s="3"/>
      <c r="G259" s="3"/>
      <c r="H259" s="3"/>
      <c r="I259" s="3"/>
    </row>
    <row r="260">
      <c r="A260" s="4" t="s">
        <v>13093</v>
      </c>
      <c r="B260" s="13" t="s">
        <v>43</v>
      </c>
      <c r="D260" s="3"/>
      <c r="E260" s="3"/>
      <c r="F260" s="3"/>
      <c r="G260" s="3"/>
      <c r="H260" s="3"/>
      <c r="I260" s="3"/>
    </row>
    <row r="261">
      <c r="A261" s="4" t="s">
        <v>13094</v>
      </c>
      <c r="B261" s="13" t="s">
        <v>43</v>
      </c>
      <c r="D261" s="3"/>
      <c r="E261" s="3"/>
      <c r="F261" s="3"/>
      <c r="G261" s="3"/>
      <c r="H261" s="3"/>
      <c r="I261" s="3"/>
    </row>
    <row r="262">
      <c r="A262" s="4" t="s">
        <v>13095</v>
      </c>
      <c r="B262" s="13" t="s">
        <v>43</v>
      </c>
      <c r="D262" s="3"/>
      <c r="E262" s="3"/>
      <c r="F262" s="3"/>
      <c r="G262" s="3"/>
      <c r="H262" s="3"/>
      <c r="I262" s="3"/>
    </row>
    <row r="263">
      <c r="A263" s="4" t="s">
        <v>13096</v>
      </c>
      <c r="B263" s="13" t="s">
        <v>43</v>
      </c>
      <c r="D263" s="3"/>
      <c r="E263" s="3"/>
      <c r="F263" s="3"/>
      <c r="G263" s="3"/>
      <c r="H263" s="3"/>
      <c r="I263" s="3"/>
    </row>
    <row r="264">
      <c r="A264" s="4" t="s">
        <v>13097</v>
      </c>
      <c r="B264" s="13" t="s">
        <v>43</v>
      </c>
      <c r="D264" s="3"/>
      <c r="E264" s="3"/>
      <c r="F264" s="3"/>
      <c r="G264" s="3"/>
      <c r="H264" s="3"/>
      <c r="I264" s="3"/>
    </row>
    <row r="265">
      <c r="A265" s="4" t="s">
        <v>13098</v>
      </c>
      <c r="B265" s="13" t="s">
        <v>43</v>
      </c>
      <c r="D265" s="3"/>
      <c r="E265" s="3"/>
      <c r="F265" s="3"/>
      <c r="G265" s="3"/>
      <c r="H265" s="3"/>
      <c r="I265" s="3"/>
    </row>
    <row r="266">
      <c r="A266" s="4" t="s">
        <v>13099</v>
      </c>
      <c r="B266" s="13" t="s">
        <v>43</v>
      </c>
      <c r="D266" s="3"/>
      <c r="E266" s="3"/>
      <c r="F266" s="3"/>
      <c r="G266" s="3"/>
      <c r="H266" s="3"/>
      <c r="I266" s="3"/>
    </row>
    <row r="267">
      <c r="A267" s="4" t="s">
        <v>13100</v>
      </c>
      <c r="B267" s="13" t="s">
        <v>43</v>
      </c>
      <c r="D267" s="3"/>
      <c r="E267" s="3"/>
      <c r="F267" s="3"/>
      <c r="G267" s="3"/>
      <c r="H267" s="3"/>
      <c r="I267" s="3"/>
    </row>
    <row r="268">
      <c r="A268" s="4" t="s">
        <v>13101</v>
      </c>
      <c r="B268" s="13" t="s">
        <v>43</v>
      </c>
      <c r="D268" s="3"/>
      <c r="E268" s="3"/>
      <c r="F268" s="3"/>
      <c r="G268" s="3"/>
      <c r="H268" s="3"/>
      <c r="I268" s="3"/>
    </row>
    <row r="269">
      <c r="A269" s="4" t="s">
        <v>13102</v>
      </c>
      <c r="B269" s="13" t="s">
        <v>43</v>
      </c>
      <c r="D269" s="3"/>
      <c r="E269" s="3"/>
      <c r="F269" s="3"/>
      <c r="G269" s="3"/>
      <c r="H269" s="3"/>
      <c r="I269" s="3"/>
    </row>
    <row r="270">
      <c r="A270" s="4" t="s">
        <v>13103</v>
      </c>
      <c r="B270" s="13" t="s">
        <v>43</v>
      </c>
      <c r="D270" s="3"/>
      <c r="E270" s="3"/>
      <c r="F270" s="3"/>
      <c r="G270" s="3"/>
      <c r="H270" s="3"/>
      <c r="I270" s="3"/>
    </row>
    <row r="271">
      <c r="A271" s="4" t="s">
        <v>13104</v>
      </c>
      <c r="B271" s="19" t="s">
        <v>48</v>
      </c>
      <c r="C271" s="4">
        <v>1.0</v>
      </c>
      <c r="D271" s="3"/>
      <c r="E271" s="3"/>
      <c r="F271" s="3"/>
      <c r="G271" s="4">
        <v>10.0</v>
      </c>
      <c r="H271" s="3"/>
      <c r="I271" s="3"/>
    </row>
    <row r="272">
      <c r="A272" s="4" t="s">
        <v>13105</v>
      </c>
      <c r="B272" s="19" t="s">
        <v>48</v>
      </c>
      <c r="C272" s="4">
        <v>1.0</v>
      </c>
      <c r="D272" s="3"/>
      <c r="E272" s="3"/>
      <c r="F272" s="3"/>
      <c r="G272" s="4">
        <v>10.0</v>
      </c>
      <c r="H272" s="3"/>
      <c r="I272" s="3"/>
    </row>
    <row r="273">
      <c r="A273" s="4" t="s">
        <v>13106</v>
      </c>
      <c r="B273" s="19" t="s">
        <v>48</v>
      </c>
      <c r="C273" s="4">
        <v>3.0</v>
      </c>
      <c r="D273" s="3"/>
      <c r="E273" s="4">
        <v>2.0</v>
      </c>
      <c r="F273" s="4">
        <v>9.0</v>
      </c>
      <c r="G273" s="3"/>
      <c r="H273" s="3"/>
      <c r="I273" s="4">
        <v>15.0</v>
      </c>
      <c r="J273" s="4" t="s">
        <v>1757</v>
      </c>
    </row>
    <row r="274">
      <c r="A274" s="4" t="s">
        <v>13107</v>
      </c>
      <c r="B274" s="19" t="s">
        <v>48</v>
      </c>
      <c r="C274" s="4">
        <v>5.0</v>
      </c>
      <c r="D274" s="4">
        <v>1.0</v>
      </c>
      <c r="E274" s="4">
        <v>2.0</v>
      </c>
      <c r="F274" s="4">
        <v>9.0</v>
      </c>
      <c r="G274" s="3"/>
      <c r="H274" s="4">
        <v>13.0</v>
      </c>
      <c r="I274" s="4">
        <v>15.0</v>
      </c>
      <c r="J274" s="4" t="s">
        <v>1757</v>
      </c>
      <c r="K274" s="4" t="s">
        <v>1757</v>
      </c>
    </row>
    <row r="275">
      <c r="A275" s="4" t="s">
        <v>13108</v>
      </c>
      <c r="B275" s="19" t="s">
        <v>48</v>
      </c>
      <c r="C275" s="4">
        <v>5.0</v>
      </c>
      <c r="D275" s="4">
        <v>1.0</v>
      </c>
      <c r="E275" s="4">
        <v>2.0</v>
      </c>
      <c r="F275" s="4">
        <v>9.0</v>
      </c>
      <c r="G275" s="3"/>
      <c r="H275" s="4">
        <v>13.0</v>
      </c>
      <c r="I275" s="4">
        <v>15.0</v>
      </c>
      <c r="J275" s="4" t="s">
        <v>1757</v>
      </c>
      <c r="K275" s="4" t="s">
        <v>1757</v>
      </c>
    </row>
    <row r="276">
      <c r="A276" s="4" t="s">
        <v>13109</v>
      </c>
      <c r="B276" s="19" t="s">
        <v>48</v>
      </c>
      <c r="C276" s="4">
        <v>5.0</v>
      </c>
      <c r="D276" s="4">
        <v>1.0</v>
      </c>
      <c r="E276" s="4">
        <v>2.0</v>
      </c>
      <c r="F276" s="4">
        <v>9.0</v>
      </c>
      <c r="G276" s="3"/>
      <c r="H276" s="4">
        <v>13.0</v>
      </c>
      <c r="I276" s="4">
        <v>15.0</v>
      </c>
      <c r="J276" s="4" t="s">
        <v>1757</v>
      </c>
      <c r="K276" s="4" t="s">
        <v>1757</v>
      </c>
    </row>
    <row r="277">
      <c r="A277" s="4" t="s">
        <v>13110</v>
      </c>
      <c r="B277" s="19" t="s">
        <v>48</v>
      </c>
      <c r="C277" s="4">
        <v>5.0</v>
      </c>
      <c r="D277" s="4">
        <v>1.0</v>
      </c>
      <c r="E277" s="4">
        <v>2.0</v>
      </c>
      <c r="F277" s="4">
        <v>9.0</v>
      </c>
      <c r="G277" s="3"/>
      <c r="H277" s="4">
        <v>13.0</v>
      </c>
      <c r="I277" s="4">
        <v>15.0</v>
      </c>
      <c r="J277" s="4" t="s">
        <v>1757</v>
      </c>
      <c r="K277" s="4" t="s">
        <v>1757</v>
      </c>
    </row>
    <row r="278">
      <c r="A278" s="4" t="s">
        <v>13111</v>
      </c>
      <c r="B278" s="19" t="s">
        <v>48</v>
      </c>
      <c r="C278" s="4">
        <v>5.0</v>
      </c>
      <c r="D278" s="4">
        <v>1.0</v>
      </c>
      <c r="E278" s="4">
        <v>2.0</v>
      </c>
      <c r="F278" s="4">
        <v>9.0</v>
      </c>
      <c r="G278" s="3"/>
      <c r="H278" s="4">
        <v>13.0</v>
      </c>
      <c r="I278" s="4">
        <v>15.0</v>
      </c>
      <c r="J278" s="4" t="s">
        <v>1757</v>
      </c>
      <c r="K278" s="4" t="s">
        <v>1757</v>
      </c>
    </row>
    <row r="279">
      <c r="A279" s="4" t="s">
        <v>13112</v>
      </c>
      <c r="B279" s="19" t="s">
        <v>48</v>
      </c>
      <c r="C279" s="4">
        <v>5.0</v>
      </c>
      <c r="D279" s="4">
        <v>1.0</v>
      </c>
      <c r="E279" s="4">
        <v>2.0</v>
      </c>
      <c r="F279" s="4">
        <v>9.0</v>
      </c>
      <c r="G279" s="3"/>
      <c r="H279" s="4">
        <v>13.0</v>
      </c>
      <c r="I279" s="4">
        <v>15.0</v>
      </c>
      <c r="J279" s="4" t="s">
        <v>1757</v>
      </c>
      <c r="K279" s="4" t="s">
        <v>1757</v>
      </c>
    </row>
    <row r="280">
      <c r="A280" s="4" t="s">
        <v>13113</v>
      </c>
      <c r="B280" s="19" t="s">
        <v>48</v>
      </c>
      <c r="C280" s="4">
        <v>5.0</v>
      </c>
      <c r="D280" s="4">
        <v>1.0</v>
      </c>
      <c r="E280" s="4">
        <v>2.0</v>
      </c>
      <c r="F280" s="4">
        <v>9.0</v>
      </c>
      <c r="G280" s="3"/>
      <c r="H280" s="4">
        <v>13.0</v>
      </c>
      <c r="I280" s="4">
        <v>15.0</v>
      </c>
      <c r="J280" s="4" t="s">
        <v>1757</v>
      </c>
      <c r="K280" s="4" t="s">
        <v>1757</v>
      </c>
    </row>
    <row r="281">
      <c r="A281" s="4" t="s">
        <v>13114</v>
      </c>
      <c r="B281" s="19" t="s">
        <v>48</v>
      </c>
      <c r="C281" s="4">
        <v>5.0</v>
      </c>
      <c r="D281" s="4">
        <v>1.0</v>
      </c>
      <c r="E281" s="4">
        <v>2.0</v>
      </c>
      <c r="F281" s="4">
        <v>9.0</v>
      </c>
      <c r="G281" s="3"/>
      <c r="H281" s="4">
        <v>13.0</v>
      </c>
      <c r="I281" s="4">
        <v>15.0</v>
      </c>
      <c r="J281" s="4" t="s">
        <v>1757</v>
      </c>
      <c r="K281" s="4" t="s">
        <v>1757</v>
      </c>
    </row>
    <row r="282">
      <c r="A282" s="4" t="s">
        <v>13115</v>
      </c>
      <c r="B282" s="19" t="s">
        <v>48</v>
      </c>
      <c r="C282" s="4">
        <v>5.0</v>
      </c>
      <c r="D282" s="4">
        <v>1.0</v>
      </c>
      <c r="E282" s="4">
        <v>2.0</v>
      </c>
      <c r="F282" s="4">
        <v>9.0</v>
      </c>
      <c r="G282" s="3"/>
      <c r="H282" s="4">
        <v>13.0</v>
      </c>
      <c r="I282" s="4">
        <v>15.0</v>
      </c>
      <c r="J282" s="4" t="s">
        <v>1757</v>
      </c>
      <c r="K282" s="4" t="s">
        <v>1757</v>
      </c>
    </row>
    <row r="283">
      <c r="A283" s="4" t="s">
        <v>13116</v>
      </c>
      <c r="B283" s="19" t="s">
        <v>48</v>
      </c>
      <c r="C283" s="4">
        <v>5.0</v>
      </c>
      <c r="D283" s="4">
        <v>1.0</v>
      </c>
      <c r="E283" s="4">
        <v>2.0</v>
      </c>
      <c r="F283" s="4">
        <v>9.0</v>
      </c>
      <c r="G283" s="3"/>
      <c r="H283" s="4">
        <v>13.0</v>
      </c>
      <c r="I283" s="4">
        <v>15.0</v>
      </c>
      <c r="J283" s="4" t="s">
        <v>1757</v>
      </c>
    </row>
    <row r="284">
      <c r="A284" s="4" t="s">
        <v>13117</v>
      </c>
      <c r="B284" s="19" t="s">
        <v>48</v>
      </c>
      <c r="C284" s="4">
        <v>5.0</v>
      </c>
      <c r="D284" s="4">
        <v>1.0</v>
      </c>
      <c r="E284" s="4">
        <v>2.0</v>
      </c>
      <c r="F284" s="4">
        <v>9.0</v>
      </c>
      <c r="G284" s="3"/>
      <c r="H284" s="4">
        <v>13.0</v>
      </c>
      <c r="I284" s="4">
        <v>15.0</v>
      </c>
      <c r="J284" s="4" t="s">
        <v>1757</v>
      </c>
    </row>
    <row r="285">
      <c r="A285" s="4" t="s">
        <v>13118</v>
      </c>
      <c r="B285" s="19" t="s">
        <v>48</v>
      </c>
      <c r="C285" s="4">
        <v>3.0</v>
      </c>
      <c r="D285" s="4">
        <v>1.0</v>
      </c>
      <c r="E285" s="3"/>
      <c r="F285" s="3"/>
      <c r="G285" s="3"/>
      <c r="H285" s="4">
        <v>13.0</v>
      </c>
      <c r="I285" s="4">
        <v>15.0</v>
      </c>
      <c r="J285" s="4" t="s">
        <v>1757</v>
      </c>
    </row>
    <row r="286">
      <c r="A286" s="4" t="s">
        <v>13119</v>
      </c>
      <c r="B286" s="19" t="s">
        <v>48</v>
      </c>
      <c r="C286" s="4">
        <v>3.0</v>
      </c>
      <c r="D286" s="4">
        <v>1.0</v>
      </c>
      <c r="E286" s="3"/>
      <c r="F286" s="3"/>
      <c r="G286" s="3"/>
      <c r="H286" s="4">
        <v>13.0</v>
      </c>
      <c r="I286" s="4">
        <v>15.0</v>
      </c>
      <c r="J286" s="4" t="s">
        <v>1757</v>
      </c>
    </row>
    <row r="287">
      <c r="A287" s="4" t="s">
        <v>13120</v>
      </c>
      <c r="B287" s="19" t="s">
        <v>48</v>
      </c>
      <c r="C287" s="4">
        <v>2.0</v>
      </c>
      <c r="D287" s="4">
        <v>1.0</v>
      </c>
      <c r="E287" s="3"/>
      <c r="F287" s="3"/>
      <c r="G287" s="3"/>
      <c r="H287" s="4">
        <v>13.0</v>
      </c>
      <c r="I287" s="3"/>
      <c r="J287" s="4" t="s">
        <v>1757</v>
      </c>
    </row>
    <row r="288">
      <c r="A288" s="4" t="s">
        <v>13121</v>
      </c>
      <c r="B288" s="19" t="s">
        <v>48</v>
      </c>
      <c r="C288" s="4">
        <v>2.0</v>
      </c>
      <c r="D288" s="4">
        <v>1.0</v>
      </c>
      <c r="E288" s="3"/>
      <c r="F288" s="3"/>
      <c r="G288" s="3"/>
      <c r="H288" s="4">
        <v>13.0</v>
      </c>
      <c r="I288" s="3"/>
      <c r="J288" s="4" t="s">
        <v>1757</v>
      </c>
    </row>
    <row r="289">
      <c r="A289" s="4" t="s">
        <v>13122</v>
      </c>
      <c r="B289" s="19" t="s">
        <v>48</v>
      </c>
      <c r="C289" s="4">
        <v>1.0</v>
      </c>
      <c r="D289" s="3"/>
      <c r="E289" s="3"/>
      <c r="F289" s="3"/>
      <c r="G289" s="3"/>
      <c r="H289" s="4">
        <v>13.0</v>
      </c>
      <c r="I289" s="3"/>
      <c r="J289" s="4" t="s">
        <v>1757</v>
      </c>
    </row>
    <row r="290">
      <c r="A290" s="4" t="s">
        <v>13123</v>
      </c>
      <c r="B290" s="13" t="s">
        <v>43</v>
      </c>
      <c r="D290" s="3"/>
      <c r="E290" s="3"/>
      <c r="F290" s="3"/>
      <c r="G290" s="3"/>
      <c r="H290" s="3"/>
      <c r="I290" s="3"/>
      <c r="J290" s="4" t="s">
        <v>1757</v>
      </c>
    </row>
    <row r="291">
      <c r="A291" s="4" t="s">
        <v>13124</v>
      </c>
      <c r="B291" s="13" t="s">
        <v>43</v>
      </c>
      <c r="D291" s="3"/>
      <c r="E291" s="3"/>
      <c r="F291" s="3"/>
      <c r="G291" s="3"/>
      <c r="H291" s="3"/>
      <c r="I291" s="3"/>
    </row>
    <row r="292">
      <c r="A292" s="4" t="s">
        <v>13125</v>
      </c>
      <c r="B292" s="13" t="s">
        <v>43</v>
      </c>
      <c r="D292" s="3"/>
      <c r="E292" s="3"/>
      <c r="F292" s="3"/>
      <c r="G292" s="3"/>
      <c r="H292" s="3"/>
      <c r="I292" s="3"/>
    </row>
    <row r="293">
      <c r="A293" s="4" t="s">
        <v>13126</v>
      </c>
      <c r="B293" s="13" t="s">
        <v>43</v>
      </c>
      <c r="D293" s="3"/>
      <c r="E293" s="3"/>
      <c r="F293" s="3"/>
      <c r="G293" s="3"/>
      <c r="H293" s="3"/>
      <c r="I293" s="3"/>
    </row>
    <row r="294">
      <c r="A294" s="4" t="s">
        <v>13127</v>
      </c>
      <c r="B294" s="13" t="s">
        <v>43</v>
      </c>
      <c r="D294" s="3"/>
      <c r="E294" s="3"/>
      <c r="F294" s="3"/>
      <c r="G294" s="3"/>
      <c r="H294" s="3"/>
      <c r="I294" s="3"/>
    </row>
    <row r="295">
      <c r="A295" s="4" t="s">
        <v>13128</v>
      </c>
      <c r="B295" s="13" t="s">
        <v>43</v>
      </c>
      <c r="D295" s="3"/>
      <c r="E295" s="3"/>
      <c r="F295" s="3"/>
      <c r="G295" s="3"/>
      <c r="H295" s="3"/>
      <c r="I295" s="3"/>
    </row>
    <row r="296">
      <c r="A296" s="4" t="s">
        <v>13129</v>
      </c>
      <c r="B296" s="13" t="s">
        <v>43</v>
      </c>
      <c r="D296" s="3"/>
      <c r="E296" s="3"/>
      <c r="F296" s="3"/>
      <c r="G296" s="3"/>
      <c r="H296" s="3"/>
      <c r="I296" s="3"/>
    </row>
    <row r="297">
      <c r="A297" s="4" t="s">
        <v>13130</v>
      </c>
      <c r="B297" s="13" t="s">
        <v>43</v>
      </c>
      <c r="D297" s="3"/>
      <c r="E297" s="3"/>
      <c r="F297" s="3"/>
      <c r="G297" s="3"/>
      <c r="H297" s="3"/>
      <c r="I297" s="3"/>
    </row>
    <row r="298">
      <c r="A298" s="4" t="s">
        <v>13131</v>
      </c>
      <c r="B298" s="13" t="s">
        <v>43</v>
      </c>
      <c r="D298" s="3"/>
      <c r="E298" s="3"/>
      <c r="F298" s="3"/>
      <c r="G298" s="3"/>
      <c r="H298" s="3"/>
      <c r="I298" s="3"/>
      <c r="J298" s="4" t="s">
        <v>1757</v>
      </c>
    </row>
    <row r="299">
      <c r="A299" s="4" t="s">
        <v>13132</v>
      </c>
      <c r="B299" s="13" t="s">
        <v>43</v>
      </c>
      <c r="D299" s="3"/>
      <c r="E299" s="3"/>
      <c r="F299" s="3"/>
      <c r="G299" s="3"/>
      <c r="H299" s="3"/>
      <c r="I299" s="3"/>
      <c r="J299" s="4" t="s">
        <v>1757</v>
      </c>
    </row>
    <row r="300">
      <c r="A300" s="4" t="s">
        <v>13133</v>
      </c>
      <c r="B300" s="13" t="s">
        <v>43</v>
      </c>
      <c r="D300" s="3"/>
      <c r="E300" s="3"/>
      <c r="F300" s="3"/>
      <c r="G300" s="3"/>
      <c r="H300" s="3"/>
      <c r="I300" s="3"/>
      <c r="J300" s="4" t="s">
        <v>1757</v>
      </c>
    </row>
    <row r="301">
      <c r="A301" s="4" t="s">
        <v>13134</v>
      </c>
      <c r="B301" s="13" t="s">
        <v>43</v>
      </c>
      <c r="D301" s="3"/>
      <c r="E301" s="3"/>
      <c r="F301" s="3"/>
      <c r="G301" s="3"/>
      <c r="H301" s="3"/>
      <c r="I301" s="3"/>
      <c r="J301" s="4" t="s">
        <v>1757</v>
      </c>
    </row>
    <row r="302">
      <c r="A302" s="4" t="s">
        <v>13135</v>
      </c>
      <c r="B302" s="13" t="s">
        <v>43</v>
      </c>
      <c r="D302" s="3"/>
      <c r="E302" s="3"/>
      <c r="F302" s="3"/>
      <c r="G302" s="3"/>
      <c r="H302" s="3"/>
      <c r="I302" s="3"/>
      <c r="J302" s="4" t="s">
        <v>1757</v>
      </c>
    </row>
    <row r="303">
      <c r="A303" s="4" t="s">
        <v>13136</v>
      </c>
      <c r="B303" s="13" t="s">
        <v>43</v>
      </c>
      <c r="D303" s="3"/>
      <c r="E303" s="3"/>
      <c r="F303" s="3"/>
      <c r="G303" s="3"/>
      <c r="H303" s="3"/>
      <c r="I303" s="3"/>
      <c r="J303" s="4" t="s">
        <v>1757</v>
      </c>
    </row>
    <row r="304">
      <c r="A304" s="4" t="s">
        <v>13137</v>
      </c>
      <c r="B304" s="13" t="s">
        <v>43</v>
      </c>
      <c r="D304" s="3"/>
      <c r="E304" s="3"/>
      <c r="F304" s="3"/>
      <c r="G304" s="3"/>
      <c r="H304" s="3"/>
      <c r="I304" s="3"/>
      <c r="J304" s="4" t="s">
        <v>1757</v>
      </c>
    </row>
    <row r="305">
      <c r="A305" s="4" t="s">
        <v>13138</v>
      </c>
      <c r="B305" s="13" t="s">
        <v>43</v>
      </c>
      <c r="D305" s="3"/>
      <c r="E305" s="3"/>
      <c r="F305" s="3"/>
      <c r="G305" s="3"/>
      <c r="H305" s="3"/>
      <c r="I305" s="3"/>
      <c r="J305" s="4" t="s">
        <v>1757</v>
      </c>
    </row>
    <row r="306">
      <c r="A306" s="4" t="s">
        <v>13139</v>
      </c>
      <c r="B306" s="13" t="s">
        <v>43</v>
      </c>
      <c r="D306" s="3"/>
      <c r="E306" s="3"/>
      <c r="F306" s="3"/>
      <c r="G306" s="3"/>
      <c r="H306" s="3"/>
      <c r="I306" s="3"/>
      <c r="J306" s="4" t="s">
        <v>1757</v>
      </c>
    </row>
    <row r="307">
      <c r="A307" s="4" t="s">
        <v>13140</v>
      </c>
      <c r="B307" s="13" t="s">
        <v>43</v>
      </c>
      <c r="D307" s="3"/>
      <c r="E307" s="3"/>
      <c r="F307" s="3"/>
      <c r="G307" s="3"/>
      <c r="H307" s="3"/>
      <c r="I307" s="3"/>
      <c r="J307" s="4" t="s">
        <v>1757</v>
      </c>
    </row>
    <row r="308">
      <c r="A308" s="4" t="s">
        <v>13141</v>
      </c>
      <c r="B308" s="13" t="s">
        <v>43</v>
      </c>
      <c r="D308" s="3"/>
      <c r="E308" s="3"/>
      <c r="F308" s="3"/>
      <c r="G308" s="3"/>
      <c r="H308" s="3"/>
      <c r="I308" s="3"/>
      <c r="J308" s="4" t="s">
        <v>1757</v>
      </c>
    </row>
    <row r="309">
      <c r="A309" s="4" t="s">
        <v>13142</v>
      </c>
      <c r="B309" s="13" t="s">
        <v>43</v>
      </c>
      <c r="D309" s="3"/>
      <c r="E309" s="3"/>
      <c r="F309" s="3"/>
      <c r="G309" s="3"/>
      <c r="H309" s="3"/>
      <c r="I309" s="3"/>
      <c r="J309" s="4" t="s">
        <v>1757</v>
      </c>
    </row>
    <row r="310">
      <c r="A310" s="4" t="s">
        <v>13143</v>
      </c>
      <c r="B310" s="13" t="s">
        <v>43</v>
      </c>
      <c r="D310" s="3"/>
      <c r="E310" s="3"/>
      <c r="F310" s="3"/>
      <c r="G310" s="3"/>
      <c r="H310" s="3"/>
      <c r="I310" s="3"/>
    </row>
    <row r="311">
      <c r="A311" s="4" t="s">
        <v>13144</v>
      </c>
      <c r="B311" s="13" t="s">
        <v>43</v>
      </c>
      <c r="D311" s="3"/>
      <c r="E311" s="3"/>
      <c r="F311" s="3"/>
      <c r="G311" s="3"/>
      <c r="H311" s="3"/>
      <c r="I311" s="3"/>
    </row>
    <row r="312">
      <c r="A312" s="4" t="s">
        <v>13145</v>
      </c>
      <c r="B312" s="13" t="s">
        <v>43</v>
      </c>
      <c r="D312" s="3"/>
      <c r="E312" s="3"/>
      <c r="F312" s="3"/>
      <c r="G312" s="3"/>
      <c r="H312" s="3"/>
      <c r="I312" s="3"/>
    </row>
    <row r="313">
      <c r="A313" s="4" t="s">
        <v>13146</v>
      </c>
      <c r="B313" s="13" t="s">
        <v>43</v>
      </c>
      <c r="D313" s="3"/>
      <c r="E313" s="3"/>
      <c r="F313" s="24"/>
      <c r="G313" s="3"/>
      <c r="H313" s="3"/>
      <c r="I313" s="3"/>
    </row>
    <row r="314">
      <c r="A314" s="4" t="s">
        <v>13147</v>
      </c>
      <c r="B314" s="13" t="s">
        <v>43</v>
      </c>
      <c r="D314" s="3"/>
      <c r="E314" s="3"/>
      <c r="F314" s="24"/>
      <c r="G314" s="3"/>
      <c r="H314" s="3"/>
      <c r="I314" s="3"/>
    </row>
    <row r="315">
      <c r="A315" s="4" t="s">
        <v>13148</v>
      </c>
      <c r="B315" s="13" t="s">
        <v>43</v>
      </c>
      <c r="D315" s="3"/>
      <c r="E315" s="3"/>
      <c r="F315" s="24"/>
      <c r="G315" s="3"/>
      <c r="H315" s="3"/>
      <c r="I315" s="3"/>
    </row>
    <row r="316">
      <c r="A316" s="4" t="s">
        <v>13149</v>
      </c>
      <c r="B316" s="13" t="s">
        <v>43</v>
      </c>
      <c r="D316" s="3"/>
      <c r="E316" s="3"/>
      <c r="F316" s="24"/>
      <c r="G316" s="3"/>
      <c r="H316" s="3"/>
      <c r="I316" s="3"/>
    </row>
    <row r="317">
      <c r="A317" s="4" t="s">
        <v>13150</v>
      </c>
      <c r="B317" s="13" t="s">
        <v>43</v>
      </c>
      <c r="D317" s="3"/>
      <c r="E317" s="3"/>
      <c r="F317" s="24"/>
      <c r="G317" s="3"/>
      <c r="H317" s="3"/>
      <c r="I317" s="3"/>
    </row>
    <row r="318">
      <c r="A318" s="4" t="s">
        <v>13151</v>
      </c>
      <c r="B318" s="13" t="s">
        <v>43</v>
      </c>
      <c r="D318" s="3"/>
      <c r="E318" s="3"/>
      <c r="F318" s="24"/>
      <c r="G318" s="3"/>
      <c r="H318" s="3"/>
      <c r="I318" s="3"/>
    </row>
    <row r="319">
      <c r="A319" s="4" t="s">
        <v>13152</v>
      </c>
      <c r="B319" s="13" t="s">
        <v>43</v>
      </c>
      <c r="D319" s="3"/>
      <c r="E319" s="3"/>
      <c r="F319" s="3"/>
      <c r="G319" s="3"/>
      <c r="H319" s="3"/>
      <c r="I319" s="3"/>
    </row>
    <row r="320">
      <c r="A320" s="4" t="s">
        <v>13153</v>
      </c>
      <c r="B320" s="13" t="s">
        <v>43</v>
      </c>
      <c r="D320" s="3"/>
      <c r="E320" s="3"/>
      <c r="F320" s="3"/>
      <c r="G320" s="3"/>
      <c r="H320" s="3"/>
      <c r="I320" s="3"/>
    </row>
    <row r="321">
      <c r="A321" s="4" t="s">
        <v>13154</v>
      </c>
      <c r="B321" s="13" t="s">
        <v>43</v>
      </c>
      <c r="D321" s="3"/>
      <c r="E321" s="3"/>
      <c r="F321" s="24"/>
      <c r="G321" s="3"/>
      <c r="H321" s="3"/>
      <c r="I321" s="3"/>
    </row>
    <row r="322">
      <c r="A322" s="4" t="s">
        <v>13155</v>
      </c>
      <c r="B322" s="13" t="s">
        <v>43</v>
      </c>
      <c r="D322" s="3"/>
      <c r="E322" s="3"/>
      <c r="F322" s="24"/>
      <c r="G322" s="3"/>
      <c r="H322" s="3"/>
      <c r="I322" s="3"/>
      <c r="J322" s="4" t="s">
        <v>1757</v>
      </c>
    </row>
    <row r="323">
      <c r="A323" s="4" t="s">
        <v>13156</v>
      </c>
      <c r="B323" s="13" t="s">
        <v>43</v>
      </c>
      <c r="D323" s="3"/>
      <c r="E323" s="3"/>
      <c r="F323" s="24"/>
      <c r="G323" s="3"/>
      <c r="H323" s="3"/>
      <c r="I323" s="3"/>
      <c r="J323" s="4" t="s">
        <v>1757</v>
      </c>
    </row>
    <row r="324">
      <c r="A324" s="4" t="s">
        <v>13157</v>
      </c>
      <c r="B324" s="13" t="s">
        <v>43</v>
      </c>
      <c r="D324" s="3"/>
      <c r="E324" s="3"/>
      <c r="F324" s="24"/>
      <c r="G324" s="3"/>
      <c r="H324" s="3"/>
      <c r="I324" s="3"/>
      <c r="J324" s="4" t="s">
        <v>1757</v>
      </c>
    </row>
    <row r="325">
      <c r="A325" s="4" t="s">
        <v>13158</v>
      </c>
      <c r="B325" s="13" t="s">
        <v>43</v>
      </c>
      <c r="D325" s="3"/>
      <c r="E325" s="3"/>
      <c r="F325" s="24"/>
      <c r="G325" s="3"/>
      <c r="H325" s="3"/>
      <c r="I325" s="3"/>
      <c r="J325" s="4" t="s">
        <v>1757</v>
      </c>
    </row>
    <row r="326">
      <c r="A326" s="4" t="s">
        <v>13159</v>
      </c>
      <c r="B326" s="13" t="s">
        <v>43</v>
      </c>
      <c r="D326" s="3"/>
      <c r="E326" s="3"/>
      <c r="F326" s="24"/>
      <c r="G326" s="3"/>
      <c r="H326" s="3"/>
      <c r="I326" s="3"/>
      <c r="J326" s="4" t="s">
        <v>1757</v>
      </c>
    </row>
    <row r="327">
      <c r="A327" s="4" t="s">
        <v>13160</v>
      </c>
      <c r="B327" s="13" t="s">
        <v>43</v>
      </c>
      <c r="D327" s="3"/>
      <c r="E327" s="3"/>
      <c r="F327" s="24"/>
      <c r="G327" s="3"/>
      <c r="H327" s="3"/>
      <c r="I327" s="3"/>
    </row>
    <row r="328">
      <c r="A328" s="4" t="s">
        <v>13161</v>
      </c>
      <c r="B328" s="13" t="s">
        <v>43</v>
      </c>
      <c r="D328" s="3"/>
      <c r="E328" s="3"/>
      <c r="F328" s="24"/>
      <c r="G328" s="3"/>
      <c r="H328" s="3"/>
      <c r="I328" s="3"/>
    </row>
    <row r="329">
      <c r="A329" s="4" t="s">
        <v>13162</v>
      </c>
      <c r="B329" s="13" t="s">
        <v>43</v>
      </c>
      <c r="D329" s="3"/>
      <c r="E329" s="3"/>
      <c r="F329" s="3"/>
      <c r="G329" s="3"/>
      <c r="H329" s="3"/>
      <c r="I329" s="3"/>
    </row>
    <row r="330">
      <c r="A330" s="4" t="s">
        <v>13163</v>
      </c>
      <c r="B330" s="13" t="s">
        <v>43</v>
      </c>
      <c r="D330" s="3"/>
      <c r="E330" s="3"/>
      <c r="F330" s="3"/>
      <c r="G330" s="3"/>
      <c r="H330" s="3"/>
      <c r="I330" s="3"/>
    </row>
    <row r="331">
      <c r="A331" s="4" t="s">
        <v>13164</v>
      </c>
      <c r="B331" s="13" t="s">
        <v>43</v>
      </c>
      <c r="D331" s="3"/>
      <c r="E331" s="3"/>
      <c r="F331" s="3"/>
      <c r="G331" s="3"/>
      <c r="H331" s="3"/>
      <c r="I331" s="3"/>
    </row>
    <row r="332">
      <c r="A332" s="4" t="s">
        <v>13165</v>
      </c>
      <c r="B332" s="13" t="s">
        <v>43</v>
      </c>
      <c r="D332" s="3"/>
      <c r="E332" s="3"/>
      <c r="F332" s="3"/>
      <c r="G332" s="3"/>
      <c r="H332" s="3"/>
      <c r="I332" s="3"/>
    </row>
    <row r="333">
      <c r="A333" s="4" t="s">
        <v>13166</v>
      </c>
      <c r="B333" s="13" t="s">
        <v>43</v>
      </c>
      <c r="D333" s="3"/>
      <c r="E333" s="3"/>
      <c r="F333" s="3"/>
      <c r="G333" s="3"/>
      <c r="H333" s="3"/>
      <c r="I333" s="3"/>
    </row>
    <row r="334">
      <c r="A334" s="4" t="s">
        <v>13167</v>
      </c>
      <c r="B334" s="13" t="s">
        <v>43</v>
      </c>
      <c r="D334" s="3"/>
      <c r="E334" s="3"/>
      <c r="F334" s="3"/>
      <c r="G334" s="3"/>
      <c r="H334" s="3"/>
      <c r="I334" s="3"/>
    </row>
    <row r="335">
      <c r="A335" s="4" t="s">
        <v>13168</v>
      </c>
      <c r="B335" s="13" t="s">
        <v>43</v>
      </c>
      <c r="D335" s="3"/>
      <c r="E335" s="3"/>
      <c r="F335" s="3"/>
      <c r="G335" s="3"/>
      <c r="H335" s="3"/>
      <c r="I335" s="3"/>
    </row>
    <row r="336">
      <c r="A336" s="4" t="s">
        <v>13169</v>
      </c>
      <c r="B336" s="13" t="s">
        <v>43</v>
      </c>
      <c r="D336" s="3"/>
      <c r="E336" s="3"/>
      <c r="F336" s="3"/>
      <c r="G336" s="3"/>
      <c r="H336" s="3"/>
      <c r="I336" s="3"/>
    </row>
    <row r="337">
      <c r="A337" s="4" t="s">
        <v>13170</v>
      </c>
      <c r="B337" s="13" t="s">
        <v>43</v>
      </c>
      <c r="D337" s="3"/>
      <c r="E337" s="3"/>
      <c r="F337" s="3"/>
      <c r="G337" s="3"/>
      <c r="H337" s="3"/>
      <c r="I337" s="3"/>
    </row>
    <row r="338">
      <c r="A338" s="4" t="s">
        <v>13171</v>
      </c>
      <c r="B338" s="13" t="s">
        <v>43</v>
      </c>
      <c r="D338" s="3"/>
      <c r="E338" s="3"/>
      <c r="F338" s="3"/>
      <c r="G338" s="3"/>
      <c r="H338" s="3"/>
      <c r="I338" s="3"/>
    </row>
    <row r="339">
      <c r="A339" s="4" t="s">
        <v>13172</v>
      </c>
      <c r="B339" s="13" t="s">
        <v>43</v>
      </c>
      <c r="D339" s="3"/>
      <c r="E339" s="3"/>
      <c r="F339" s="3"/>
      <c r="G339" s="3"/>
      <c r="H339" s="3"/>
      <c r="I339" s="3"/>
    </row>
    <row r="340">
      <c r="A340" s="4" t="s">
        <v>13173</v>
      </c>
      <c r="B340" s="13" t="s">
        <v>43</v>
      </c>
      <c r="D340" s="3"/>
      <c r="E340" s="3"/>
      <c r="F340" s="3"/>
      <c r="G340" s="3"/>
      <c r="H340" s="3"/>
      <c r="I340" s="3"/>
    </row>
    <row r="341">
      <c r="A341" s="4" t="s">
        <v>13174</v>
      </c>
      <c r="B341" s="13" t="s">
        <v>43</v>
      </c>
      <c r="D341" s="3"/>
      <c r="E341" s="3"/>
      <c r="F341" s="3"/>
      <c r="G341" s="3"/>
      <c r="H341" s="3"/>
      <c r="I341" s="3"/>
    </row>
    <row r="342">
      <c r="A342" s="4" t="s">
        <v>13175</v>
      </c>
      <c r="B342" s="13" t="s">
        <v>43</v>
      </c>
      <c r="D342" s="3"/>
      <c r="E342" s="3"/>
      <c r="F342" s="3"/>
      <c r="G342" s="3"/>
      <c r="H342" s="3"/>
      <c r="I342" s="3"/>
    </row>
    <row r="343">
      <c r="A343" s="4" t="s">
        <v>13176</v>
      </c>
      <c r="B343" s="13" t="s">
        <v>43</v>
      </c>
      <c r="D343" s="3"/>
      <c r="E343" s="3"/>
      <c r="F343" s="3"/>
      <c r="G343" s="3"/>
      <c r="H343" s="3"/>
      <c r="I343" s="3"/>
    </row>
    <row r="344">
      <c r="A344" s="4" t="s">
        <v>13177</v>
      </c>
      <c r="B344" s="13" t="s">
        <v>43</v>
      </c>
      <c r="D344" s="3"/>
      <c r="E344" s="3"/>
      <c r="F344" s="3"/>
      <c r="G344" s="3"/>
      <c r="H344" s="3"/>
      <c r="I344" s="3"/>
    </row>
    <row r="345">
      <c r="A345" s="4" t="s">
        <v>13178</v>
      </c>
      <c r="B345" s="13" t="s">
        <v>43</v>
      </c>
      <c r="D345" s="3"/>
      <c r="E345" s="3"/>
      <c r="F345" s="3"/>
      <c r="G345" s="3"/>
      <c r="H345" s="3"/>
      <c r="I345" s="3"/>
    </row>
    <row r="346">
      <c r="A346" s="4" t="s">
        <v>13179</v>
      </c>
      <c r="B346" s="13" t="s">
        <v>43</v>
      </c>
      <c r="D346" s="3"/>
      <c r="E346" s="3"/>
      <c r="F346" s="3"/>
      <c r="G346" s="3"/>
      <c r="H346" s="3"/>
      <c r="I346" s="3"/>
    </row>
    <row r="347">
      <c r="A347" s="4" t="s">
        <v>13180</v>
      </c>
      <c r="B347" s="13" t="s">
        <v>43</v>
      </c>
      <c r="D347" s="3"/>
      <c r="E347" s="3"/>
      <c r="F347" s="3"/>
      <c r="G347" s="3"/>
      <c r="H347" s="3"/>
      <c r="I347" s="3"/>
    </row>
    <row r="348">
      <c r="A348" s="4" t="s">
        <v>13181</v>
      </c>
      <c r="B348" s="13" t="s">
        <v>43</v>
      </c>
      <c r="D348" s="3"/>
      <c r="E348" s="3"/>
      <c r="F348" s="3"/>
      <c r="G348" s="3"/>
      <c r="H348" s="3"/>
      <c r="I348" s="3"/>
    </row>
    <row r="349">
      <c r="A349" s="4" t="s">
        <v>13182</v>
      </c>
      <c r="B349" s="13" t="s">
        <v>43</v>
      </c>
      <c r="D349" s="3"/>
      <c r="E349" s="3"/>
      <c r="F349" s="3"/>
      <c r="G349" s="3"/>
      <c r="H349" s="3"/>
      <c r="I349" s="3"/>
    </row>
    <row r="350">
      <c r="A350" s="4" t="s">
        <v>13183</v>
      </c>
      <c r="B350" s="13" t="s">
        <v>43</v>
      </c>
      <c r="D350" s="3"/>
      <c r="E350" s="3"/>
      <c r="F350" s="3"/>
      <c r="G350" s="3"/>
      <c r="H350" s="3"/>
      <c r="I350" s="3"/>
    </row>
    <row r="351">
      <c r="A351" s="4" t="s">
        <v>13184</v>
      </c>
      <c r="B351" s="13" t="s">
        <v>43</v>
      </c>
      <c r="D351" s="3"/>
      <c r="E351" s="3"/>
      <c r="F351" s="3"/>
      <c r="G351" s="3"/>
      <c r="H351" s="3"/>
      <c r="I351" s="3"/>
    </row>
    <row r="352">
      <c r="A352" s="4" t="s">
        <v>13185</v>
      </c>
      <c r="B352" s="13" t="s">
        <v>43</v>
      </c>
      <c r="D352" s="3"/>
      <c r="E352" s="3"/>
      <c r="F352" s="3"/>
      <c r="G352" s="3"/>
      <c r="H352" s="3"/>
      <c r="I352" s="3"/>
    </row>
    <row r="353">
      <c r="A353" s="4" t="s">
        <v>13186</v>
      </c>
      <c r="B353" s="13" t="s">
        <v>43</v>
      </c>
      <c r="D353" s="3"/>
      <c r="E353" s="3"/>
      <c r="F353" s="3"/>
      <c r="G353" s="3"/>
      <c r="H353" s="3"/>
      <c r="I353" s="3"/>
    </row>
    <row r="354">
      <c r="A354" s="4" t="s">
        <v>13187</v>
      </c>
      <c r="B354" s="13" t="s">
        <v>43</v>
      </c>
      <c r="D354" s="3"/>
      <c r="E354" s="3"/>
      <c r="F354" s="3"/>
      <c r="G354" s="3"/>
      <c r="H354" s="3"/>
      <c r="I354" s="3"/>
    </row>
    <row r="355">
      <c r="A355" s="4" t="s">
        <v>13188</v>
      </c>
      <c r="B355" s="13" t="s">
        <v>43</v>
      </c>
      <c r="D355" s="3"/>
      <c r="E355" s="3"/>
      <c r="F355" s="3"/>
      <c r="G355" s="3"/>
      <c r="H355" s="3"/>
      <c r="I355" s="3"/>
    </row>
    <row r="356">
      <c r="A356" s="4" t="s">
        <v>13189</v>
      </c>
      <c r="B356" s="13" t="s">
        <v>43</v>
      </c>
      <c r="D356" s="3"/>
      <c r="E356" s="3"/>
      <c r="F356" s="3"/>
      <c r="G356" s="3"/>
      <c r="H356" s="3"/>
      <c r="I356" s="3"/>
    </row>
    <row r="357">
      <c r="A357" s="4" t="s">
        <v>13190</v>
      </c>
      <c r="B357" s="13" t="s">
        <v>43</v>
      </c>
      <c r="D357" s="3"/>
      <c r="E357" s="3"/>
      <c r="F357" s="3"/>
      <c r="G357" s="3"/>
      <c r="H357" s="3"/>
      <c r="I357" s="3"/>
    </row>
    <row r="358">
      <c r="A358" s="4" t="s">
        <v>13191</v>
      </c>
      <c r="B358" s="13" t="s">
        <v>43</v>
      </c>
      <c r="D358" s="3"/>
      <c r="E358" s="3"/>
      <c r="F358" s="3"/>
      <c r="G358" s="3"/>
      <c r="H358" s="3"/>
      <c r="I358" s="3"/>
    </row>
    <row r="359">
      <c r="A359" s="4" t="s">
        <v>13192</v>
      </c>
      <c r="B359" s="13" t="s">
        <v>43</v>
      </c>
      <c r="D359" s="3"/>
      <c r="E359" s="3"/>
      <c r="F359" s="3"/>
      <c r="G359" s="3"/>
      <c r="H359" s="3"/>
      <c r="I359" s="3"/>
    </row>
    <row r="360">
      <c r="A360" s="4" t="s">
        <v>13193</v>
      </c>
      <c r="B360" s="13" t="s">
        <v>43</v>
      </c>
      <c r="D360" s="3"/>
      <c r="E360" s="3"/>
      <c r="F360" s="3"/>
      <c r="G360" s="3"/>
      <c r="H360" s="3"/>
      <c r="I360" s="3"/>
    </row>
    <row r="361">
      <c r="A361" s="4" t="s">
        <v>13194</v>
      </c>
      <c r="B361" s="13" t="s">
        <v>43</v>
      </c>
      <c r="D361" s="3"/>
      <c r="E361" s="3"/>
      <c r="F361" s="3"/>
      <c r="G361" s="3"/>
      <c r="H361" s="3"/>
      <c r="I361" s="3"/>
    </row>
    <row r="362">
      <c r="A362" s="4" t="s">
        <v>13195</v>
      </c>
      <c r="B362" s="13" t="s">
        <v>43</v>
      </c>
      <c r="D362" s="3"/>
      <c r="E362" s="3"/>
      <c r="F362" s="3"/>
      <c r="G362" s="3"/>
      <c r="H362" s="3"/>
      <c r="I362" s="3"/>
    </row>
    <row r="363">
      <c r="A363" s="4" t="s">
        <v>13196</v>
      </c>
      <c r="B363" s="13" t="s">
        <v>43</v>
      </c>
      <c r="D363" s="3"/>
      <c r="E363" s="3"/>
      <c r="F363" s="3"/>
      <c r="G363" s="3"/>
      <c r="H363" s="3"/>
      <c r="I363" s="3"/>
    </row>
    <row r="364">
      <c r="A364" s="4" t="s">
        <v>13197</v>
      </c>
      <c r="B364" s="13" t="s">
        <v>43</v>
      </c>
      <c r="D364" s="3"/>
      <c r="E364" s="3"/>
      <c r="F364" s="3"/>
      <c r="G364" s="3"/>
      <c r="H364" s="3"/>
      <c r="I364" s="3"/>
    </row>
    <row r="365">
      <c r="A365" s="4" t="s">
        <v>13198</v>
      </c>
      <c r="B365" s="13" t="s">
        <v>43</v>
      </c>
      <c r="D365" s="3"/>
      <c r="E365" s="3"/>
      <c r="F365" s="3"/>
      <c r="G365" s="3"/>
      <c r="H365" s="3"/>
      <c r="I365" s="3"/>
    </row>
    <row r="366">
      <c r="A366" s="4" t="s">
        <v>13199</v>
      </c>
      <c r="B366" s="13" t="s">
        <v>48</v>
      </c>
      <c r="C366" s="4">
        <v>1.0</v>
      </c>
      <c r="D366" s="3"/>
      <c r="E366" s="3"/>
      <c r="F366" s="3"/>
      <c r="G366" s="4">
        <v>10.0</v>
      </c>
      <c r="H366" s="3"/>
      <c r="I366" s="3"/>
    </row>
    <row r="367">
      <c r="A367" s="4" t="s">
        <v>13200</v>
      </c>
      <c r="B367" s="13" t="s">
        <v>48</v>
      </c>
      <c r="C367" s="4">
        <v>1.0</v>
      </c>
      <c r="D367" s="3"/>
      <c r="E367" s="3"/>
      <c r="F367" s="3"/>
      <c r="G367" s="4">
        <v>10.0</v>
      </c>
      <c r="H367" s="3"/>
      <c r="I367" s="3"/>
    </row>
    <row r="368">
      <c r="A368" s="4" t="s">
        <v>13201</v>
      </c>
      <c r="B368" s="13" t="s">
        <v>48</v>
      </c>
      <c r="C368" s="4">
        <v>1.0</v>
      </c>
      <c r="D368" s="3"/>
      <c r="E368" s="3"/>
      <c r="F368" s="3"/>
      <c r="G368" s="4">
        <v>10.0</v>
      </c>
      <c r="H368" s="3"/>
      <c r="I368" s="3"/>
    </row>
    <row r="369">
      <c r="A369" s="4" t="s">
        <v>13202</v>
      </c>
      <c r="B369" s="13" t="s">
        <v>48</v>
      </c>
      <c r="C369" s="4">
        <v>1.0</v>
      </c>
      <c r="D369" s="3"/>
      <c r="E369" s="3"/>
      <c r="F369" s="3"/>
      <c r="G369" s="4">
        <v>10.0</v>
      </c>
      <c r="H369" s="3"/>
      <c r="I369" s="3"/>
    </row>
    <row r="370">
      <c r="A370" s="4" t="s">
        <v>13203</v>
      </c>
      <c r="B370" s="13" t="s">
        <v>43</v>
      </c>
      <c r="D370" s="3"/>
      <c r="E370" s="3"/>
      <c r="F370" s="3"/>
      <c r="G370" s="3"/>
      <c r="H370" s="3"/>
      <c r="I370" s="3"/>
    </row>
    <row r="371">
      <c r="A371" s="4" t="s">
        <v>13204</v>
      </c>
      <c r="B371" s="13" t="s">
        <v>43</v>
      </c>
      <c r="D371" s="3"/>
      <c r="E371" s="3"/>
      <c r="F371" s="3"/>
      <c r="G371" s="3"/>
      <c r="H371" s="3"/>
      <c r="I371" s="3"/>
    </row>
    <row r="372">
      <c r="A372" s="4" t="s">
        <v>13205</v>
      </c>
      <c r="B372" s="13" t="s">
        <v>43</v>
      </c>
      <c r="D372" s="3"/>
      <c r="E372" s="3"/>
      <c r="F372" s="3"/>
      <c r="G372" s="3"/>
      <c r="H372" s="3"/>
      <c r="I372" s="3"/>
    </row>
    <row r="373">
      <c r="A373" s="4" t="s">
        <v>13206</v>
      </c>
      <c r="B373" s="13" t="s">
        <v>43</v>
      </c>
      <c r="D373" s="3"/>
      <c r="E373" s="3"/>
      <c r="F373" s="3"/>
      <c r="G373" s="3"/>
      <c r="H373" s="3"/>
      <c r="I373" s="3"/>
    </row>
    <row r="374">
      <c r="A374" s="4" t="s">
        <v>13207</v>
      </c>
      <c r="B374" s="13" t="s">
        <v>43</v>
      </c>
      <c r="D374" s="3"/>
      <c r="E374" s="3"/>
      <c r="F374" s="3"/>
      <c r="G374" s="3"/>
      <c r="H374" s="3"/>
      <c r="I374" s="3"/>
    </row>
    <row r="375">
      <c r="A375" s="4" t="s">
        <v>13208</v>
      </c>
      <c r="B375" s="13" t="s">
        <v>43</v>
      </c>
      <c r="D375" s="3"/>
      <c r="E375" s="3"/>
      <c r="F375" s="3"/>
      <c r="G375" s="3"/>
      <c r="H375" s="3"/>
      <c r="I375" s="3"/>
    </row>
    <row r="376">
      <c r="A376" s="4" t="s">
        <v>13209</v>
      </c>
      <c r="B376" s="13" t="s">
        <v>43</v>
      </c>
      <c r="D376" s="3"/>
      <c r="E376" s="3"/>
      <c r="F376" s="3"/>
      <c r="G376" s="3"/>
      <c r="H376" s="3"/>
      <c r="I376" s="3"/>
    </row>
    <row r="377">
      <c r="A377" s="4" t="s">
        <v>13210</v>
      </c>
      <c r="B377" s="13" t="s">
        <v>43</v>
      </c>
      <c r="D377" s="3"/>
      <c r="E377" s="3"/>
      <c r="F377" s="3"/>
      <c r="G377" s="3"/>
      <c r="H377" s="3"/>
      <c r="I377" s="3"/>
    </row>
    <row r="378">
      <c r="A378" s="4" t="s">
        <v>13211</v>
      </c>
      <c r="B378" s="13" t="s">
        <v>43</v>
      </c>
      <c r="D378" s="3"/>
      <c r="E378" s="3"/>
      <c r="F378" s="3"/>
      <c r="G378" s="3"/>
      <c r="H378" s="3"/>
      <c r="I378" s="3"/>
    </row>
    <row r="379">
      <c r="A379" s="4" t="s">
        <v>13212</v>
      </c>
      <c r="B379" s="13" t="s">
        <v>43</v>
      </c>
      <c r="D379" s="3"/>
      <c r="E379" s="3"/>
      <c r="F379" s="3"/>
      <c r="G379" s="3"/>
      <c r="H379" s="3"/>
      <c r="I379" s="3"/>
    </row>
    <row r="380">
      <c r="A380" s="4" t="s">
        <v>13213</v>
      </c>
      <c r="B380" s="13" t="s">
        <v>43</v>
      </c>
      <c r="D380" s="3"/>
      <c r="E380" s="3"/>
      <c r="F380" s="3"/>
      <c r="G380" s="3"/>
      <c r="H380" s="3"/>
      <c r="I380" s="3"/>
    </row>
    <row r="381">
      <c r="A381" s="4" t="s">
        <v>13214</v>
      </c>
      <c r="B381" s="13" t="s">
        <v>43</v>
      </c>
      <c r="D381" s="3"/>
      <c r="E381" s="3"/>
      <c r="F381" s="3"/>
      <c r="G381" s="3"/>
      <c r="H381" s="3"/>
      <c r="I381" s="3"/>
    </row>
    <row r="382">
      <c r="A382" s="4" t="s">
        <v>13215</v>
      </c>
      <c r="B382" s="13" t="s">
        <v>43</v>
      </c>
      <c r="D382" s="3"/>
      <c r="E382" s="3"/>
      <c r="F382" s="3"/>
      <c r="G382" s="3"/>
      <c r="H382" s="3"/>
      <c r="I382" s="3"/>
    </row>
    <row r="383">
      <c r="A383" s="4" t="s">
        <v>13216</v>
      </c>
      <c r="B383" s="13" t="s">
        <v>43</v>
      </c>
      <c r="D383" s="3"/>
      <c r="E383" s="3"/>
      <c r="F383" s="3"/>
      <c r="G383" s="3"/>
      <c r="H383" s="3"/>
      <c r="I383" s="3"/>
    </row>
    <row r="384">
      <c r="A384" s="4" t="s">
        <v>13217</v>
      </c>
      <c r="B384" s="13" t="s">
        <v>43</v>
      </c>
      <c r="D384" s="3"/>
      <c r="E384" s="3"/>
      <c r="F384" s="3"/>
      <c r="G384" s="3"/>
      <c r="H384" s="3"/>
      <c r="I384" s="3"/>
    </row>
    <row r="385">
      <c r="A385" s="4" t="s">
        <v>13218</v>
      </c>
      <c r="B385" s="13" t="s">
        <v>43</v>
      </c>
      <c r="D385" s="3"/>
      <c r="E385" s="3"/>
      <c r="F385" s="3"/>
      <c r="G385" s="3"/>
      <c r="H385" s="3"/>
      <c r="I385" s="3"/>
    </row>
    <row r="386">
      <c r="A386" s="4" t="s">
        <v>13219</v>
      </c>
      <c r="B386" s="13" t="s">
        <v>43</v>
      </c>
      <c r="D386" s="3"/>
      <c r="E386" s="3"/>
      <c r="F386" s="3"/>
      <c r="G386" s="3"/>
      <c r="H386" s="3"/>
      <c r="I386" s="3"/>
    </row>
    <row r="387">
      <c r="A387" s="4" t="s">
        <v>13220</v>
      </c>
      <c r="B387" s="13" t="s">
        <v>43</v>
      </c>
      <c r="D387" s="3"/>
      <c r="E387" s="3"/>
      <c r="F387" s="3"/>
      <c r="G387" s="3"/>
      <c r="H387" s="3"/>
      <c r="I387" s="3"/>
    </row>
    <row r="388">
      <c r="A388" s="4" t="s">
        <v>13221</v>
      </c>
      <c r="B388" s="13" t="s">
        <v>43</v>
      </c>
      <c r="D388" s="3"/>
      <c r="E388" s="3"/>
      <c r="F388" s="3"/>
      <c r="G388" s="3"/>
      <c r="H388" s="3"/>
      <c r="I388" s="3"/>
    </row>
    <row r="389">
      <c r="A389" s="4" t="s">
        <v>13222</v>
      </c>
      <c r="B389" s="13" t="s">
        <v>43</v>
      </c>
      <c r="D389" s="3"/>
      <c r="E389" s="3"/>
      <c r="F389" s="3"/>
      <c r="G389" s="3"/>
      <c r="H389" s="3"/>
      <c r="I389" s="3"/>
    </row>
    <row r="390">
      <c r="A390" s="4" t="s">
        <v>13223</v>
      </c>
      <c r="B390" s="13" t="s">
        <v>43</v>
      </c>
      <c r="D390" s="3"/>
      <c r="E390" s="3"/>
      <c r="F390" s="3"/>
      <c r="G390" s="3"/>
      <c r="H390" s="3"/>
      <c r="I390" s="3"/>
    </row>
    <row r="391">
      <c r="A391" s="4" t="s">
        <v>13224</v>
      </c>
      <c r="B391" s="13" t="s">
        <v>43</v>
      </c>
      <c r="D391" s="3"/>
      <c r="E391" s="3"/>
      <c r="F391" s="3"/>
      <c r="G391" s="3"/>
      <c r="H391" s="3"/>
      <c r="I391" s="3"/>
    </row>
    <row r="392">
      <c r="A392" s="4" t="s">
        <v>13225</v>
      </c>
      <c r="B392" s="13" t="s">
        <v>43</v>
      </c>
      <c r="D392" s="3"/>
      <c r="E392" s="3"/>
      <c r="F392" s="3"/>
      <c r="G392" s="3"/>
      <c r="H392" s="3"/>
      <c r="I392" s="3"/>
    </row>
    <row r="393">
      <c r="A393" s="4" t="s">
        <v>13226</v>
      </c>
      <c r="B393" s="13" t="s">
        <v>43</v>
      </c>
      <c r="D393" s="3"/>
      <c r="E393" s="3"/>
      <c r="F393" s="3"/>
      <c r="G393" s="3"/>
      <c r="H393" s="3"/>
      <c r="I393" s="3"/>
    </row>
    <row r="394">
      <c r="A394" s="4" t="s">
        <v>13227</v>
      </c>
      <c r="B394" s="13" t="s">
        <v>43</v>
      </c>
      <c r="D394" s="3"/>
      <c r="E394" s="3"/>
      <c r="F394" s="3"/>
      <c r="G394" s="3"/>
      <c r="H394" s="3"/>
      <c r="I394" s="3"/>
    </row>
    <row r="395">
      <c r="A395" s="4" t="s">
        <v>13228</v>
      </c>
      <c r="B395" s="13" t="s">
        <v>43</v>
      </c>
      <c r="D395" s="3"/>
      <c r="E395" s="3"/>
      <c r="F395" s="3"/>
      <c r="G395" s="3"/>
      <c r="H395" s="3"/>
      <c r="I395" s="3"/>
    </row>
    <row r="396">
      <c r="A396" s="4" t="s">
        <v>13229</v>
      </c>
      <c r="B396" s="13" t="s">
        <v>43</v>
      </c>
      <c r="D396" s="3"/>
      <c r="E396" s="3"/>
      <c r="F396" s="3"/>
      <c r="G396" s="3"/>
      <c r="H396" s="3"/>
      <c r="I396" s="3"/>
    </row>
    <row r="397">
      <c r="A397" s="4" t="s">
        <v>13230</v>
      </c>
      <c r="B397" s="13" t="s">
        <v>43</v>
      </c>
      <c r="D397" s="3"/>
      <c r="E397" s="3"/>
      <c r="F397" s="3"/>
      <c r="G397" s="3"/>
      <c r="H397" s="3"/>
      <c r="I397" s="3"/>
    </row>
    <row r="398">
      <c r="A398" s="4" t="s">
        <v>13231</v>
      </c>
      <c r="B398" s="13" t="s">
        <v>43</v>
      </c>
      <c r="D398" s="3"/>
      <c r="E398" s="3"/>
      <c r="F398" s="3"/>
      <c r="G398" s="3"/>
      <c r="H398" s="3"/>
      <c r="I398" s="3"/>
    </row>
    <row r="399">
      <c r="A399" s="4" t="s">
        <v>13232</v>
      </c>
      <c r="B399" s="13" t="s">
        <v>43</v>
      </c>
      <c r="D399" s="3"/>
      <c r="E399" s="3"/>
      <c r="F399" s="3"/>
      <c r="G399" s="3"/>
      <c r="H399" s="3"/>
      <c r="I399" s="3"/>
    </row>
    <row r="400">
      <c r="A400" s="4" t="s">
        <v>13233</v>
      </c>
      <c r="B400" s="13" t="s">
        <v>43</v>
      </c>
      <c r="D400" s="3"/>
      <c r="E400" s="3"/>
      <c r="F400" s="3"/>
      <c r="G400" s="3"/>
      <c r="H400" s="3"/>
      <c r="I400" s="3"/>
    </row>
    <row r="401">
      <c r="A401" s="4" t="s">
        <v>13234</v>
      </c>
      <c r="B401" s="13" t="s">
        <v>48</v>
      </c>
      <c r="C401" s="4">
        <v>1.0</v>
      </c>
      <c r="D401" s="3"/>
      <c r="E401" s="3"/>
      <c r="F401" s="3"/>
      <c r="G401" s="4">
        <v>10.0</v>
      </c>
      <c r="H401" s="3"/>
      <c r="I401" s="3"/>
    </row>
    <row r="402">
      <c r="A402" s="4" t="s">
        <v>13235</v>
      </c>
      <c r="B402" s="13" t="s">
        <v>48</v>
      </c>
      <c r="C402" s="4">
        <v>1.0</v>
      </c>
      <c r="D402" s="3"/>
      <c r="E402" s="3"/>
      <c r="F402" s="3"/>
      <c r="G402" s="4">
        <v>10.0</v>
      </c>
      <c r="H402" s="24"/>
      <c r="I402" s="3"/>
    </row>
    <row r="403">
      <c r="A403" s="4" t="s">
        <v>13236</v>
      </c>
      <c r="B403" s="13" t="s">
        <v>48</v>
      </c>
      <c r="C403" s="4">
        <v>1.0</v>
      </c>
      <c r="D403" s="3"/>
      <c r="E403" s="3"/>
      <c r="F403" s="3"/>
      <c r="G403" s="4">
        <v>10.0</v>
      </c>
      <c r="H403" s="24"/>
      <c r="I403" s="3"/>
    </row>
    <row r="404">
      <c r="A404" s="4" t="s">
        <v>13237</v>
      </c>
      <c r="B404" s="13" t="s">
        <v>48</v>
      </c>
      <c r="C404" s="4">
        <v>1.0</v>
      </c>
      <c r="D404" s="3"/>
      <c r="E404" s="3"/>
      <c r="F404" s="3"/>
      <c r="G404" s="4">
        <v>10.0</v>
      </c>
      <c r="H404" s="24"/>
      <c r="I404" s="3"/>
    </row>
    <row r="405">
      <c r="A405" s="4" t="s">
        <v>13238</v>
      </c>
      <c r="B405" s="13" t="s">
        <v>48</v>
      </c>
      <c r="C405" s="4">
        <v>1.0</v>
      </c>
      <c r="D405" s="3"/>
      <c r="E405" s="3"/>
      <c r="F405" s="3"/>
      <c r="G405" s="4">
        <v>10.0</v>
      </c>
      <c r="H405" s="3"/>
      <c r="I405" s="3"/>
    </row>
    <row r="406">
      <c r="A406" s="4" t="s">
        <v>13239</v>
      </c>
      <c r="B406" s="13" t="s">
        <v>43</v>
      </c>
      <c r="D406" s="3"/>
      <c r="E406" s="3"/>
      <c r="F406" s="3"/>
      <c r="G406" s="3"/>
      <c r="H406" s="3"/>
      <c r="I406" s="3"/>
    </row>
    <row r="407">
      <c r="A407" s="4" t="s">
        <v>13240</v>
      </c>
      <c r="B407" s="13" t="s">
        <v>43</v>
      </c>
      <c r="D407" s="3"/>
      <c r="E407" s="3"/>
      <c r="F407" s="3"/>
      <c r="G407" s="3"/>
      <c r="H407" s="3"/>
      <c r="I407" s="3"/>
    </row>
    <row r="408">
      <c r="A408" s="4" t="s">
        <v>13241</v>
      </c>
      <c r="B408" s="13" t="s">
        <v>48</v>
      </c>
      <c r="C408" s="4">
        <v>1.0</v>
      </c>
      <c r="D408" s="3"/>
      <c r="E408" s="3"/>
      <c r="F408" s="3"/>
      <c r="G408" s="4">
        <v>10.0</v>
      </c>
      <c r="H408" s="3"/>
      <c r="I408" s="3"/>
    </row>
    <row r="409">
      <c r="A409" s="4" t="s">
        <v>13242</v>
      </c>
      <c r="B409" s="13" t="s">
        <v>48</v>
      </c>
      <c r="C409" s="4">
        <v>1.0</v>
      </c>
      <c r="D409" s="3"/>
      <c r="E409" s="3"/>
      <c r="F409" s="3"/>
      <c r="G409" s="4">
        <v>10.0</v>
      </c>
      <c r="H409" s="3"/>
      <c r="I409" s="3"/>
    </row>
    <row r="410">
      <c r="A410" s="4" t="s">
        <v>13243</v>
      </c>
      <c r="B410" s="13" t="s">
        <v>48</v>
      </c>
      <c r="C410" s="4">
        <v>1.0</v>
      </c>
      <c r="D410" s="3"/>
      <c r="E410" s="3"/>
      <c r="F410" s="3"/>
      <c r="G410" s="4">
        <v>10.0</v>
      </c>
      <c r="H410" s="3"/>
      <c r="I410" s="3"/>
    </row>
    <row r="411">
      <c r="A411" s="4" t="s">
        <v>13244</v>
      </c>
      <c r="B411" s="13" t="s">
        <v>48</v>
      </c>
      <c r="C411" s="4">
        <v>1.0</v>
      </c>
      <c r="D411" s="3"/>
      <c r="E411" s="3"/>
      <c r="F411" s="3"/>
      <c r="G411" s="4">
        <v>10.0</v>
      </c>
      <c r="H411" s="3"/>
      <c r="I411" s="3"/>
    </row>
    <row r="412">
      <c r="A412" s="4" t="s">
        <v>13245</v>
      </c>
      <c r="B412" s="13" t="s">
        <v>43</v>
      </c>
      <c r="D412" s="3"/>
      <c r="E412" s="3"/>
      <c r="F412" s="3"/>
      <c r="G412" s="3"/>
      <c r="H412" s="3"/>
      <c r="I412" s="3"/>
    </row>
    <row r="413">
      <c r="A413" s="4" t="s">
        <v>13246</v>
      </c>
      <c r="B413" s="13" t="s">
        <v>43</v>
      </c>
      <c r="D413" s="3"/>
      <c r="E413" s="3"/>
      <c r="F413" s="3"/>
      <c r="G413" s="3"/>
      <c r="H413" s="3"/>
      <c r="I413" s="3"/>
    </row>
    <row r="414">
      <c r="A414" s="4" t="s">
        <v>13247</v>
      </c>
      <c r="B414" s="13" t="s">
        <v>43</v>
      </c>
      <c r="D414" s="3"/>
      <c r="E414" s="3"/>
      <c r="F414" s="3"/>
      <c r="G414" s="3"/>
      <c r="H414" s="3"/>
      <c r="I414" s="3"/>
    </row>
    <row r="415">
      <c r="A415" s="4" t="s">
        <v>13248</v>
      </c>
      <c r="B415" s="13" t="s">
        <v>43</v>
      </c>
      <c r="D415" s="3"/>
      <c r="E415" s="3"/>
      <c r="F415" s="3"/>
      <c r="G415" s="3"/>
      <c r="H415" s="3"/>
      <c r="I415" s="3"/>
    </row>
    <row r="416">
      <c r="A416" s="4" t="s">
        <v>13249</v>
      </c>
      <c r="B416" s="13" t="s">
        <v>48</v>
      </c>
      <c r="C416" s="4">
        <v>3.0</v>
      </c>
      <c r="D416" s="3"/>
      <c r="E416" s="3"/>
      <c r="F416" s="4">
        <v>9.0</v>
      </c>
      <c r="G416" s="4">
        <v>10.0</v>
      </c>
      <c r="H416" s="3"/>
      <c r="I416" s="4">
        <v>15.0</v>
      </c>
      <c r="J416" s="4" t="s">
        <v>1757</v>
      </c>
    </row>
    <row r="417">
      <c r="A417" s="4" t="s">
        <v>13250</v>
      </c>
      <c r="B417" s="13" t="s">
        <v>48</v>
      </c>
      <c r="C417" s="4">
        <v>3.0</v>
      </c>
      <c r="D417" s="3"/>
      <c r="E417" s="3"/>
      <c r="F417" s="4">
        <v>9.0</v>
      </c>
      <c r="G417" s="4">
        <v>10.0</v>
      </c>
      <c r="H417" s="3"/>
      <c r="I417" s="4">
        <v>15.0</v>
      </c>
      <c r="J417" s="4" t="s">
        <v>1757</v>
      </c>
    </row>
    <row r="418">
      <c r="A418" s="4" t="s">
        <v>13251</v>
      </c>
      <c r="B418" s="13" t="s">
        <v>48</v>
      </c>
      <c r="C418" s="4">
        <v>3.0</v>
      </c>
      <c r="D418" s="3"/>
      <c r="E418" s="3"/>
      <c r="F418" s="4">
        <v>9.0</v>
      </c>
      <c r="G418" s="4">
        <v>10.0</v>
      </c>
      <c r="H418" s="3"/>
      <c r="I418" s="4">
        <v>15.0</v>
      </c>
      <c r="J418" s="4" t="s">
        <v>1757</v>
      </c>
    </row>
    <row r="419">
      <c r="A419" s="4" t="s">
        <v>13252</v>
      </c>
      <c r="B419" s="13" t="s">
        <v>48</v>
      </c>
      <c r="C419" s="4">
        <v>3.0</v>
      </c>
      <c r="D419" s="3"/>
      <c r="E419" s="3"/>
      <c r="F419" s="4">
        <v>9.0</v>
      </c>
      <c r="G419" s="4">
        <v>10.0</v>
      </c>
      <c r="H419" s="3"/>
      <c r="I419" s="4">
        <v>15.0</v>
      </c>
      <c r="J419" s="4" t="s">
        <v>1757</v>
      </c>
    </row>
    <row r="420">
      <c r="A420" s="4" t="s">
        <v>13253</v>
      </c>
      <c r="B420" s="13" t="s">
        <v>48</v>
      </c>
      <c r="C420" s="4">
        <v>3.0</v>
      </c>
      <c r="D420" s="3"/>
      <c r="E420" s="3"/>
      <c r="F420" s="4">
        <v>9.0</v>
      </c>
      <c r="G420" s="4">
        <v>10.0</v>
      </c>
      <c r="H420" s="3"/>
      <c r="I420" s="4">
        <v>15.0</v>
      </c>
      <c r="J420" s="4" t="s">
        <v>1757</v>
      </c>
    </row>
    <row r="421">
      <c r="A421" s="4" t="s">
        <v>13254</v>
      </c>
      <c r="B421" s="13" t="s">
        <v>48</v>
      </c>
      <c r="C421" s="4">
        <v>3.0</v>
      </c>
      <c r="D421" s="3"/>
      <c r="E421" s="3"/>
      <c r="F421" s="4">
        <v>9.0</v>
      </c>
      <c r="G421" s="4">
        <v>10.0</v>
      </c>
      <c r="H421" s="3"/>
      <c r="I421" s="4">
        <v>15.0</v>
      </c>
      <c r="J421" s="4" t="s">
        <v>1757</v>
      </c>
    </row>
    <row r="422">
      <c r="A422" s="4" t="s">
        <v>13255</v>
      </c>
      <c r="B422" s="13" t="s">
        <v>48</v>
      </c>
      <c r="C422" s="4">
        <v>2.0</v>
      </c>
      <c r="D422" s="3"/>
      <c r="E422" s="3"/>
      <c r="F422" s="4">
        <v>9.0</v>
      </c>
      <c r="G422" s="4">
        <v>10.0</v>
      </c>
      <c r="H422" s="3"/>
      <c r="I422" s="3"/>
    </row>
    <row r="423">
      <c r="A423" s="4" t="s">
        <v>13256</v>
      </c>
      <c r="B423" s="13" t="s">
        <v>48</v>
      </c>
      <c r="C423" s="4">
        <v>1.0</v>
      </c>
      <c r="D423" s="3"/>
      <c r="E423" s="3"/>
      <c r="F423" s="3"/>
      <c r="G423" s="4">
        <v>10.0</v>
      </c>
      <c r="H423" s="3"/>
      <c r="I423" s="3"/>
    </row>
    <row r="424">
      <c r="A424" s="4" t="s">
        <v>13257</v>
      </c>
      <c r="B424" s="13" t="s">
        <v>48</v>
      </c>
      <c r="C424" s="4">
        <v>1.0</v>
      </c>
      <c r="D424" s="3"/>
      <c r="E424" s="3"/>
      <c r="F424" s="3"/>
      <c r="G424" s="4">
        <v>10.0</v>
      </c>
      <c r="H424" s="3"/>
      <c r="I424" s="3"/>
    </row>
    <row r="425">
      <c r="A425" s="4" t="s">
        <v>13258</v>
      </c>
      <c r="B425" s="13" t="s">
        <v>43</v>
      </c>
      <c r="D425" s="3"/>
      <c r="E425" s="3"/>
      <c r="F425" s="3"/>
      <c r="G425" s="3"/>
      <c r="H425" s="3"/>
      <c r="I425" s="3"/>
    </row>
    <row r="426">
      <c r="A426" s="4" t="s">
        <v>13259</v>
      </c>
      <c r="B426" s="13" t="s">
        <v>43</v>
      </c>
      <c r="D426" s="3"/>
      <c r="E426" s="3"/>
      <c r="F426" s="3"/>
      <c r="G426" s="3"/>
      <c r="H426" s="3"/>
      <c r="I426" s="3"/>
    </row>
    <row r="427">
      <c r="A427" s="4" t="s">
        <v>13260</v>
      </c>
      <c r="B427" s="13" t="s">
        <v>43</v>
      </c>
      <c r="D427" s="3"/>
      <c r="E427" s="3"/>
      <c r="F427" s="3"/>
      <c r="G427" s="3"/>
      <c r="H427" s="3"/>
      <c r="I427" s="3"/>
    </row>
    <row r="428">
      <c r="A428" s="4" t="s">
        <v>13261</v>
      </c>
      <c r="B428" s="13" t="s">
        <v>43</v>
      </c>
      <c r="D428" s="3"/>
      <c r="E428" s="3"/>
      <c r="F428" s="3"/>
      <c r="G428" s="3"/>
      <c r="H428" s="3"/>
      <c r="I428" s="3"/>
    </row>
    <row r="429">
      <c r="A429" s="4" t="s">
        <v>13262</v>
      </c>
      <c r="B429" s="13" t="s">
        <v>43</v>
      </c>
      <c r="D429" s="3"/>
      <c r="E429" s="3"/>
      <c r="F429" s="3"/>
      <c r="G429" s="3"/>
      <c r="H429" s="3"/>
      <c r="I429" s="3"/>
    </row>
    <row r="430">
      <c r="A430" s="4" t="s">
        <v>13263</v>
      </c>
      <c r="B430" s="13" t="s">
        <v>43</v>
      </c>
      <c r="D430" s="3"/>
      <c r="E430" s="3"/>
      <c r="F430" s="3"/>
      <c r="G430" s="3"/>
      <c r="H430" s="3"/>
      <c r="I430" s="3"/>
    </row>
    <row r="431">
      <c r="A431" s="4" t="s">
        <v>13264</v>
      </c>
      <c r="B431" s="13" t="s">
        <v>43</v>
      </c>
      <c r="D431" s="3"/>
      <c r="E431" s="3"/>
      <c r="F431" s="3"/>
      <c r="G431" s="3"/>
      <c r="H431" s="3"/>
      <c r="I431" s="3"/>
    </row>
    <row r="432">
      <c r="A432" s="4" t="s">
        <v>13265</v>
      </c>
      <c r="B432" s="13" t="s">
        <v>43</v>
      </c>
      <c r="D432" s="3"/>
      <c r="E432" s="3"/>
      <c r="F432" s="3"/>
      <c r="G432" s="3"/>
      <c r="H432" s="3"/>
      <c r="I432" s="3"/>
    </row>
    <row r="433">
      <c r="A433" s="4" t="s">
        <v>13266</v>
      </c>
      <c r="B433" s="13" t="s">
        <v>43</v>
      </c>
      <c r="D433" s="3"/>
      <c r="E433" s="3"/>
      <c r="F433" s="3"/>
      <c r="G433" s="3"/>
      <c r="H433" s="3"/>
      <c r="I433" s="3"/>
    </row>
    <row r="434">
      <c r="A434" s="4" t="s">
        <v>13267</v>
      </c>
      <c r="B434" s="13" t="s">
        <v>43</v>
      </c>
      <c r="D434" s="3"/>
      <c r="E434" s="3"/>
      <c r="F434" s="3"/>
      <c r="G434" s="3"/>
      <c r="H434" s="3"/>
      <c r="I434" s="3"/>
    </row>
    <row r="435">
      <c r="A435" s="4" t="s">
        <v>13268</v>
      </c>
      <c r="B435" s="13" t="s">
        <v>48</v>
      </c>
      <c r="C435" s="4">
        <v>2.0</v>
      </c>
      <c r="D435" s="3"/>
      <c r="E435" s="3"/>
      <c r="F435" s="4">
        <v>9.0</v>
      </c>
      <c r="G435" s="3"/>
      <c r="H435" s="24">
        <v>13.0</v>
      </c>
      <c r="I435" s="3"/>
    </row>
    <row r="436">
      <c r="A436" s="4" t="s">
        <v>13269</v>
      </c>
      <c r="B436" s="13" t="s">
        <v>48</v>
      </c>
      <c r="C436" s="4">
        <v>1.0</v>
      </c>
      <c r="D436" s="3"/>
      <c r="E436" s="3"/>
      <c r="F436" s="4">
        <v>9.0</v>
      </c>
      <c r="G436" s="3"/>
      <c r="H436" s="3"/>
      <c r="I436" s="3"/>
    </row>
    <row r="437">
      <c r="A437" s="4" t="s">
        <v>13270</v>
      </c>
      <c r="B437" s="13" t="s">
        <v>48</v>
      </c>
      <c r="C437" s="4">
        <v>1.0</v>
      </c>
      <c r="D437" s="3"/>
      <c r="E437" s="3"/>
      <c r="F437" s="4">
        <v>9.0</v>
      </c>
      <c r="G437" s="3"/>
      <c r="H437" s="3"/>
      <c r="I437" s="3"/>
    </row>
    <row r="438">
      <c r="A438" s="4" t="s">
        <v>13271</v>
      </c>
      <c r="B438" s="13" t="s">
        <v>48</v>
      </c>
      <c r="C438" s="4">
        <v>2.0</v>
      </c>
      <c r="D438" s="3"/>
      <c r="E438" s="3"/>
      <c r="F438" s="4">
        <v>9.0</v>
      </c>
      <c r="G438" s="3"/>
      <c r="H438" s="24">
        <v>13.0</v>
      </c>
      <c r="I438" s="3"/>
    </row>
    <row r="439">
      <c r="A439" s="4" t="s">
        <v>13272</v>
      </c>
      <c r="B439" s="13" t="s">
        <v>48</v>
      </c>
      <c r="C439" s="4">
        <v>2.0</v>
      </c>
      <c r="D439" s="3"/>
      <c r="E439" s="3"/>
      <c r="F439" s="4">
        <v>9.0</v>
      </c>
      <c r="G439" s="3"/>
      <c r="H439" s="24">
        <v>13.0</v>
      </c>
      <c r="I439" s="3"/>
    </row>
    <row r="440">
      <c r="A440" s="4" t="s">
        <v>13273</v>
      </c>
      <c r="B440" s="13" t="s">
        <v>48</v>
      </c>
      <c r="C440" s="4">
        <v>3.0</v>
      </c>
      <c r="D440" s="3"/>
      <c r="E440" s="4">
        <v>2.0</v>
      </c>
      <c r="F440" s="4">
        <v>9.0</v>
      </c>
      <c r="G440" s="3"/>
      <c r="H440" s="24">
        <v>13.0</v>
      </c>
      <c r="I440" s="3"/>
    </row>
    <row r="441">
      <c r="A441" s="4" t="s">
        <v>13274</v>
      </c>
      <c r="B441" s="13" t="s">
        <v>48</v>
      </c>
      <c r="C441" s="4">
        <v>3.0</v>
      </c>
      <c r="D441" s="3"/>
      <c r="E441" s="4">
        <v>2.0</v>
      </c>
      <c r="F441" s="4">
        <v>9.0</v>
      </c>
      <c r="G441" s="3"/>
      <c r="H441" s="24">
        <v>13.0</v>
      </c>
      <c r="I441" s="3"/>
    </row>
    <row r="442">
      <c r="A442" s="4" t="s">
        <v>13275</v>
      </c>
      <c r="B442" s="13" t="s">
        <v>48</v>
      </c>
      <c r="C442" s="4">
        <v>3.0</v>
      </c>
      <c r="D442" s="3"/>
      <c r="E442" s="4">
        <v>2.0</v>
      </c>
      <c r="F442" s="4">
        <v>9.0</v>
      </c>
      <c r="G442" s="3"/>
      <c r="H442" s="24">
        <v>13.0</v>
      </c>
      <c r="I442" s="3"/>
    </row>
    <row r="443">
      <c r="A443" s="4" t="s">
        <v>13276</v>
      </c>
      <c r="B443" s="19" t="s">
        <v>48</v>
      </c>
      <c r="C443" s="4">
        <v>2.0</v>
      </c>
      <c r="D443" s="3"/>
      <c r="E443" s="4">
        <v>2.0</v>
      </c>
      <c r="F443" s="3"/>
      <c r="G443" s="3"/>
      <c r="H443" s="4">
        <v>13.0</v>
      </c>
      <c r="I443" s="3"/>
      <c r="J443" s="4" t="s">
        <v>1757</v>
      </c>
    </row>
    <row r="444">
      <c r="A444" s="4" t="s">
        <v>13277</v>
      </c>
      <c r="B444" s="19" t="s">
        <v>48</v>
      </c>
      <c r="C444" s="4">
        <v>2.0</v>
      </c>
      <c r="D444" s="3"/>
      <c r="E444" s="4">
        <v>2.0</v>
      </c>
      <c r="F444" s="3"/>
      <c r="G444" s="3"/>
      <c r="H444" s="4">
        <v>13.0</v>
      </c>
      <c r="I444" s="3"/>
      <c r="J444" s="4" t="s">
        <v>1757</v>
      </c>
    </row>
    <row r="445">
      <c r="A445" s="4" t="s">
        <v>13278</v>
      </c>
      <c r="B445" s="19" t="s">
        <v>48</v>
      </c>
      <c r="C445" s="4">
        <v>2.0</v>
      </c>
      <c r="D445" s="3"/>
      <c r="E445" s="4">
        <v>2.0</v>
      </c>
      <c r="F445" s="3"/>
      <c r="G445" s="3"/>
      <c r="H445" s="4">
        <v>13.0</v>
      </c>
      <c r="I445" s="3"/>
      <c r="J445" s="4" t="s">
        <v>1757</v>
      </c>
    </row>
    <row r="446">
      <c r="A446" s="4" t="s">
        <v>13279</v>
      </c>
      <c r="B446" s="19" t="s">
        <v>48</v>
      </c>
      <c r="C446" s="4">
        <v>2.0</v>
      </c>
      <c r="D446" s="3"/>
      <c r="E446" s="4">
        <v>2.0</v>
      </c>
      <c r="F446" s="3"/>
      <c r="G446" s="3"/>
      <c r="H446" s="4">
        <v>13.0</v>
      </c>
      <c r="I446" s="3"/>
      <c r="J446" s="4" t="s">
        <v>1757</v>
      </c>
    </row>
    <row r="447">
      <c r="A447" s="4" t="s">
        <v>13280</v>
      </c>
      <c r="B447" s="19" t="s">
        <v>48</v>
      </c>
      <c r="C447" s="4">
        <v>2.0</v>
      </c>
      <c r="D447" s="3"/>
      <c r="E447" s="4">
        <v>2.0</v>
      </c>
      <c r="F447" s="3"/>
      <c r="G447" s="3"/>
      <c r="H447" s="4">
        <v>13.0</v>
      </c>
      <c r="I447" s="3"/>
      <c r="J447" s="4" t="s">
        <v>1757</v>
      </c>
    </row>
    <row r="448">
      <c r="A448" s="4" t="s">
        <v>13281</v>
      </c>
      <c r="B448" s="19" t="s">
        <v>48</v>
      </c>
      <c r="C448" s="4">
        <v>2.0</v>
      </c>
      <c r="D448" s="3"/>
      <c r="E448" s="4">
        <v>2.0</v>
      </c>
      <c r="F448" s="3"/>
      <c r="G448" s="3"/>
      <c r="H448" s="4">
        <v>13.0</v>
      </c>
      <c r="I448" s="3"/>
      <c r="J448" s="4" t="s">
        <v>1757</v>
      </c>
    </row>
    <row r="449">
      <c r="A449" s="4" t="s">
        <v>13282</v>
      </c>
      <c r="B449" s="19" t="s">
        <v>48</v>
      </c>
      <c r="C449" s="4">
        <v>2.0</v>
      </c>
      <c r="D449" s="3"/>
      <c r="E449" s="4">
        <v>2.0</v>
      </c>
      <c r="F449" s="3"/>
      <c r="G449" s="3"/>
      <c r="H449" s="4">
        <v>13.0</v>
      </c>
      <c r="I449" s="3"/>
      <c r="J449" s="4" t="s">
        <v>1757</v>
      </c>
    </row>
    <row r="450">
      <c r="A450" s="4" t="s">
        <v>13283</v>
      </c>
      <c r="B450" s="19" t="s">
        <v>48</v>
      </c>
      <c r="C450" s="4">
        <v>2.0</v>
      </c>
      <c r="D450" s="3"/>
      <c r="E450" s="4">
        <v>2.0</v>
      </c>
      <c r="F450" s="3"/>
      <c r="G450" s="3"/>
      <c r="H450" s="4">
        <v>13.0</v>
      </c>
      <c r="I450" s="3"/>
      <c r="J450" s="4" t="s">
        <v>1757</v>
      </c>
    </row>
    <row r="451">
      <c r="A451" s="4" t="s">
        <v>13284</v>
      </c>
      <c r="B451" s="13" t="s">
        <v>43</v>
      </c>
      <c r="D451" s="3"/>
      <c r="E451" s="3"/>
      <c r="F451" s="3"/>
      <c r="G451" s="3"/>
      <c r="H451" s="3"/>
      <c r="I451" s="3"/>
      <c r="J451" s="4" t="s">
        <v>1757</v>
      </c>
    </row>
    <row r="452">
      <c r="A452" s="4" t="s">
        <v>13285</v>
      </c>
      <c r="B452" s="13" t="s">
        <v>43</v>
      </c>
      <c r="D452" s="3"/>
      <c r="E452" s="3"/>
      <c r="F452" s="3"/>
      <c r="G452" s="3"/>
      <c r="H452" s="3"/>
      <c r="I452" s="3"/>
      <c r="J452" s="4" t="s">
        <v>1757</v>
      </c>
    </row>
    <row r="453">
      <c r="A453" s="4" t="s">
        <v>13286</v>
      </c>
      <c r="B453" s="13" t="s">
        <v>43</v>
      </c>
      <c r="D453" s="3"/>
      <c r="E453" s="3"/>
      <c r="F453" s="3"/>
      <c r="G453" s="3"/>
      <c r="H453" s="3"/>
      <c r="I453" s="3"/>
      <c r="J453" s="4" t="s">
        <v>1757</v>
      </c>
      <c r="K453" s="4" t="s">
        <v>1757</v>
      </c>
    </row>
    <row r="454">
      <c r="A454" s="4" t="s">
        <v>13287</v>
      </c>
      <c r="B454" s="13" t="s">
        <v>43</v>
      </c>
      <c r="D454" s="3"/>
      <c r="E454" s="3"/>
      <c r="F454" s="3"/>
      <c r="G454" s="3"/>
      <c r="H454" s="3"/>
      <c r="I454" s="3"/>
      <c r="J454" s="4" t="s">
        <v>1757</v>
      </c>
      <c r="K454" s="4" t="s">
        <v>1757</v>
      </c>
    </row>
    <row r="455">
      <c r="A455" s="4" t="s">
        <v>13288</v>
      </c>
      <c r="B455" s="13" t="s">
        <v>43</v>
      </c>
      <c r="D455" s="3"/>
      <c r="E455" s="3"/>
      <c r="F455" s="3"/>
      <c r="G455" s="3"/>
      <c r="H455" s="3"/>
      <c r="I455" s="3"/>
      <c r="J455" s="4" t="s">
        <v>1757</v>
      </c>
      <c r="K455" s="4" t="s">
        <v>1757</v>
      </c>
    </row>
    <row r="456">
      <c r="A456" s="4" t="s">
        <v>13289</v>
      </c>
      <c r="B456" s="13" t="s">
        <v>43</v>
      </c>
      <c r="D456" s="3"/>
      <c r="E456" s="3"/>
      <c r="F456" s="3"/>
      <c r="G456" s="3"/>
      <c r="H456" s="3"/>
      <c r="I456" s="3"/>
      <c r="J456" s="4" t="s">
        <v>1757</v>
      </c>
      <c r="K456" s="4" t="s">
        <v>1757</v>
      </c>
    </row>
    <row r="457">
      <c r="A457" s="4" t="s">
        <v>13290</v>
      </c>
      <c r="B457" s="13" t="s">
        <v>43</v>
      </c>
      <c r="D457" s="3"/>
      <c r="E457" s="3"/>
      <c r="F457" s="3"/>
      <c r="G457" s="3"/>
      <c r="H457" s="3"/>
      <c r="I457" s="3"/>
      <c r="J457" s="4" t="s">
        <v>1757</v>
      </c>
      <c r="K457" s="4" t="s">
        <v>1757</v>
      </c>
    </row>
    <row r="458">
      <c r="A458" s="4" t="s">
        <v>13291</v>
      </c>
      <c r="B458" s="13" t="s">
        <v>43</v>
      </c>
      <c r="D458" s="3"/>
      <c r="E458" s="3"/>
      <c r="F458" s="3"/>
      <c r="G458" s="3"/>
      <c r="H458" s="3"/>
      <c r="I458" s="3"/>
      <c r="J458" s="4" t="s">
        <v>1757</v>
      </c>
      <c r="K458" s="4" t="s">
        <v>1757</v>
      </c>
    </row>
    <row r="459">
      <c r="A459" s="4" t="s">
        <v>13292</v>
      </c>
      <c r="B459" s="13" t="s">
        <v>43</v>
      </c>
      <c r="D459" s="3"/>
      <c r="E459" s="3"/>
      <c r="F459" s="3"/>
      <c r="G459" s="3"/>
      <c r="H459" s="3"/>
      <c r="I459" s="3"/>
      <c r="J459" s="4" t="s">
        <v>1757</v>
      </c>
    </row>
    <row r="460">
      <c r="A460" s="4" t="s">
        <v>13293</v>
      </c>
      <c r="B460" s="13" t="s">
        <v>43</v>
      </c>
      <c r="D460" s="3"/>
      <c r="E460" s="3"/>
      <c r="F460" s="3"/>
      <c r="G460" s="3"/>
      <c r="H460" s="3"/>
      <c r="I460" s="3"/>
      <c r="J460" s="4" t="s">
        <v>1757</v>
      </c>
    </row>
    <row r="461">
      <c r="A461" s="4" t="s">
        <v>13294</v>
      </c>
      <c r="B461" s="13" t="s">
        <v>43</v>
      </c>
      <c r="D461" s="3"/>
      <c r="E461" s="3"/>
      <c r="F461" s="3"/>
      <c r="G461" s="3"/>
      <c r="H461" s="3"/>
      <c r="I461" s="3"/>
      <c r="J461" s="4" t="s">
        <v>1757</v>
      </c>
    </row>
    <row r="462">
      <c r="A462" s="4" t="s">
        <v>13295</v>
      </c>
      <c r="B462" s="13" t="s">
        <v>43</v>
      </c>
      <c r="D462" s="3"/>
      <c r="E462" s="3"/>
      <c r="F462" s="3"/>
      <c r="G462" s="3"/>
      <c r="H462" s="3"/>
      <c r="I462" s="3"/>
      <c r="J462" s="4" t="s">
        <v>1757</v>
      </c>
    </row>
    <row r="463">
      <c r="A463" s="4" t="s">
        <v>13296</v>
      </c>
      <c r="B463" s="13" t="s">
        <v>43</v>
      </c>
      <c r="D463" s="3"/>
      <c r="E463" s="3"/>
      <c r="F463" s="3"/>
      <c r="G463" s="3"/>
      <c r="H463" s="3"/>
      <c r="I463" s="3"/>
      <c r="J463" s="4" t="s">
        <v>1757</v>
      </c>
    </row>
    <row r="464">
      <c r="A464" s="4" t="s">
        <v>13297</v>
      </c>
      <c r="B464" s="13" t="s">
        <v>43</v>
      </c>
      <c r="D464" s="3"/>
      <c r="E464" s="3"/>
      <c r="F464" s="3"/>
      <c r="G464" s="3"/>
      <c r="H464" s="3"/>
      <c r="I464" s="3"/>
      <c r="J464" s="4" t="s">
        <v>1757</v>
      </c>
    </row>
    <row r="465">
      <c r="A465" s="4" t="s">
        <v>13298</v>
      </c>
      <c r="B465" s="13" t="s">
        <v>43</v>
      </c>
      <c r="D465" s="3"/>
      <c r="E465" s="3"/>
      <c r="F465" s="3"/>
      <c r="G465" s="3"/>
      <c r="H465" s="3"/>
      <c r="I465" s="3"/>
      <c r="J465" s="4" t="s">
        <v>1757</v>
      </c>
    </row>
    <row r="466">
      <c r="A466" s="4" t="s">
        <v>13299</v>
      </c>
      <c r="B466" s="13" t="s">
        <v>43</v>
      </c>
      <c r="D466" s="3"/>
      <c r="E466" s="3"/>
      <c r="F466" s="3"/>
      <c r="G466" s="3"/>
      <c r="H466" s="3"/>
      <c r="I466" s="3"/>
      <c r="J466" s="4" t="s">
        <v>1757</v>
      </c>
    </row>
    <row r="467">
      <c r="A467" s="4" t="s">
        <v>13300</v>
      </c>
      <c r="B467" s="13" t="s">
        <v>43</v>
      </c>
      <c r="D467" s="3"/>
      <c r="E467" s="3"/>
      <c r="F467" s="3"/>
      <c r="G467" s="3"/>
      <c r="H467" s="3"/>
      <c r="I467" s="3"/>
      <c r="J467" s="4" t="s">
        <v>1757</v>
      </c>
    </row>
    <row r="468">
      <c r="A468" s="4" t="s">
        <v>13301</v>
      </c>
      <c r="B468" s="13" t="s">
        <v>43</v>
      </c>
      <c r="D468" s="3"/>
      <c r="E468" s="3"/>
      <c r="F468" s="3"/>
      <c r="G468" s="3"/>
      <c r="H468" s="3"/>
      <c r="I468" s="3"/>
    </row>
    <row r="469">
      <c r="A469" s="4" t="s">
        <v>13302</v>
      </c>
      <c r="B469" s="13" t="s">
        <v>43</v>
      </c>
      <c r="D469" s="3"/>
      <c r="E469" s="3"/>
      <c r="F469" s="3"/>
      <c r="G469" s="3"/>
      <c r="H469" s="3"/>
      <c r="I469" s="3"/>
    </row>
    <row r="470">
      <c r="A470" s="4" t="s">
        <v>13303</v>
      </c>
      <c r="B470" s="13" t="s">
        <v>43</v>
      </c>
      <c r="D470" s="3"/>
      <c r="E470" s="3"/>
      <c r="F470" s="3"/>
      <c r="G470" s="3"/>
      <c r="H470" s="3"/>
      <c r="I470" s="3"/>
    </row>
    <row r="471">
      <c r="A471" s="4" t="s">
        <v>13304</v>
      </c>
      <c r="B471" s="13" t="s">
        <v>43</v>
      </c>
      <c r="D471" s="3"/>
      <c r="E471" s="3"/>
      <c r="F471" s="3"/>
      <c r="G471" s="3"/>
      <c r="H471" s="3"/>
      <c r="I471" s="3"/>
    </row>
    <row r="472">
      <c r="A472" s="4" t="s">
        <v>13305</v>
      </c>
      <c r="B472" s="13" t="s">
        <v>43</v>
      </c>
      <c r="D472" s="3"/>
      <c r="E472" s="3"/>
      <c r="F472" s="3"/>
      <c r="G472" s="3"/>
      <c r="H472" s="3"/>
      <c r="I472" s="3"/>
    </row>
    <row r="473">
      <c r="A473" s="4" t="s">
        <v>13306</v>
      </c>
      <c r="B473" s="13" t="s">
        <v>43</v>
      </c>
      <c r="D473" s="3"/>
      <c r="E473" s="3"/>
      <c r="F473" s="3"/>
      <c r="G473" s="3"/>
      <c r="H473" s="3"/>
      <c r="I473" s="3"/>
    </row>
    <row r="474">
      <c r="A474" s="4" t="s">
        <v>13307</v>
      </c>
      <c r="B474" s="13" t="s">
        <v>43</v>
      </c>
      <c r="D474" s="3"/>
      <c r="E474" s="3"/>
      <c r="F474" s="3"/>
      <c r="G474" s="3"/>
      <c r="H474" s="3"/>
      <c r="I474" s="3"/>
    </row>
    <row r="475">
      <c r="A475" s="4" t="s">
        <v>13308</v>
      </c>
      <c r="B475" s="13" t="s">
        <v>43</v>
      </c>
      <c r="D475" s="3"/>
      <c r="E475" s="3"/>
      <c r="F475" s="3"/>
      <c r="G475" s="3"/>
      <c r="H475" s="3"/>
      <c r="I475" s="3"/>
    </row>
    <row r="476">
      <c r="A476" s="4" t="s">
        <v>13309</v>
      </c>
      <c r="B476" s="13" t="s">
        <v>43</v>
      </c>
      <c r="D476" s="3"/>
      <c r="E476" s="3"/>
      <c r="F476" s="3"/>
      <c r="G476" s="3"/>
      <c r="H476" s="3"/>
      <c r="I476" s="3"/>
    </row>
    <row r="477">
      <c r="A477" s="4" t="s">
        <v>13310</v>
      </c>
      <c r="B477" s="13" t="s">
        <v>43</v>
      </c>
      <c r="D477" s="3"/>
      <c r="E477" s="3"/>
      <c r="F477" s="3"/>
      <c r="G477" s="3"/>
      <c r="H477" s="3"/>
      <c r="I477" s="3"/>
    </row>
    <row r="478">
      <c r="A478" s="4" t="s">
        <v>13311</v>
      </c>
      <c r="B478" s="13" t="s">
        <v>43</v>
      </c>
      <c r="D478" s="3"/>
      <c r="E478" s="3"/>
      <c r="F478" s="3"/>
      <c r="G478" s="3"/>
      <c r="H478" s="3"/>
      <c r="I478" s="3"/>
    </row>
    <row r="479">
      <c r="A479" s="4" t="s">
        <v>13312</v>
      </c>
      <c r="B479" s="13" t="s">
        <v>43</v>
      </c>
      <c r="D479" s="3"/>
      <c r="E479" s="3"/>
      <c r="F479" s="3"/>
      <c r="G479" s="3"/>
      <c r="H479" s="3"/>
      <c r="I479" s="3"/>
    </row>
    <row r="480">
      <c r="A480" s="4" t="s">
        <v>13313</v>
      </c>
      <c r="B480" s="13" t="s">
        <v>43</v>
      </c>
      <c r="D480" s="3"/>
      <c r="E480" s="3"/>
      <c r="F480" s="3"/>
      <c r="G480" s="3"/>
      <c r="H480" s="3"/>
      <c r="I480" s="3"/>
    </row>
    <row r="481">
      <c r="A481" s="4" t="s">
        <v>13314</v>
      </c>
      <c r="B481" s="13" t="s">
        <v>43</v>
      </c>
      <c r="D481" s="3"/>
      <c r="E481" s="3"/>
      <c r="F481" s="3"/>
      <c r="G481" s="3"/>
      <c r="H481" s="3"/>
      <c r="I481" s="3"/>
    </row>
    <row r="482">
      <c r="A482" s="4" t="s">
        <v>13315</v>
      </c>
      <c r="B482" s="13" t="s">
        <v>43</v>
      </c>
      <c r="D482" s="3"/>
      <c r="E482" s="3"/>
      <c r="F482" s="3"/>
      <c r="G482" s="3"/>
      <c r="H482" s="3"/>
      <c r="I482" s="3"/>
    </row>
    <row r="483">
      <c r="A483" s="4" t="s">
        <v>13316</v>
      </c>
      <c r="B483" s="13" t="s">
        <v>43</v>
      </c>
      <c r="D483" s="3"/>
      <c r="E483" s="3"/>
      <c r="F483" s="3"/>
      <c r="G483" s="3"/>
      <c r="H483" s="3"/>
      <c r="I483" s="3"/>
    </row>
    <row r="484">
      <c r="A484" s="4" t="s">
        <v>13317</v>
      </c>
      <c r="B484" s="13" t="s">
        <v>43</v>
      </c>
      <c r="D484" s="3"/>
      <c r="E484" s="3"/>
      <c r="F484" s="3"/>
      <c r="G484" s="3"/>
      <c r="H484" s="3"/>
      <c r="I484" s="3"/>
    </row>
    <row r="485">
      <c r="A485" s="4" t="s">
        <v>13318</v>
      </c>
      <c r="B485" s="13" t="s">
        <v>43</v>
      </c>
      <c r="D485" s="3"/>
      <c r="E485" s="3"/>
      <c r="F485" s="3"/>
      <c r="G485" s="3"/>
      <c r="H485" s="3"/>
      <c r="I485" s="3"/>
    </row>
    <row r="486">
      <c r="A486" s="4" t="s">
        <v>13319</v>
      </c>
      <c r="B486" s="13" t="s">
        <v>43</v>
      </c>
      <c r="D486" s="3"/>
      <c r="E486" s="3"/>
      <c r="F486" s="3"/>
      <c r="G486" s="3"/>
      <c r="H486" s="3"/>
      <c r="I486" s="3"/>
    </row>
    <row r="487">
      <c r="A487" s="4" t="s">
        <v>13320</v>
      </c>
      <c r="B487" s="13" t="s">
        <v>43</v>
      </c>
      <c r="D487" s="3"/>
      <c r="E487" s="3"/>
      <c r="F487" s="3"/>
      <c r="G487" s="3"/>
      <c r="H487" s="3"/>
      <c r="I487" s="3"/>
    </row>
    <row r="488">
      <c r="A488" s="4" t="s">
        <v>13321</v>
      </c>
      <c r="B488" s="13" t="s">
        <v>43</v>
      </c>
      <c r="D488" s="3"/>
      <c r="E488" s="3"/>
      <c r="F488" s="3"/>
      <c r="G488" s="3"/>
      <c r="H488" s="3"/>
      <c r="I488" s="3"/>
    </row>
    <row r="489">
      <c r="A489" s="4" t="s">
        <v>13322</v>
      </c>
      <c r="B489" s="13" t="s">
        <v>43</v>
      </c>
      <c r="D489" s="3"/>
      <c r="E489" s="3"/>
      <c r="F489" s="3"/>
      <c r="G489" s="3"/>
      <c r="H489" s="3"/>
      <c r="I489" s="3"/>
    </row>
    <row r="490">
      <c r="A490" s="4" t="s">
        <v>13323</v>
      </c>
      <c r="B490" s="13" t="s">
        <v>43</v>
      </c>
      <c r="D490" s="3"/>
      <c r="E490" s="3"/>
      <c r="F490" s="3"/>
      <c r="G490" s="3"/>
      <c r="H490" s="3"/>
      <c r="I490" s="3"/>
    </row>
    <row r="491">
      <c r="A491" s="4" t="s">
        <v>13324</v>
      </c>
      <c r="B491" s="13" t="s">
        <v>43</v>
      </c>
      <c r="D491" s="3"/>
      <c r="E491" s="3"/>
      <c r="F491" s="3"/>
      <c r="G491" s="3"/>
      <c r="H491" s="3"/>
      <c r="I491" s="3"/>
    </row>
    <row r="492">
      <c r="A492" s="4" t="s">
        <v>13325</v>
      </c>
      <c r="B492" s="13" t="s">
        <v>43</v>
      </c>
      <c r="D492" s="3"/>
      <c r="E492" s="3"/>
      <c r="F492" s="3"/>
      <c r="G492" s="3"/>
      <c r="H492" s="3"/>
      <c r="I492" s="3"/>
    </row>
    <row r="493">
      <c r="A493" s="4" t="s">
        <v>13326</v>
      </c>
      <c r="B493" s="13" t="s">
        <v>48</v>
      </c>
      <c r="C493" s="4">
        <v>2.0</v>
      </c>
      <c r="D493" s="3"/>
      <c r="E493" s="4">
        <v>2.0</v>
      </c>
      <c r="F493" s="3"/>
      <c r="G493" s="3"/>
      <c r="H493" s="4">
        <v>13.0</v>
      </c>
      <c r="I493" s="3"/>
    </row>
    <row r="494">
      <c r="A494" s="4" t="s">
        <v>13327</v>
      </c>
      <c r="B494" s="13" t="s">
        <v>48</v>
      </c>
      <c r="C494" s="4">
        <v>2.0</v>
      </c>
      <c r="D494" s="3"/>
      <c r="E494" s="4">
        <v>2.0</v>
      </c>
      <c r="F494" s="3"/>
      <c r="G494" s="3"/>
      <c r="H494" s="4">
        <v>13.0</v>
      </c>
      <c r="I494" s="3"/>
      <c r="J494" s="4" t="s">
        <v>1757</v>
      </c>
    </row>
    <row r="495">
      <c r="A495" s="4" t="s">
        <v>13328</v>
      </c>
      <c r="B495" s="13" t="s">
        <v>48</v>
      </c>
      <c r="C495" s="4">
        <v>2.0</v>
      </c>
      <c r="D495" s="3"/>
      <c r="E495" s="4">
        <v>2.0</v>
      </c>
      <c r="F495" s="3"/>
      <c r="G495" s="3"/>
      <c r="H495" s="4">
        <v>13.0</v>
      </c>
      <c r="I495" s="3"/>
      <c r="J495" s="4" t="s">
        <v>1757</v>
      </c>
    </row>
    <row r="496">
      <c r="A496" s="4" t="s">
        <v>13329</v>
      </c>
      <c r="B496" s="13" t="s">
        <v>48</v>
      </c>
      <c r="C496" s="4">
        <v>2.0</v>
      </c>
      <c r="D496" s="3"/>
      <c r="E496" s="4">
        <v>2.0</v>
      </c>
      <c r="F496" s="3"/>
      <c r="G496" s="3"/>
      <c r="H496" s="4">
        <v>13.0</v>
      </c>
      <c r="I496" s="3"/>
      <c r="J496" s="4" t="s">
        <v>1757</v>
      </c>
    </row>
    <row r="497">
      <c r="A497" s="4" t="s">
        <v>13330</v>
      </c>
      <c r="B497" s="13" t="s">
        <v>48</v>
      </c>
      <c r="C497" s="4">
        <v>1.0</v>
      </c>
      <c r="D497" s="3"/>
      <c r="E497" s="3"/>
      <c r="F497" s="3"/>
      <c r="G497" s="3"/>
      <c r="H497" s="4">
        <v>13.0</v>
      </c>
      <c r="I497" s="3"/>
      <c r="J497" s="4" t="s">
        <v>1757</v>
      </c>
    </row>
    <row r="498">
      <c r="A498" s="4" t="s">
        <v>13331</v>
      </c>
      <c r="B498" s="13" t="s">
        <v>48</v>
      </c>
      <c r="C498" s="4">
        <v>1.0</v>
      </c>
      <c r="D498" s="3"/>
      <c r="E498" s="3"/>
      <c r="F498" s="3"/>
      <c r="G498" s="3"/>
      <c r="H498" s="4">
        <v>13.0</v>
      </c>
      <c r="I498" s="3"/>
      <c r="J498" s="4" t="s">
        <v>1757</v>
      </c>
    </row>
    <row r="499">
      <c r="A499" s="4" t="s">
        <v>13332</v>
      </c>
      <c r="B499" s="13" t="s">
        <v>48</v>
      </c>
      <c r="C499" s="4">
        <v>1.0</v>
      </c>
      <c r="D499" s="3"/>
      <c r="E499" s="3"/>
      <c r="F499" s="3"/>
      <c r="G499" s="3"/>
      <c r="H499" s="4">
        <v>13.0</v>
      </c>
      <c r="I499" s="3"/>
      <c r="J499" s="4" t="s">
        <v>1757</v>
      </c>
    </row>
    <row r="500">
      <c r="A500" s="4" t="s">
        <v>13333</v>
      </c>
      <c r="B500" s="13" t="s">
        <v>48</v>
      </c>
      <c r="C500" s="4">
        <v>2.0</v>
      </c>
      <c r="D500" s="3"/>
      <c r="E500" s="4">
        <v>2.0</v>
      </c>
      <c r="F500" s="3"/>
      <c r="G500" s="3"/>
      <c r="H500" s="4">
        <v>13.0</v>
      </c>
      <c r="I500" s="3"/>
      <c r="J500" s="4" t="s">
        <v>1757</v>
      </c>
    </row>
    <row r="501">
      <c r="A501" s="4" t="s">
        <v>13334</v>
      </c>
      <c r="B501" s="13" t="s">
        <v>48</v>
      </c>
      <c r="C501" s="4">
        <v>2.0</v>
      </c>
      <c r="D501" s="3"/>
      <c r="E501" s="4">
        <v>2.0</v>
      </c>
      <c r="F501" s="3"/>
      <c r="G501" s="3"/>
      <c r="H501" s="4">
        <v>13.0</v>
      </c>
      <c r="I501" s="3"/>
      <c r="J501" s="4" t="s">
        <v>1757</v>
      </c>
    </row>
    <row r="502">
      <c r="A502" s="4" t="s">
        <v>13335</v>
      </c>
      <c r="B502" s="13" t="s">
        <v>48</v>
      </c>
      <c r="C502" s="4">
        <v>2.0</v>
      </c>
      <c r="D502" s="3"/>
      <c r="E502" s="4">
        <v>2.0</v>
      </c>
      <c r="F502" s="3"/>
      <c r="G502" s="3"/>
      <c r="H502" s="4">
        <v>13.0</v>
      </c>
      <c r="I502" s="3"/>
    </row>
    <row r="503">
      <c r="A503" s="4" t="s">
        <v>13336</v>
      </c>
      <c r="B503" s="13" t="s">
        <v>48</v>
      </c>
      <c r="C503" s="4">
        <v>1.0</v>
      </c>
      <c r="D503" s="3"/>
      <c r="E503" s="4">
        <v>2.0</v>
      </c>
      <c r="F503" s="3"/>
      <c r="G503" s="3"/>
      <c r="H503" s="3"/>
      <c r="I503" s="3"/>
    </row>
    <row r="504">
      <c r="A504" s="4" t="s">
        <v>13337</v>
      </c>
      <c r="B504" s="13" t="s">
        <v>48</v>
      </c>
      <c r="C504" s="4">
        <v>1.0</v>
      </c>
      <c r="D504" s="3"/>
      <c r="E504" s="4">
        <v>2.0</v>
      </c>
      <c r="F504" s="3"/>
      <c r="G504" s="3"/>
      <c r="H504" s="3"/>
      <c r="I504" s="3"/>
    </row>
    <row r="505">
      <c r="A505" s="4" t="s">
        <v>13338</v>
      </c>
      <c r="B505" s="13" t="s">
        <v>48</v>
      </c>
      <c r="C505" s="4">
        <v>1.0</v>
      </c>
      <c r="D505" s="3"/>
      <c r="E505" s="4">
        <v>2.0</v>
      </c>
      <c r="F505" s="3"/>
      <c r="G505" s="3"/>
      <c r="H505" s="3"/>
      <c r="I505" s="3"/>
    </row>
    <row r="506">
      <c r="A506" s="4" t="s">
        <v>13339</v>
      </c>
      <c r="B506" s="13" t="s">
        <v>48</v>
      </c>
      <c r="C506" s="4">
        <v>1.0</v>
      </c>
      <c r="D506" s="3"/>
      <c r="E506" s="4">
        <v>2.0</v>
      </c>
      <c r="F506" s="3"/>
      <c r="G506" s="3"/>
      <c r="H506" s="3"/>
      <c r="I506" s="3"/>
    </row>
    <row r="507">
      <c r="A507" s="4" t="s">
        <v>13340</v>
      </c>
      <c r="B507" s="13" t="s">
        <v>48</v>
      </c>
      <c r="C507" s="4">
        <v>1.0</v>
      </c>
      <c r="D507" s="3"/>
      <c r="E507" s="4">
        <v>2.0</v>
      </c>
      <c r="F507" s="3"/>
      <c r="G507" s="3"/>
      <c r="H507" s="3"/>
      <c r="I507" s="3"/>
    </row>
    <row r="508">
      <c r="A508" s="4" t="s">
        <v>13341</v>
      </c>
      <c r="B508" s="13" t="s">
        <v>48</v>
      </c>
      <c r="C508" s="4">
        <v>2.0</v>
      </c>
      <c r="D508" s="3"/>
      <c r="E508" s="4">
        <v>2.0</v>
      </c>
      <c r="F508" s="3"/>
      <c r="G508" s="3"/>
      <c r="H508" s="4">
        <v>13.0</v>
      </c>
      <c r="I508" s="3"/>
    </row>
    <row r="509">
      <c r="A509" s="4" t="s">
        <v>13342</v>
      </c>
      <c r="B509" s="13" t="s">
        <v>48</v>
      </c>
      <c r="C509" s="4">
        <v>2.0</v>
      </c>
      <c r="D509" s="3"/>
      <c r="E509" s="4">
        <v>2.0</v>
      </c>
      <c r="F509" s="3"/>
      <c r="G509" s="3"/>
      <c r="H509" s="4">
        <v>13.0</v>
      </c>
      <c r="I509" s="3"/>
    </row>
    <row r="510">
      <c r="A510" s="4" t="s">
        <v>13343</v>
      </c>
      <c r="B510" s="13" t="s">
        <v>48</v>
      </c>
      <c r="C510" s="4">
        <v>2.0</v>
      </c>
      <c r="D510" s="3"/>
      <c r="E510" s="4">
        <v>2.0</v>
      </c>
      <c r="F510" s="3"/>
      <c r="G510" s="3"/>
      <c r="H510" s="4">
        <v>13.0</v>
      </c>
      <c r="I510" s="3"/>
      <c r="J510" s="4" t="s">
        <v>1757</v>
      </c>
    </row>
    <row r="511">
      <c r="A511" s="4" t="s">
        <v>13344</v>
      </c>
      <c r="B511" s="13" t="s">
        <v>48</v>
      </c>
      <c r="C511" s="4">
        <v>2.0</v>
      </c>
      <c r="D511" s="3"/>
      <c r="E511" s="4">
        <v>2.0</v>
      </c>
      <c r="F511" s="3"/>
      <c r="G511" s="3"/>
      <c r="H511" s="4">
        <v>13.0</v>
      </c>
      <c r="I511" s="3"/>
    </row>
    <row r="512">
      <c r="A512" s="4" t="s">
        <v>13345</v>
      </c>
      <c r="B512" s="13" t="s">
        <v>48</v>
      </c>
      <c r="C512" s="4">
        <v>2.0</v>
      </c>
      <c r="D512" s="3"/>
      <c r="E512" s="4">
        <v>2.0</v>
      </c>
      <c r="F512" s="3"/>
      <c r="G512" s="3"/>
      <c r="H512" s="4">
        <v>13.0</v>
      </c>
      <c r="I512" s="3"/>
    </row>
    <row r="513">
      <c r="A513" s="4" t="s">
        <v>13346</v>
      </c>
      <c r="B513" s="13" t="s">
        <v>48</v>
      </c>
      <c r="C513" s="4">
        <v>2.0</v>
      </c>
      <c r="D513" s="3"/>
      <c r="E513" s="4">
        <v>2.0</v>
      </c>
      <c r="F513" s="3"/>
      <c r="G513" s="3"/>
      <c r="H513" s="4">
        <v>13.0</v>
      </c>
      <c r="I513" s="3"/>
    </row>
    <row r="514">
      <c r="A514" s="4" t="s">
        <v>13347</v>
      </c>
      <c r="B514" s="13" t="s">
        <v>48</v>
      </c>
      <c r="C514" s="4">
        <v>1.0</v>
      </c>
      <c r="D514" s="3"/>
      <c r="E514" s="4">
        <v>2.0</v>
      </c>
      <c r="F514" s="3"/>
      <c r="G514" s="3"/>
      <c r="H514" s="3"/>
      <c r="I514" s="3"/>
    </row>
    <row r="515">
      <c r="A515" s="4" t="s">
        <v>13348</v>
      </c>
      <c r="B515" s="13" t="s">
        <v>48</v>
      </c>
      <c r="C515" s="4">
        <v>1.0</v>
      </c>
      <c r="D515" s="3"/>
      <c r="E515" s="4">
        <v>2.0</v>
      </c>
      <c r="F515" s="3"/>
      <c r="G515" s="3"/>
      <c r="H515" s="3"/>
      <c r="I515" s="3"/>
    </row>
    <row r="516">
      <c r="A516" s="4" t="s">
        <v>13349</v>
      </c>
      <c r="B516" s="13" t="s">
        <v>48</v>
      </c>
      <c r="C516" s="4">
        <v>1.0</v>
      </c>
      <c r="D516" s="3"/>
      <c r="E516" s="4">
        <v>2.0</v>
      </c>
      <c r="F516" s="3"/>
      <c r="G516" s="3"/>
      <c r="H516" s="3"/>
      <c r="I516" s="3"/>
    </row>
    <row r="517">
      <c r="A517" s="4" t="s">
        <v>13350</v>
      </c>
      <c r="B517" s="13" t="s">
        <v>48</v>
      </c>
      <c r="C517" s="4">
        <v>3.0</v>
      </c>
      <c r="D517" s="3"/>
      <c r="E517" s="4">
        <v>2.0</v>
      </c>
      <c r="F517" s="4">
        <v>9.0</v>
      </c>
      <c r="G517" s="3"/>
      <c r="H517" s="4">
        <v>13.0</v>
      </c>
      <c r="I517" s="3"/>
      <c r="J517" s="4" t="s">
        <v>1757</v>
      </c>
    </row>
    <row r="518">
      <c r="A518" s="4" t="s">
        <v>13351</v>
      </c>
      <c r="B518" s="13" t="s">
        <v>48</v>
      </c>
      <c r="C518" s="4">
        <v>3.0</v>
      </c>
      <c r="D518" s="3"/>
      <c r="E518" s="4">
        <v>2.0</v>
      </c>
      <c r="F518" s="4">
        <v>9.0</v>
      </c>
      <c r="G518" s="3"/>
      <c r="H518" s="4">
        <v>13.0</v>
      </c>
      <c r="I518" s="3"/>
      <c r="J518" s="4" t="s">
        <v>1757</v>
      </c>
      <c r="K518" s="4" t="s">
        <v>1757</v>
      </c>
    </row>
    <row r="519">
      <c r="A519" s="4" t="s">
        <v>13352</v>
      </c>
      <c r="B519" s="13" t="s">
        <v>48</v>
      </c>
      <c r="C519" s="4">
        <v>3.0</v>
      </c>
      <c r="D519" s="3"/>
      <c r="E519" s="4">
        <v>2.0</v>
      </c>
      <c r="F519" s="4">
        <v>9.0</v>
      </c>
      <c r="G519" s="3"/>
      <c r="H519" s="4">
        <v>13.0</v>
      </c>
      <c r="I519" s="3"/>
      <c r="J519" s="4" t="s">
        <v>1757</v>
      </c>
      <c r="K519" s="4" t="s">
        <v>1757</v>
      </c>
    </row>
    <row r="520">
      <c r="A520" s="4" t="s">
        <v>13353</v>
      </c>
      <c r="B520" s="13" t="s">
        <v>48</v>
      </c>
      <c r="C520" s="4">
        <v>4.0</v>
      </c>
      <c r="D520" s="3"/>
      <c r="E520" s="4">
        <v>2.0</v>
      </c>
      <c r="F520" s="4">
        <v>9.0</v>
      </c>
      <c r="G520" s="3"/>
      <c r="H520" s="4">
        <v>13.0</v>
      </c>
      <c r="I520" s="4">
        <v>15.0</v>
      </c>
      <c r="J520" s="4" t="s">
        <v>1757</v>
      </c>
      <c r="K520" s="4" t="s">
        <v>1757</v>
      </c>
    </row>
    <row r="521">
      <c r="A521" s="4" t="s">
        <v>13354</v>
      </c>
      <c r="B521" s="13" t="s">
        <v>48</v>
      </c>
      <c r="C521" s="4">
        <v>4.0</v>
      </c>
      <c r="D521" s="3"/>
      <c r="E521" s="4">
        <v>2.0</v>
      </c>
      <c r="F521" s="4">
        <v>9.0</v>
      </c>
      <c r="G521" s="3"/>
      <c r="H521" s="4">
        <v>13.0</v>
      </c>
      <c r="I521" s="4">
        <v>15.0</v>
      </c>
      <c r="J521" s="4" t="s">
        <v>1757</v>
      </c>
      <c r="K521" s="4" t="s">
        <v>1757</v>
      </c>
    </row>
    <row r="522">
      <c r="A522" s="4" t="s">
        <v>13355</v>
      </c>
      <c r="B522" s="13" t="s">
        <v>48</v>
      </c>
      <c r="C522" s="4">
        <v>4.0</v>
      </c>
      <c r="D522" s="3"/>
      <c r="E522" s="4">
        <v>2.0</v>
      </c>
      <c r="F522" s="4">
        <v>9.0</v>
      </c>
      <c r="G522" s="3"/>
      <c r="H522" s="4">
        <v>13.0</v>
      </c>
      <c r="I522" s="4">
        <v>15.0</v>
      </c>
      <c r="J522" s="4" t="s">
        <v>1757</v>
      </c>
      <c r="K522" s="4" t="s">
        <v>1757</v>
      </c>
    </row>
    <row r="523">
      <c r="A523" s="4" t="s">
        <v>13356</v>
      </c>
      <c r="B523" s="13" t="s">
        <v>48</v>
      </c>
      <c r="C523" s="4">
        <v>3.0</v>
      </c>
      <c r="D523" s="3"/>
      <c r="E523" s="4">
        <v>2.0</v>
      </c>
      <c r="F523" s="4">
        <v>9.0</v>
      </c>
      <c r="G523" s="3"/>
      <c r="H523" s="4">
        <v>13.0</v>
      </c>
      <c r="I523" s="3"/>
      <c r="J523" s="4" t="s">
        <v>1757</v>
      </c>
    </row>
    <row r="524">
      <c r="A524" s="4" t="s">
        <v>13357</v>
      </c>
      <c r="B524" s="13" t="s">
        <v>48</v>
      </c>
      <c r="C524" s="4">
        <v>3.0</v>
      </c>
      <c r="D524" s="3"/>
      <c r="E524" s="4">
        <v>2.0</v>
      </c>
      <c r="F524" s="4">
        <v>9.0</v>
      </c>
      <c r="G524" s="3"/>
      <c r="H524" s="4">
        <v>13.0</v>
      </c>
      <c r="I524" s="3"/>
    </row>
    <row r="525">
      <c r="A525" s="4" t="s">
        <v>13358</v>
      </c>
      <c r="B525" s="13" t="s">
        <v>48</v>
      </c>
      <c r="C525" s="4">
        <v>1.0</v>
      </c>
      <c r="D525" s="3"/>
      <c r="E525" s="4">
        <v>2.0</v>
      </c>
      <c r="F525" s="3"/>
      <c r="G525" s="3"/>
      <c r="H525" s="3"/>
      <c r="I525" s="3"/>
    </row>
    <row r="526">
      <c r="A526" s="4" t="s">
        <v>13359</v>
      </c>
      <c r="B526" s="13" t="s">
        <v>48</v>
      </c>
      <c r="C526" s="4">
        <v>1.0</v>
      </c>
      <c r="D526" s="3"/>
      <c r="E526" s="4">
        <v>2.0</v>
      </c>
      <c r="F526" s="3"/>
      <c r="G526" s="3"/>
      <c r="H526" s="3"/>
      <c r="I526" s="3"/>
    </row>
    <row r="527">
      <c r="A527" s="4" t="s">
        <v>13360</v>
      </c>
      <c r="B527" s="13" t="s">
        <v>43</v>
      </c>
      <c r="D527" s="3"/>
      <c r="E527" s="3"/>
      <c r="F527" s="3"/>
      <c r="G527" s="3"/>
      <c r="H527" s="3"/>
      <c r="I527" s="3"/>
    </row>
    <row r="528">
      <c r="A528" s="4" t="s">
        <v>13361</v>
      </c>
      <c r="B528" s="13" t="s">
        <v>43</v>
      </c>
      <c r="D528" s="3"/>
      <c r="E528" s="3"/>
      <c r="F528" s="3"/>
      <c r="G528" s="3"/>
      <c r="H528" s="3"/>
      <c r="I528" s="3"/>
    </row>
    <row r="529">
      <c r="A529" s="4" t="s">
        <v>13362</v>
      </c>
      <c r="B529" s="13" t="s">
        <v>48</v>
      </c>
      <c r="C529" s="4">
        <v>1.0</v>
      </c>
      <c r="D529" s="3"/>
      <c r="E529" s="4">
        <v>2.0</v>
      </c>
      <c r="F529" s="3"/>
      <c r="G529" s="3"/>
      <c r="H529" s="3"/>
      <c r="I529" s="3"/>
    </row>
    <row r="530">
      <c r="A530" s="4" t="s">
        <v>13363</v>
      </c>
      <c r="B530" s="13" t="s">
        <v>48</v>
      </c>
      <c r="C530" s="4">
        <v>3.0</v>
      </c>
      <c r="D530" s="3"/>
      <c r="E530" s="4">
        <v>2.0</v>
      </c>
      <c r="F530" s="4">
        <v>9.0</v>
      </c>
      <c r="G530" s="3"/>
      <c r="H530" s="3"/>
      <c r="I530" s="3"/>
    </row>
    <row r="531">
      <c r="A531" s="4" t="s">
        <v>13364</v>
      </c>
      <c r="B531" s="13" t="s">
        <v>48</v>
      </c>
      <c r="C531" s="4">
        <v>3.0</v>
      </c>
      <c r="D531" s="3"/>
      <c r="E531" s="4">
        <v>2.0</v>
      </c>
      <c r="F531" s="4">
        <v>9.0</v>
      </c>
      <c r="G531" s="3"/>
      <c r="H531" s="3"/>
      <c r="I531" s="3"/>
    </row>
    <row r="532">
      <c r="A532" s="4" t="s">
        <v>13365</v>
      </c>
      <c r="B532" s="13" t="s">
        <v>48</v>
      </c>
      <c r="C532" s="4">
        <v>3.0</v>
      </c>
      <c r="D532" s="3"/>
      <c r="E532" s="4">
        <v>2.0</v>
      </c>
      <c r="F532" s="4">
        <v>9.0</v>
      </c>
      <c r="G532" s="3"/>
      <c r="H532" s="3"/>
      <c r="I532" s="3"/>
    </row>
    <row r="533">
      <c r="A533" s="4" t="s">
        <v>13366</v>
      </c>
      <c r="B533" s="19" t="s">
        <v>43</v>
      </c>
      <c r="D533" s="3"/>
      <c r="E533" s="3"/>
      <c r="F533" s="3"/>
      <c r="G533" s="3"/>
      <c r="H533" s="3"/>
      <c r="I533" s="3"/>
    </row>
    <row r="534">
      <c r="A534" s="4" t="s">
        <v>13367</v>
      </c>
      <c r="B534" s="19" t="s">
        <v>43</v>
      </c>
      <c r="D534" s="3"/>
      <c r="E534" s="3"/>
      <c r="F534" s="3"/>
      <c r="G534" s="3"/>
      <c r="H534" s="3"/>
      <c r="I534" s="3"/>
    </row>
    <row r="535">
      <c r="A535" s="4" t="s">
        <v>13368</v>
      </c>
      <c r="B535" s="19" t="s">
        <v>43</v>
      </c>
      <c r="D535" s="3"/>
      <c r="E535" s="3"/>
      <c r="F535" s="3"/>
      <c r="G535" s="3"/>
      <c r="H535" s="3"/>
      <c r="I535" s="3"/>
    </row>
    <row r="536">
      <c r="A536" s="4" t="s">
        <v>13369</v>
      </c>
      <c r="B536" s="19" t="s">
        <v>43</v>
      </c>
      <c r="D536" s="3"/>
      <c r="E536" s="3"/>
      <c r="F536" s="3"/>
      <c r="G536" s="3"/>
      <c r="H536" s="3"/>
      <c r="I536" s="3"/>
    </row>
    <row r="537">
      <c r="A537" s="4" t="s">
        <v>13370</v>
      </c>
      <c r="B537" s="19" t="s">
        <v>43</v>
      </c>
      <c r="D537" s="3"/>
      <c r="E537" s="3"/>
      <c r="F537" s="3"/>
      <c r="G537" s="3"/>
      <c r="H537" s="3"/>
      <c r="I537" s="3"/>
    </row>
    <row r="538">
      <c r="A538" s="4" t="s">
        <v>13371</v>
      </c>
      <c r="B538" s="19" t="s">
        <v>43</v>
      </c>
      <c r="D538" s="3"/>
      <c r="E538" s="3"/>
      <c r="F538" s="3"/>
      <c r="G538" s="3"/>
      <c r="H538" s="3"/>
      <c r="I538" s="3"/>
    </row>
    <row r="539">
      <c r="A539" s="4" t="s">
        <v>13372</v>
      </c>
      <c r="B539" s="19" t="s">
        <v>43</v>
      </c>
      <c r="D539" s="3"/>
      <c r="E539" s="3"/>
      <c r="F539" s="3"/>
      <c r="G539" s="3"/>
      <c r="H539" s="3"/>
      <c r="I539" s="3"/>
    </row>
    <row r="540">
      <c r="A540" s="4" t="s">
        <v>13373</v>
      </c>
      <c r="B540" s="19" t="s">
        <v>48</v>
      </c>
      <c r="C540" s="4">
        <v>2.0</v>
      </c>
      <c r="D540" s="3"/>
      <c r="E540" s="3"/>
      <c r="F540" s="4">
        <v>9.0</v>
      </c>
      <c r="G540" s="4">
        <v>10.0</v>
      </c>
      <c r="H540" s="3"/>
      <c r="I540" s="3"/>
    </row>
    <row r="541">
      <c r="A541" s="4" t="s">
        <v>13374</v>
      </c>
      <c r="B541" s="19" t="s">
        <v>48</v>
      </c>
      <c r="C541" s="4">
        <v>1.0</v>
      </c>
      <c r="D541" s="3"/>
      <c r="E541" s="3"/>
      <c r="F541" s="4">
        <v>9.0</v>
      </c>
      <c r="G541" s="3"/>
      <c r="H541" s="3"/>
      <c r="I541" s="3"/>
      <c r="J541" s="4" t="s">
        <v>1757</v>
      </c>
    </row>
    <row r="542">
      <c r="A542" s="4" t="s">
        <v>13375</v>
      </c>
      <c r="B542" s="19" t="s">
        <v>48</v>
      </c>
      <c r="C542" s="4">
        <v>2.0</v>
      </c>
      <c r="D542" s="3"/>
      <c r="E542" s="3"/>
      <c r="F542" s="4">
        <v>9.0</v>
      </c>
      <c r="G542" s="4">
        <v>10.0</v>
      </c>
      <c r="H542" s="3"/>
      <c r="I542" s="3"/>
      <c r="J542" s="4" t="s">
        <v>1757</v>
      </c>
    </row>
    <row r="543">
      <c r="A543" s="4" t="s">
        <v>13376</v>
      </c>
      <c r="B543" s="19" t="s">
        <v>48</v>
      </c>
      <c r="C543" s="4">
        <v>1.0</v>
      </c>
      <c r="D543" s="3"/>
      <c r="E543" s="3"/>
      <c r="F543" s="3"/>
      <c r="G543" s="4">
        <v>10.0</v>
      </c>
      <c r="H543" s="3"/>
      <c r="I543" s="3"/>
    </row>
    <row r="544">
      <c r="A544" s="4" t="s">
        <v>13377</v>
      </c>
      <c r="B544" s="19" t="s">
        <v>43</v>
      </c>
      <c r="D544" s="3"/>
      <c r="E544" s="3"/>
      <c r="F544" s="3"/>
      <c r="G544" s="3"/>
      <c r="H544" s="3"/>
      <c r="I544" s="3"/>
    </row>
    <row r="545">
      <c r="A545" s="4" t="s">
        <v>13378</v>
      </c>
      <c r="B545" s="19" t="s">
        <v>48</v>
      </c>
      <c r="C545" s="4">
        <v>1.0</v>
      </c>
      <c r="D545" s="3"/>
      <c r="E545" s="3"/>
      <c r="F545" s="3"/>
      <c r="G545" s="4">
        <v>10.0</v>
      </c>
      <c r="H545" s="3"/>
      <c r="I545" s="3"/>
    </row>
    <row r="546">
      <c r="A546" s="4" t="s">
        <v>13379</v>
      </c>
      <c r="B546" s="19" t="s">
        <v>48</v>
      </c>
      <c r="C546" s="4">
        <v>1.0</v>
      </c>
      <c r="D546" s="3"/>
      <c r="E546" s="3"/>
      <c r="F546" s="3"/>
      <c r="G546" s="4">
        <v>10.0</v>
      </c>
      <c r="H546" s="3"/>
      <c r="I546" s="3"/>
    </row>
    <row r="547">
      <c r="A547" s="4" t="s">
        <v>13380</v>
      </c>
      <c r="B547" s="19" t="s">
        <v>48</v>
      </c>
      <c r="C547" s="4">
        <v>1.0</v>
      </c>
      <c r="D547" s="3"/>
      <c r="E547" s="3"/>
      <c r="F547" s="3"/>
      <c r="G547" s="4">
        <v>10.0</v>
      </c>
      <c r="H547" s="3"/>
      <c r="I547" s="3"/>
    </row>
    <row r="548">
      <c r="A548" s="4" t="s">
        <v>13381</v>
      </c>
      <c r="B548" s="19" t="s">
        <v>48</v>
      </c>
      <c r="C548" s="4">
        <v>1.0</v>
      </c>
      <c r="D548" s="3"/>
      <c r="E548" s="3"/>
      <c r="F548" s="3"/>
      <c r="G548" s="4">
        <v>10.0</v>
      </c>
      <c r="H548" s="3"/>
      <c r="I548" s="3"/>
    </row>
    <row r="549">
      <c r="A549" s="4" t="s">
        <v>13382</v>
      </c>
      <c r="B549" s="19" t="s">
        <v>48</v>
      </c>
      <c r="C549" s="4">
        <v>1.0</v>
      </c>
      <c r="D549" s="3"/>
      <c r="E549" s="3"/>
      <c r="F549" s="3"/>
      <c r="G549" s="4">
        <v>10.0</v>
      </c>
      <c r="H549" s="3"/>
      <c r="I549" s="3"/>
    </row>
    <row r="550">
      <c r="A550" s="4" t="s">
        <v>13383</v>
      </c>
      <c r="B550" s="19" t="s">
        <v>48</v>
      </c>
      <c r="C550" s="4">
        <v>1.0</v>
      </c>
      <c r="D550" s="3"/>
      <c r="E550" s="3"/>
      <c r="F550" s="3"/>
      <c r="G550" s="4">
        <v>10.0</v>
      </c>
      <c r="H550" s="3"/>
      <c r="I550" s="3"/>
    </row>
    <row r="551">
      <c r="A551" s="4" t="s">
        <v>13384</v>
      </c>
      <c r="B551" s="19" t="s">
        <v>48</v>
      </c>
      <c r="C551" s="4">
        <v>1.0</v>
      </c>
      <c r="D551" s="3"/>
      <c r="E551" s="3"/>
      <c r="F551" s="3"/>
      <c r="G551" s="4">
        <v>10.0</v>
      </c>
      <c r="H551" s="3"/>
      <c r="I551" s="3"/>
    </row>
    <row r="552">
      <c r="A552" s="4" t="s">
        <v>13385</v>
      </c>
      <c r="B552" s="13" t="s">
        <v>43</v>
      </c>
      <c r="D552" s="3"/>
      <c r="E552" s="3"/>
      <c r="F552" s="3"/>
      <c r="G552" s="3"/>
      <c r="H552" s="3"/>
      <c r="I552" s="3"/>
    </row>
    <row r="553">
      <c r="A553" s="4" t="s">
        <v>13386</v>
      </c>
      <c r="B553" s="13" t="s">
        <v>43</v>
      </c>
      <c r="D553" s="3"/>
      <c r="E553" s="3"/>
      <c r="F553" s="3"/>
      <c r="G553" s="3"/>
      <c r="H553" s="3"/>
      <c r="I553" s="3"/>
    </row>
    <row r="554">
      <c r="A554" s="4" t="s">
        <v>13387</v>
      </c>
      <c r="B554" s="13" t="s">
        <v>43</v>
      </c>
      <c r="D554" s="3"/>
      <c r="E554" s="3"/>
      <c r="F554" s="3"/>
      <c r="G554" s="3"/>
      <c r="H554" s="3"/>
      <c r="I554" s="3"/>
      <c r="R554" s="18"/>
    </row>
    <row r="555">
      <c r="A555" s="4" t="s">
        <v>13388</v>
      </c>
      <c r="B555" s="13" t="s">
        <v>43</v>
      </c>
      <c r="D555" s="3"/>
      <c r="E555" s="3"/>
      <c r="F555" s="3"/>
      <c r="G555" s="3"/>
      <c r="H555" s="3"/>
      <c r="I555" s="3"/>
      <c r="R555" s="18"/>
    </row>
    <row r="556">
      <c r="A556" s="4" t="s">
        <v>13389</v>
      </c>
      <c r="B556" s="13" t="s">
        <v>43</v>
      </c>
      <c r="D556" s="3"/>
      <c r="E556" s="3"/>
      <c r="F556" s="3"/>
      <c r="G556" s="3"/>
      <c r="H556" s="3"/>
      <c r="I556" s="3"/>
      <c r="R556" s="18"/>
    </row>
    <row r="557">
      <c r="A557" s="4" t="s">
        <v>13390</v>
      </c>
      <c r="B557" s="13" t="s">
        <v>43</v>
      </c>
      <c r="D557" s="3"/>
      <c r="E557" s="3"/>
      <c r="F557" s="3"/>
      <c r="G557" s="3"/>
      <c r="H557" s="3"/>
      <c r="I557" s="3"/>
      <c r="R557" s="18"/>
    </row>
    <row r="558">
      <c r="A558" s="4" t="s">
        <v>13391</v>
      </c>
      <c r="B558" s="13" t="s">
        <v>43</v>
      </c>
      <c r="D558" s="3"/>
      <c r="E558" s="3"/>
      <c r="F558" s="3"/>
      <c r="G558" s="3"/>
      <c r="H558" s="3"/>
      <c r="I558" s="3"/>
      <c r="R558" s="18"/>
    </row>
    <row r="559">
      <c r="A559" s="4" t="s">
        <v>13392</v>
      </c>
      <c r="B559" s="13" t="s">
        <v>43</v>
      </c>
      <c r="D559" s="3"/>
      <c r="E559" s="3"/>
      <c r="F559" s="3"/>
      <c r="G559" s="3"/>
      <c r="H559" s="3"/>
      <c r="I559" s="3"/>
      <c r="R559" s="18"/>
    </row>
    <row r="560">
      <c r="A560" s="4" t="s">
        <v>13393</v>
      </c>
      <c r="B560" s="13" t="s">
        <v>43</v>
      </c>
      <c r="D560" s="3"/>
      <c r="E560" s="3"/>
      <c r="F560" s="3"/>
      <c r="G560" s="3"/>
      <c r="H560" s="3"/>
      <c r="I560" s="3"/>
      <c r="R560" s="18"/>
    </row>
    <row r="561">
      <c r="A561" s="4" t="s">
        <v>13394</v>
      </c>
      <c r="B561" s="13" t="s">
        <v>43</v>
      </c>
      <c r="D561" s="3"/>
      <c r="E561" s="3"/>
      <c r="F561" s="3"/>
      <c r="G561" s="3"/>
      <c r="H561" s="3"/>
      <c r="I561" s="3"/>
      <c r="R561" s="18"/>
    </row>
    <row r="562">
      <c r="A562" s="4" t="s">
        <v>13395</v>
      </c>
      <c r="B562" s="13" t="s">
        <v>43</v>
      </c>
      <c r="D562" s="3"/>
      <c r="E562" s="3"/>
      <c r="F562" s="3"/>
      <c r="G562" s="3"/>
      <c r="H562" s="3"/>
      <c r="I562" s="3"/>
      <c r="R562" s="18"/>
    </row>
    <row r="563">
      <c r="A563" s="4" t="s">
        <v>13396</v>
      </c>
      <c r="B563" s="13" t="s">
        <v>48</v>
      </c>
      <c r="C563" s="4">
        <v>1.0</v>
      </c>
      <c r="D563" s="3"/>
      <c r="E563" s="3"/>
      <c r="F563" s="3"/>
      <c r="G563" s="3"/>
      <c r="H563" s="3"/>
      <c r="I563" s="4">
        <v>15.0</v>
      </c>
      <c r="R563" s="18"/>
    </row>
    <row r="564">
      <c r="A564" s="4" t="s">
        <v>13397</v>
      </c>
      <c r="B564" s="13" t="s">
        <v>48</v>
      </c>
      <c r="C564" s="4">
        <v>2.0</v>
      </c>
      <c r="D564" s="4">
        <v>1.0</v>
      </c>
      <c r="E564" s="3"/>
      <c r="F564" s="3"/>
      <c r="G564" s="3"/>
      <c r="H564" s="3"/>
      <c r="I564" s="4">
        <v>15.0</v>
      </c>
      <c r="J564" s="4" t="s">
        <v>1757</v>
      </c>
      <c r="K564" s="4" t="s">
        <v>1757</v>
      </c>
      <c r="R564" s="18"/>
    </row>
    <row r="565">
      <c r="A565" s="4" t="s">
        <v>13398</v>
      </c>
      <c r="B565" s="13" t="s">
        <v>48</v>
      </c>
      <c r="C565" s="4">
        <v>3.0</v>
      </c>
      <c r="D565" s="4">
        <v>1.0</v>
      </c>
      <c r="E565" s="3"/>
      <c r="F565" s="3"/>
      <c r="G565" s="3"/>
      <c r="H565" s="4">
        <v>13.0</v>
      </c>
      <c r="I565" s="4">
        <v>15.0</v>
      </c>
      <c r="J565" s="4" t="s">
        <v>1757</v>
      </c>
      <c r="K565" s="4" t="s">
        <v>1757</v>
      </c>
      <c r="R565" s="18"/>
    </row>
    <row r="566">
      <c r="A566" s="4" t="s">
        <v>13399</v>
      </c>
      <c r="B566" s="13" t="s">
        <v>48</v>
      </c>
      <c r="C566" s="4">
        <v>5.0</v>
      </c>
      <c r="D566" s="4">
        <v>1.0</v>
      </c>
      <c r="E566" s="4">
        <v>2.0</v>
      </c>
      <c r="F566" s="4">
        <v>9.0</v>
      </c>
      <c r="G566" s="3"/>
      <c r="H566" s="4">
        <v>13.0</v>
      </c>
      <c r="I566" s="4">
        <v>15.0</v>
      </c>
      <c r="J566" s="4" t="s">
        <v>1757</v>
      </c>
      <c r="K566" s="4" t="s">
        <v>1757</v>
      </c>
      <c r="R566" s="18"/>
    </row>
    <row r="567">
      <c r="A567" s="4" t="s">
        <v>13400</v>
      </c>
      <c r="B567" s="13" t="s">
        <v>48</v>
      </c>
      <c r="C567" s="4">
        <v>5.0</v>
      </c>
      <c r="D567" s="4">
        <v>1.0</v>
      </c>
      <c r="E567" s="4">
        <v>2.0</v>
      </c>
      <c r="F567" s="4">
        <v>9.0</v>
      </c>
      <c r="G567" s="3"/>
      <c r="H567" s="4">
        <v>13.0</v>
      </c>
      <c r="I567" s="4">
        <v>15.0</v>
      </c>
      <c r="J567" s="4" t="s">
        <v>1757</v>
      </c>
      <c r="K567" s="4" t="s">
        <v>1757</v>
      </c>
      <c r="R567" s="18"/>
    </row>
    <row r="568">
      <c r="A568" s="4" t="s">
        <v>13401</v>
      </c>
      <c r="B568" s="13" t="s">
        <v>48</v>
      </c>
      <c r="C568" s="4">
        <v>5.0</v>
      </c>
      <c r="D568" s="4">
        <v>1.0</v>
      </c>
      <c r="E568" s="4">
        <v>2.0</v>
      </c>
      <c r="F568" s="4">
        <v>9.0</v>
      </c>
      <c r="G568" s="3"/>
      <c r="H568" s="4">
        <v>13.0</v>
      </c>
      <c r="I568" s="4">
        <v>15.0</v>
      </c>
      <c r="J568" s="4" t="s">
        <v>1757</v>
      </c>
      <c r="K568" s="4" t="s">
        <v>1757</v>
      </c>
      <c r="R568" s="18"/>
    </row>
    <row r="569">
      <c r="A569" s="4" t="s">
        <v>13402</v>
      </c>
      <c r="B569" s="13" t="s">
        <v>48</v>
      </c>
      <c r="C569" s="4">
        <v>5.0</v>
      </c>
      <c r="D569" s="4">
        <v>1.0</v>
      </c>
      <c r="E569" s="4">
        <v>2.0</v>
      </c>
      <c r="F569" s="4">
        <v>9.0</v>
      </c>
      <c r="G569" s="3"/>
      <c r="H569" s="4">
        <v>13.0</v>
      </c>
      <c r="I569" s="4">
        <v>15.0</v>
      </c>
      <c r="J569" s="4" t="s">
        <v>1757</v>
      </c>
      <c r="K569" s="4" t="s">
        <v>1757</v>
      </c>
    </row>
    <row r="570">
      <c r="A570" s="4" t="s">
        <v>13403</v>
      </c>
      <c r="B570" s="13" t="s">
        <v>48</v>
      </c>
      <c r="C570" s="4">
        <v>5.0</v>
      </c>
      <c r="D570" s="4">
        <v>1.0</v>
      </c>
      <c r="E570" s="4">
        <v>2.0</v>
      </c>
      <c r="F570" s="4">
        <v>9.0</v>
      </c>
      <c r="G570" s="3"/>
      <c r="H570" s="4">
        <v>13.0</v>
      </c>
      <c r="I570" s="4">
        <v>15.0</v>
      </c>
      <c r="J570" s="4" t="s">
        <v>1757</v>
      </c>
      <c r="K570" s="4" t="s">
        <v>1757</v>
      </c>
    </row>
    <row r="571">
      <c r="A571" s="4" t="s">
        <v>13404</v>
      </c>
      <c r="B571" s="13" t="s">
        <v>48</v>
      </c>
      <c r="C571" s="4">
        <v>5.0</v>
      </c>
      <c r="D571" s="4">
        <v>1.0</v>
      </c>
      <c r="E571" s="4">
        <v>2.0</v>
      </c>
      <c r="F571" s="4">
        <v>9.0</v>
      </c>
      <c r="G571" s="3"/>
      <c r="H571" s="4">
        <v>13.0</v>
      </c>
      <c r="I571" s="4">
        <v>15.0</v>
      </c>
      <c r="J571" s="4" t="s">
        <v>1757</v>
      </c>
      <c r="K571" s="4" t="s">
        <v>1757</v>
      </c>
    </row>
    <row r="572">
      <c r="A572" s="4" t="s">
        <v>13405</v>
      </c>
      <c r="B572" s="13" t="s">
        <v>48</v>
      </c>
      <c r="C572" s="4">
        <v>5.0</v>
      </c>
      <c r="D572" s="4">
        <v>1.0</v>
      </c>
      <c r="E572" s="4">
        <v>2.0</v>
      </c>
      <c r="F572" s="4">
        <v>9.0</v>
      </c>
      <c r="G572" s="3"/>
      <c r="H572" s="4">
        <v>13.0</v>
      </c>
      <c r="I572" s="4">
        <v>15.0</v>
      </c>
      <c r="J572" s="4" t="s">
        <v>1757</v>
      </c>
      <c r="K572" s="4" t="s">
        <v>1757</v>
      </c>
    </row>
    <row r="573">
      <c r="A573" s="4" t="s">
        <v>13406</v>
      </c>
      <c r="B573" s="13" t="s">
        <v>48</v>
      </c>
      <c r="C573" s="4">
        <v>5.0</v>
      </c>
      <c r="D573" s="4">
        <v>1.0</v>
      </c>
      <c r="E573" s="4">
        <v>2.0</v>
      </c>
      <c r="F573" s="4">
        <v>9.0</v>
      </c>
      <c r="G573" s="3"/>
      <c r="H573" s="4">
        <v>13.0</v>
      </c>
      <c r="I573" s="4">
        <v>15.0</v>
      </c>
      <c r="J573" s="4" t="s">
        <v>1757</v>
      </c>
      <c r="K573" s="4" t="s">
        <v>1757</v>
      </c>
    </row>
    <row r="574">
      <c r="A574" s="4" t="s">
        <v>13407</v>
      </c>
      <c r="B574" s="13" t="s">
        <v>48</v>
      </c>
      <c r="C574" s="4">
        <v>4.0</v>
      </c>
      <c r="D574" s="3"/>
      <c r="E574" s="4">
        <v>2.0</v>
      </c>
      <c r="F574" s="4">
        <v>9.0</v>
      </c>
      <c r="G574" s="3"/>
      <c r="H574" s="4">
        <v>13.0</v>
      </c>
      <c r="I574" s="4">
        <v>15.0</v>
      </c>
      <c r="J574" s="4" t="s">
        <v>1757</v>
      </c>
      <c r="K574" s="4" t="s">
        <v>1757</v>
      </c>
    </row>
    <row r="575">
      <c r="A575" s="4" t="s">
        <v>13408</v>
      </c>
      <c r="B575" s="13" t="s">
        <v>48</v>
      </c>
      <c r="C575" s="4">
        <v>5.0</v>
      </c>
      <c r="D575" s="4">
        <v>1.0</v>
      </c>
      <c r="E575" s="4">
        <v>2.0</v>
      </c>
      <c r="F575" s="4">
        <v>9.0</v>
      </c>
      <c r="G575" s="3"/>
      <c r="H575" s="4">
        <v>13.0</v>
      </c>
      <c r="I575" s="4">
        <v>15.0</v>
      </c>
      <c r="J575" s="4" t="s">
        <v>1757</v>
      </c>
      <c r="K575" s="4" t="s">
        <v>1757</v>
      </c>
    </row>
    <row r="576">
      <c r="A576" s="4" t="s">
        <v>13409</v>
      </c>
      <c r="B576" s="13" t="s">
        <v>48</v>
      </c>
      <c r="C576" s="4">
        <v>5.0</v>
      </c>
      <c r="D576" s="4">
        <v>1.0</v>
      </c>
      <c r="E576" s="4">
        <v>2.0</v>
      </c>
      <c r="F576" s="4">
        <v>9.0</v>
      </c>
      <c r="G576" s="3"/>
      <c r="H576" s="4">
        <v>13.0</v>
      </c>
      <c r="I576" s="4">
        <v>15.0</v>
      </c>
      <c r="J576" s="4" t="s">
        <v>1757</v>
      </c>
      <c r="K576" s="4" t="s">
        <v>1757</v>
      </c>
    </row>
    <row r="577">
      <c r="A577" s="4" t="s">
        <v>13410</v>
      </c>
      <c r="B577" s="13" t="s">
        <v>48</v>
      </c>
      <c r="C577" s="4">
        <v>3.0</v>
      </c>
      <c r="D577" s="3"/>
      <c r="E577" s="4">
        <v>2.0</v>
      </c>
      <c r="F577" s="4">
        <v>9.0</v>
      </c>
      <c r="G577" s="3"/>
      <c r="H577" s="4">
        <v>13.0</v>
      </c>
      <c r="I577" s="3"/>
      <c r="J577" s="4" t="s">
        <v>1757</v>
      </c>
    </row>
    <row r="578">
      <c r="A578" s="4" t="s">
        <v>13411</v>
      </c>
      <c r="B578" s="13" t="s">
        <v>48</v>
      </c>
      <c r="C578" s="4">
        <v>3.0</v>
      </c>
      <c r="D578" s="3"/>
      <c r="E578" s="4">
        <v>2.0</v>
      </c>
      <c r="F578" s="4">
        <v>9.0</v>
      </c>
      <c r="G578" s="3"/>
      <c r="H578" s="4">
        <v>13.0</v>
      </c>
      <c r="I578" s="3"/>
      <c r="J578" s="4" t="s">
        <v>1757</v>
      </c>
    </row>
    <row r="579">
      <c r="A579" s="4" t="s">
        <v>13412</v>
      </c>
      <c r="B579" s="13" t="s">
        <v>48</v>
      </c>
      <c r="C579" s="4">
        <v>2.0</v>
      </c>
      <c r="D579" s="3"/>
      <c r="E579" s="4">
        <v>2.0</v>
      </c>
      <c r="F579" s="3"/>
      <c r="G579" s="3"/>
      <c r="H579" s="4">
        <v>13.0</v>
      </c>
      <c r="I579" s="3"/>
      <c r="J579" s="4" t="s">
        <v>1757</v>
      </c>
    </row>
    <row r="580">
      <c r="A580" s="4" t="s">
        <v>13413</v>
      </c>
      <c r="B580" s="13" t="s">
        <v>48</v>
      </c>
      <c r="C580" s="4">
        <v>2.0</v>
      </c>
      <c r="D580" s="3"/>
      <c r="E580" s="4">
        <v>2.0</v>
      </c>
      <c r="F580" s="3"/>
      <c r="G580" s="3"/>
      <c r="H580" s="4">
        <v>13.0</v>
      </c>
      <c r="I580" s="3"/>
      <c r="J580" s="4" t="s">
        <v>1757</v>
      </c>
      <c r="K580" s="4" t="s">
        <v>1757</v>
      </c>
    </row>
    <row r="581">
      <c r="A581" s="4" t="s">
        <v>13414</v>
      </c>
      <c r="B581" s="13" t="s">
        <v>48</v>
      </c>
      <c r="C581" s="4">
        <v>2.0</v>
      </c>
      <c r="D581" s="3"/>
      <c r="E581" s="4">
        <v>2.0</v>
      </c>
      <c r="F581" s="3"/>
      <c r="G581" s="3"/>
      <c r="H581" s="4">
        <v>13.0</v>
      </c>
      <c r="I581" s="3"/>
      <c r="J581" s="4" t="s">
        <v>1757</v>
      </c>
      <c r="K581" s="4" t="s">
        <v>1757</v>
      </c>
    </row>
    <row r="582">
      <c r="A582" s="4" t="s">
        <v>13415</v>
      </c>
      <c r="B582" s="13" t="s">
        <v>48</v>
      </c>
      <c r="C582" s="4">
        <v>2.0</v>
      </c>
      <c r="D582" s="3"/>
      <c r="E582" s="4">
        <v>2.0</v>
      </c>
      <c r="F582" s="3"/>
      <c r="G582" s="3"/>
      <c r="H582" s="4">
        <v>13.0</v>
      </c>
      <c r="I582" s="3"/>
      <c r="J582" s="4" t="s">
        <v>1757</v>
      </c>
      <c r="K582" s="4" t="s">
        <v>1757</v>
      </c>
    </row>
    <row r="583">
      <c r="A583" s="4" t="s">
        <v>13416</v>
      </c>
      <c r="B583" s="13" t="s">
        <v>48</v>
      </c>
      <c r="C583" s="4">
        <v>2.0</v>
      </c>
      <c r="D583" s="3"/>
      <c r="E583" s="4">
        <v>2.0</v>
      </c>
      <c r="F583" s="3"/>
      <c r="G583" s="3"/>
      <c r="H583" s="4">
        <v>13.0</v>
      </c>
      <c r="I583" s="3"/>
      <c r="J583" s="4" t="s">
        <v>1757</v>
      </c>
    </row>
    <row r="584">
      <c r="A584" s="4" t="s">
        <v>13417</v>
      </c>
      <c r="B584" s="13" t="s">
        <v>48</v>
      </c>
      <c r="C584" s="4">
        <v>2.0</v>
      </c>
      <c r="D584" s="3"/>
      <c r="E584" s="4">
        <v>2.0</v>
      </c>
      <c r="F584" s="3"/>
      <c r="G584" s="3"/>
      <c r="H584" s="4">
        <v>13.0</v>
      </c>
      <c r="I584" s="3"/>
      <c r="J584" s="4" t="s">
        <v>1757</v>
      </c>
    </row>
    <row r="585">
      <c r="A585" s="4" t="s">
        <v>13418</v>
      </c>
      <c r="B585" s="13" t="s">
        <v>48</v>
      </c>
      <c r="C585" s="4">
        <v>2.0</v>
      </c>
      <c r="D585" s="3"/>
      <c r="E585" s="4">
        <v>2.0</v>
      </c>
      <c r="F585" s="3"/>
      <c r="G585" s="3"/>
      <c r="H585" s="4">
        <v>13.0</v>
      </c>
      <c r="I585" s="3"/>
      <c r="J585" s="4" t="s">
        <v>1757</v>
      </c>
      <c r="K585" s="4" t="s">
        <v>1757</v>
      </c>
    </row>
    <row r="586">
      <c r="A586" s="4" t="s">
        <v>13419</v>
      </c>
      <c r="B586" s="13" t="s">
        <v>48</v>
      </c>
      <c r="C586" s="4">
        <v>3.0</v>
      </c>
      <c r="D586" s="4">
        <v>1.0</v>
      </c>
      <c r="E586" s="3"/>
      <c r="F586" s="3"/>
      <c r="G586" s="3"/>
      <c r="H586" s="4">
        <v>13.0</v>
      </c>
      <c r="I586" s="4">
        <v>15.0</v>
      </c>
      <c r="J586" s="4" t="s">
        <v>1757</v>
      </c>
    </row>
    <row r="587">
      <c r="A587" s="4" t="s">
        <v>13420</v>
      </c>
      <c r="B587" s="13" t="s">
        <v>48</v>
      </c>
      <c r="C587" s="4">
        <v>4.0</v>
      </c>
      <c r="D587" s="4">
        <v>1.0</v>
      </c>
      <c r="E587" s="3"/>
      <c r="F587" s="4">
        <v>9.0</v>
      </c>
      <c r="G587" s="3"/>
      <c r="H587" s="4">
        <v>13.0</v>
      </c>
      <c r="I587" s="4">
        <v>15.0</v>
      </c>
      <c r="J587" s="4" t="s">
        <v>1757</v>
      </c>
      <c r="K587" s="4" t="s">
        <v>1757</v>
      </c>
    </row>
    <row r="588">
      <c r="A588" s="4" t="s">
        <v>13421</v>
      </c>
      <c r="B588" s="13" t="s">
        <v>48</v>
      </c>
      <c r="C588" s="4">
        <v>2.0</v>
      </c>
      <c r="D588" s="4">
        <v>1.0</v>
      </c>
      <c r="E588" s="3"/>
      <c r="F588" s="3"/>
      <c r="G588" s="3"/>
      <c r="H588" s="3"/>
      <c r="I588" s="4">
        <v>15.0</v>
      </c>
      <c r="J588" s="4" t="s">
        <v>1757</v>
      </c>
      <c r="K588" s="4" t="s">
        <v>1757</v>
      </c>
    </row>
    <row r="589">
      <c r="A589" s="4" t="s">
        <v>13422</v>
      </c>
      <c r="B589" s="13" t="s">
        <v>48</v>
      </c>
      <c r="C589" s="4">
        <v>2.0</v>
      </c>
      <c r="D589" s="4">
        <v>1.0</v>
      </c>
      <c r="E589" s="3"/>
      <c r="F589" s="3"/>
      <c r="G589" s="3"/>
      <c r="H589" s="3"/>
      <c r="I589" s="4">
        <v>15.0</v>
      </c>
      <c r="J589" s="4" t="s">
        <v>1757</v>
      </c>
    </row>
    <row r="590">
      <c r="A590" s="4" t="s">
        <v>13423</v>
      </c>
      <c r="B590" s="13" t="s">
        <v>48</v>
      </c>
      <c r="C590" s="4">
        <v>2.0</v>
      </c>
      <c r="D590" s="4">
        <v>1.0</v>
      </c>
      <c r="E590" s="3"/>
      <c r="F590" s="3"/>
      <c r="G590" s="3"/>
      <c r="H590" s="3"/>
      <c r="I590" s="4">
        <v>15.0</v>
      </c>
      <c r="J590" s="4" t="s">
        <v>1757</v>
      </c>
    </row>
    <row r="591">
      <c r="A591" s="4" t="s">
        <v>13424</v>
      </c>
      <c r="B591" s="13" t="s">
        <v>48</v>
      </c>
      <c r="C591" s="4">
        <v>2.0</v>
      </c>
      <c r="D591" s="4">
        <v>1.0</v>
      </c>
      <c r="E591" s="3"/>
      <c r="F591" s="3"/>
      <c r="G591" s="3"/>
      <c r="H591" s="3"/>
      <c r="I591" s="4">
        <v>15.0</v>
      </c>
    </row>
    <row r="592">
      <c r="A592" s="4" t="s">
        <v>13425</v>
      </c>
      <c r="B592" s="13" t="s">
        <v>48</v>
      </c>
      <c r="C592" s="4">
        <v>2.0</v>
      </c>
      <c r="D592" s="4">
        <v>1.0</v>
      </c>
      <c r="E592" s="3"/>
      <c r="F592" s="3"/>
      <c r="G592" s="3"/>
      <c r="H592" s="3"/>
      <c r="I592" s="4">
        <v>15.0</v>
      </c>
    </row>
    <row r="593">
      <c r="A593" s="4" t="s">
        <v>13426</v>
      </c>
      <c r="B593" s="13" t="s">
        <v>48</v>
      </c>
      <c r="C593" s="4">
        <v>2.0</v>
      </c>
      <c r="D593" s="4">
        <v>1.0</v>
      </c>
      <c r="E593" s="3"/>
      <c r="F593" s="3"/>
      <c r="G593" s="3"/>
      <c r="H593" s="3"/>
      <c r="I593" s="4">
        <v>15.0</v>
      </c>
    </row>
    <row r="594">
      <c r="A594" s="4" t="s">
        <v>13427</v>
      </c>
      <c r="B594" s="13" t="s">
        <v>48</v>
      </c>
      <c r="C594" s="4">
        <v>2.0</v>
      </c>
      <c r="D594" s="4">
        <v>1.0</v>
      </c>
      <c r="E594" s="3"/>
      <c r="F594" s="3"/>
      <c r="G594" s="3"/>
      <c r="H594" s="3"/>
      <c r="I594" s="4">
        <v>15.0</v>
      </c>
    </row>
    <row r="595">
      <c r="A595" s="4" t="s">
        <v>13428</v>
      </c>
      <c r="B595" s="13" t="s">
        <v>43</v>
      </c>
      <c r="D595" s="3"/>
      <c r="E595" s="3"/>
      <c r="F595" s="3"/>
      <c r="G595" s="3"/>
      <c r="H595" s="3"/>
      <c r="I595" s="3"/>
    </row>
    <row r="596">
      <c r="A596" s="4" t="s">
        <v>13429</v>
      </c>
      <c r="B596" s="13" t="s">
        <v>43</v>
      </c>
      <c r="D596" s="3"/>
      <c r="E596" s="3"/>
      <c r="F596" s="3"/>
      <c r="G596" s="3"/>
      <c r="H596" s="3"/>
      <c r="I596" s="3"/>
    </row>
    <row r="597">
      <c r="A597" s="4" t="s">
        <v>13430</v>
      </c>
      <c r="B597" s="13" t="s">
        <v>43</v>
      </c>
      <c r="D597" s="3"/>
      <c r="E597" s="3"/>
      <c r="F597" s="3"/>
      <c r="G597" s="3"/>
      <c r="H597" s="3"/>
      <c r="I597" s="3"/>
    </row>
    <row r="598">
      <c r="A598" s="4" t="s">
        <v>13431</v>
      </c>
      <c r="B598" s="13" t="s">
        <v>43</v>
      </c>
      <c r="D598" s="3"/>
      <c r="E598" s="3"/>
      <c r="F598" s="3"/>
      <c r="G598" s="3"/>
      <c r="H598" s="3"/>
      <c r="I598" s="3"/>
    </row>
    <row r="599">
      <c r="A599" s="4" t="s">
        <v>13432</v>
      </c>
      <c r="B599" s="13" t="s">
        <v>43</v>
      </c>
      <c r="D599" s="3"/>
      <c r="E599" s="3"/>
      <c r="F599" s="3"/>
      <c r="G599" s="3"/>
      <c r="H599" s="3"/>
      <c r="I599" s="3"/>
    </row>
    <row r="600">
      <c r="A600" s="4" t="s">
        <v>13433</v>
      </c>
      <c r="B600" s="13" t="s">
        <v>43</v>
      </c>
      <c r="D600" s="3"/>
      <c r="E600" s="3"/>
      <c r="F600" s="3"/>
      <c r="G600" s="3"/>
      <c r="H600" s="3"/>
      <c r="I600" s="3"/>
    </row>
    <row r="601">
      <c r="A601" s="4" t="s">
        <v>13434</v>
      </c>
      <c r="B601" s="13" t="s">
        <v>43</v>
      </c>
      <c r="D601" s="3"/>
      <c r="E601" s="3"/>
      <c r="F601" s="3"/>
      <c r="G601" s="3"/>
      <c r="H601" s="3"/>
      <c r="I601" s="3"/>
    </row>
    <row r="602">
      <c r="A602" s="4" t="s">
        <v>13435</v>
      </c>
      <c r="B602" s="13" t="s">
        <v>43</v>
      </c>
      <c r="D602" s="3"/>
      <c r="E602" s="3"/>
      <c r="F602" s="3"/>
      <c r="G602" s="3"/>
      <c r="H602" s="3"/>
      <c r="I602" s="3"/>
    </row>
    <row r="603">
      <c r="A603" s="4" t="s">
        <v>13436</v>
      </c>
      <c r="B603" s="13" t="s">
        <v>48</v>
      </c>
      <c r="C603" s="4">
        <v>1.0</v>
      </c>
      <c r="D603" s="4">
        <v>1.0</v>
      </c>
      <c r="E603" s="3"/>
      <c r="F603" s="3"/>
      <c r="G603" s="3"/>
      <c r="H603" s="3"/>
      <c r="I603" s="3"/>
    </row>
    <row r="604">
      <c r="A604" s="4" t="s">
        <v>13437</v>
      </c>
      <c r="B604" s="13" t="s">
        <v>48</v>
      </c>
      <c r="C604" s="4">
        <v>1.0</v>
      </c>
      <c r="D604" s="4">
        <v>1.0</v>
      </c>
      <c r="E604" s="3"/>
      <c r="F604" s="3"/>
      <c r="G604" s="3"/>
      <c r="H604" s="3"/>
      <c r="I604" s="3"/>
    </row>
    <row r="605">
      <c r="A605" s="4" t="s">
        <v>13438</v>
      </c>
      <c r="B605" s="13" t="s">
        <v>43</v>
      </c>
      <c r="D605" s="3"/>
      <c r="E605" s="3"/>
      <c r="F605" s="3"/>
      <c r="G605" s="3"/>
      <c r="H605" s="3"/>
      <c r="I605" s="3"/>
    </row>
    <row r="606">
      <c r="A606" s="4" t="s">
        <v>13439</v>
      </c>
      <c r="B606" s="13" t="s">
        <v>43</v>
      </c>
      <c r="D606" s="3"/>
      <c r="E606" s="3"/>
      <c r="F606" s="3"/>
      <c r="G606" s="3"/>
      <c r="H606" s="3"/>
      <c r="I606" s="3"/>
    </row>
    <row r="607">
      <c r="A607" s="4" t="s">
        <v>13440</v>
      </c>
      <c r="B607" s="13" t="s">
        <v>43</v>
      </c>
      <c r="D607" s="3"/>
      <c r="E607" s="3"/>
      <c r="F607" s="3"/>
      <c r="G607" s="3"/>
      <c r="H607" s="3"/>
      <c r="I607" s="3"/>
    </row>
    <row r="608">
      <c r="A608" s="4" t="s">
        <v>13441</v>
      </c>
      <c r="B608" s="13" t="s">
        <v>43</v>
      </c>
      <c r="D608" s="3"/>
      <c r="E608" s="3"/>
      <c r="F608" s="3"/>
      <c r="G608" s="3"/>
      <c r="H608" s="3"/>
      <c r="I608" s="3"/>
    </row>
    <row r="609">
      <c r="A609" s="4" t="s">
        <v>13442</v>
      </c>
      <c r="B609" s="13" t="s">
        <v>43</v>
      </c>
      <c r="D609" s="3"/>
      <c r="E609" s="3"/>
      <c r="F609" s="3"/>
      <c r="G609" s="3"/>
      <c r="H609" s="3"/>
      <c r="I609" s="3"/>
    </row>
    <row r="610">
      <c r="A610" s="4" t="s">
        <v>13443</v>
      </c>
      <c r="B610" s="13" t="s">
        <v>43</v>
      </c>
      <c r="D610" s="3"/>
      <c r="E610" s="3"/>
      <c r="F610" s="3"/>
      <c r="G610" s="3"/>
      <c r="H610" s="3"/>
      <c r="I610" s="3"/>
    </row>
    <row r="611">
      <c r="A611" s="4" t="s">
        <v>13444</v>
      </c>
      <c r="B611" s="13" t="s">
        <v>43</v>
      </c>
      <c r="D611" s="3"/>
      <c r="E611" s="3"/>
      <c r="F611" s="3"/>
      <c r="G611" s="3"/>
      <c r="H611" s="3"/>
      <c r="I611" s="3"/>
    </row>
    <row r="612">
      <c r="A612" s="4" t="s">
        <v>13445</v>
      </c>
      <c r="B612" s="13" t="s">
        <v>43</v>
      </c>
      <c r="D612" s="3"/>
      <c r="E612" s="3"/>
      <c r="F612" s="3"/>
      <c r="G612" s="3"/>
      <c r="H612" s="3"/>
      <c r="I612" s="3"/>
    </row>
    <row r="613">
      <c r="A613" s="4" t="s">
        <v>13446</v>
      </c>
      <c r="B613" s="13" t="s">
        <v>43</v>
      </c>
      <c r="D613" s="3"/>
      <c r="E613" s="3"/>
      <c r="F613" s="3"/>
      <c r="G613" s="3"/>
      <c r="H613" s="3"/>
      <c r="I613" s="3"/>
    </row>
    <row r="614">
      <c r="A614" s="4" t="s">
        <v>13447</v>
      </c>
      <c r="B614" s="13" t="s">
        <v>43</v>
      </c>
      <c r="D614" s="3"/>
      <c r="E614" s="3"/>
      <c r="F614" s="3"/>
      <c r="G614" s="3"/>
      <c r="H614" s="3"/>
      <c r="I614" s="3"/>
    </row>
    <row r="615">
      <c r="A615" s="4" t="s">
        <v>13448</v>
      </c>
      <c r="B615" s="13" t="s">
        <v>43</v>
      </c>
      <c r="D615" s="3"/>
      <c r="E615" s="3"/>
      <c r="F615" s="3"/>
      <c r="G615" s="3"/>
      <c r="H615" s="3"/>
      <c r="I615" s="3"/>
    </row>
    <row r="616">
      <c r="A616" s="4" t="s">
        <v>13449</v>
      </c>
      <c r="B616" s="13" t="s">
        <v>43</v>
      </c>
      <c r="D616" s="3"/>
      <c r="E616" s="3"/>
      <c r="F616" s="3"/>
      <c r="G616" s="3"/>
      <c r="H616" s="3"/>
      <c r="I616" s="3"/>
    </row>
    <row r="617">
      <c r="A617" s="4" t="s">
        <v>13450</v>
      </c>
      <c r="B617" s="13" t="s">
        <v>43</v>
      </c>
      <c r="D617" s="3"/>
      <c r="E617" s="3"/>
      <c r="F617" s="3"/>
      <c r="G617" s="3"/>
      <c r="H617" s="3"/>
      <c r="I617" s="3"/>
    </row>
    <row r="618">
      <c r="A618" s="4" t="s">
        <v>13451</v>
      </c>
      <c r="B618" s="13" t="s">
        <v>43</v>
      </c>
      <c r="D618" s="3"/>
      <c r="E618" s="3"/>
      <c r="F618" s="3"/>
      <c r="G618" s="3"/>
      <c r="H618" s="3"/>
      <c r="I618" s="3"/>
    </row>
    <row r="619">
      <c r="A619" s="4" t="s">
        <v>13452</v>
      </c>
      <c r="B619" s="13" t="s">
        <v>43</v>
      </c>
      <c r="D619" s="3"/>
      <c r="E619" s="3"/>
      <c r="F619" s="3"/>
      <c r="G619" s="3"/>
      <c r="H619" s="3"/>
      <c r="I619" s="3"/>
    </row>
    <row r="620">
      <c r="A620" s="4" t="s">
        <v>13453</v>
      </c>
      <c r="B620" s="13" t="s">
        <v>43</v>
      </c>
      <c r="D620" s="3"/>
      <c r="E620" s="3"/>
      <c r="F620" s="3"/>
      <c r="G620" s="3"/>
      <c r="H620" s="3"/>
      <c r="I620" s="3"/>
      <c r="J620" s="4" t="s">
        <v>1757</v>
      </c>
    </row>
    <row r="621">
      <c r="A621" s="4" t="s">
        <v>13454</v>
      </c>
      <c r="B621" s="13" t="s">
        <v>43</v>
      </c>
      <c r="D621" s="3"/>
      <c r="E621" s="3"/>
      <c r="F621" s="3"/>
      <c r="G621" s="3"/>
      <c r="H621" s="3"/>
      <c r="I621" s="3"/>
      <c r="J621" s="4" t="s">
        <v>1757</v>
      </c>
    </row>
    <row r="622">
      <c r="A622" s="4" t="s">
        <v>13455</v>
      </c>
      <c r="B622" s="13" t="s">
        <v>43</v>
      </c>
      <c r="D622" s="3"/>
      <c r="E622" s="3"/>
      <c r="F622" s="3"/>
      <c r="G622" s="3"/>
      <c r="H622" s="3"/>
      <c r="I622" s="3"/>
      <c r="J622" s="4" t="s">
        <v>1757</v>
      </c>
    </row>
    <row r="623">
      <c r="A623" s="4" t="s">
        <v>13456</v>
      </c>
      <c r="B623" s="13" t="s">
        <v>43</v>
      </c>
      <c r="D623" s="3"/>
      <c r="E623" s="3"/>
      <c r="F623" s="3"/>
      <c r="G623" s="3"/>
      <c r="H623" s="3"/>
      <c r="I623" s="3"/>
      <c r="J623" s="4" t="s">
        <v>1757</v>
      </c>
    </row>
    <row r="624">
      <c r="A624" s="4" t="s">
        <v>13457</v>
      </c>
      <c r="B624" s="13" t="s">
        <v>43</v>
      </c>
      <c r="D624" s="3"/>
      <c r="E624" s="3"/>
      <c r="F624" s="3"/>
      <c r="G624" s="3"/>
      <c r="H624" s="3"/>
      <c r="I624" s="3"/>
      <c r="J624" s="4" t="s">
        <v>1757</v>
      </c>
    </row>
    <row r="625">
      <c r="A625" s="4" t="s">
        <v>13458</v>
      </c>
      <c r="B625" s="13" t="s">
        <v>43</v>
      </c>
      <c r="D625" s="3"/>
      <c r="E625" s="3"/>
      <c r="F625" s="3"/>
      <c r="G625" s="3"/>
      <c r="H625" s="3"/>
      <c r="I625" s="3"/>
      <c r="J625" s="4" t="s">
        <v>1757</v>
      </c>
    </row>
    <row r="626">
      <c r="A626" s="4" t="s">
        <v>13459</v>
      </c>
      <c r="B626" s="13" t="s">
        <v>43</v>
      </c>
      <c r="D626" s="3"/>
      <c r="E626" s="3"/>
      <c r="F626" s="3"/>
      <c r="G626" s="3"/>
      <c r="H626" s="3"/>
      <c r="I626" s="3"/>
      <c r="J626" s="4" t="s">
        <v>1757</v>
      </c>
    </row>
    <row r="627">
      <c r="A627" s="4" t="s">
        <v>13460</v>
      </c>
      <c r="B627" s="13" t="s">
        <v>43</v>
      </c>
      <c r="D627" s="3"/>
      <c r="E627" s="3"/>
      <c r="F627" s="3"/>
      <c r="G627" s="3"/>
      <c r="H627" s="3"/>
      <c r="I627" s="3"/>
      <c r="J627" s="4" t="s">
        <v>1757</v>
      </c>
    </row>
    <row r="628">
      <c r="A628" s="4" t="s">
        <v>13461</v>
      </c>
      <c r="B628" s="13" t="s">
        <v>43</v>
      </c>
      <c r="D628" s="3"/>
      <c r="E628" s="3"/>
      <c r="F628" s="3"/>
      <c r="G628" s="3"/>
      <c r="H628" s="3"/>
      <c r="I628" s="3"/>
      <c r="J628" s="4" t="s">
        <v>1757</v>
      </c>
    </row>
    <row r="629">
      <c r="A629" s="4" t="s">
        <v>13462</v>
      </c>
      <c r="B629" s="13" t="s">
        <v>43</v>
      </c>
      <c r="D629" s="3"/>
      <c r="E629" s="3"/>
      <c r="F629" s="3"/>
      <c r="G629" s="3"/>
      <c r="H629" s="3"/>
      <c r="I629" s="3"/>
      <c r="J629" s="4" t="s">
        <v>1757</v>
      </c>
    </row>
    <row r="630">
      <c r="A630" s="4" t="s">
        <v>13463</v>
      </c>
      <c r="B630" s="13" t="s">
        <v>43</v>
      </c>
      <c r="D630" s="3"/>
      <c r="E630" s="3"/>
      <c r="F630" s="3"/>
      <c r="G630" s="3"/>
      <c r="H630" s="3"/>
      <c r="I630" s="3"/>
      <c r="J630" s="4" t="s">
        <v>1757</v>
      </c>
    </row>
    <row r="631">
      <c r="A631" s="4" t="s">
        <v>13464</v>
      </c>
      <c r="B631" s="13" t="s">
        <v>43</v>
      </c>
      <c r="D631" s="3"/>
      <c r="E631" s="3"/>
      <c r="F631" s="3"/>
      <c r="G631" s="3"/>
      <c r="H631" s="3"/>
      <c r="I631" s="3"/>
      <c r="J631" s="4" t="s">
        <v>1757</v>
      </c>
    </row>
    <row r="632">
      <c r="A632" s="4" t="s">
        <v>13465</v>
      </c>
      <c r="B632" s="13" t="s">
        <v>43</v>
      </c>
      <c r="D632" s="3"/>
      <c r="E632" s="3"/>
      <c r="F632" s="3"/>
      <c r="G632" s="3"/>
      <c r="H632" s="3"/>
      <c r="I632" s="3"/>
    </row>
    <row r="633">
      <c r="A633" s="4" t="s">
        <v>13466</v>
      </c>
      <c r="B633" s="13" t="s">
        <v>43</v>
      </c>
      <c r="D633" s="3"/>
      <c r="E633" s="3"/>
      <c r="F633" s="3"/>
      <c r="G633" s="3"/>
      <c r="H633" s="3"/>
      <c r="I633" s="3"/>
    </row>
    <row r="634">
      <c r="A634" s="4" t="s">
        <v>13467</v>
      </c>
      <c r="B634" s="13" t="s">
        <v>43</v>
      </c>
      <c r="D634" s="3"/>
      <c r="E634" s="3"/>
      <c r="F634" s="3"/>
      <c r="G634" s="3"/>
      <c r="H634" s="3"/>
      <c r="I634" s="3"/>
    </row>
    <row r="635">
      <c r="A635" s="4" t="s">
        <v>13468</v>
      </c>
      <c r="B635" s="13" t="s">
        <v>43</v>
      </c>
      <c r="D635" s="3"/>
      <c r="E635" s="3"/>
      <c r="F635" s="3"/>
      <c r="G635" s="3"/>
      <c r="H635" s="3"/>
      <c r="I635" s="3"/>
    </row>
    <row r="636">
      <c r="A636" s="4" t="s">
        <v>13469</v>
      </c>
      <c r="B636" s="13" t="s">
        <v>43</v>
      </c>
      <c r="D636" s="3"/>
      <c r="E636" s="3"/>
      <c r="F636" s="3"/>
      <c r="G636" s="3"/>
      <c r="H636" s="3"/>
      <c r="I636" s="3"/>
    </row>
    <row r="637">
      <c r="A637" s="4" t="s">
        <v>13470</v>
      </c>
      <c r="B637" s="13" t="s">
        <v>43</v>
      </c>
      <c r="D637" s="3"/>
      <c r="E637" s="3"/>
      <c r="F637" s="3"/>
      <c r="G637" s="3"/>
      <c r="H637" s="3"/>
      <c r="I637" s="3"/>
    </row>
    <row r="638">
      <c r="A638" s="4" t="s">
        <v>13471</v>
      </c>
      <c r="B638" s="13" t="s">
        <v>43</v>
      </c>
      <c r="D638" s="3"/>
      <c r="E638" s="3"/>
      <c r="F638" s="3"/>
      <c r="G638" s="3"/>
      <c r="H638" s="3"/>
      <c r="I638" s="3"/>
    </row>
    <row r="639">
      <c r="A639" s="4" t="s">
        <v>13472</v>
      </c>
      <c r="B639" s="13" t="s">
        <v>43</v>
      </c>
      <c r="D639" s="3"/>
      <c r="E639" s="3"/>
      <c r="F639" s="3"/>
      <c r="G639" s="3"/>
      <c r="H639" s="3"/>
      <c r="I639" s="3"/>
    </row>
    <row r="640">
      <c r="A640" s="4" t="s">
        <v>13473</v>
      </c>
      <c r="B640" s="13" t="s">
        <v>43</v>
      </c>
      <c r="D640" s="3"/>
      <c r="E640" s="3"/>
      <c r="F640" s="3"/>
      <c r="G640" s="3"/>
      <c r="H640" s="3"/>
      <c r="I640" s="3"/>
    </row>
    <row r="641">
      <c r="A641" s="4" t="s">
        <v>13474</v>
      </c>
      <c r="B641" s="13" t="s">
        <v>43</v>
      </c>
      <c r="D641" s="3"/>
      <c r="E641" s="3"/>
      <c r="F641" s="3"/>
      <c r="G641" s="3"/>
      <c r="H641" s="3"/>
      <c r="I641" s="3"/>
    </row>
    <row r="642">
      <c r="A642" s="4" t="s">
        <v>13475</v>
      </c>
      <c r="B642" s="13" t="s">
        <v>43</v>
      </c>
      <c r="D642" s="3"/>
      <c r="E642" s="3"/>
      <c r="F642" s="3"/>
      <c r="G642" s="3"/>
      <c r="H642" s="3"/>
      <c r="I642" s="3"/>
    </row>
    <row r="643">
      <c r="A643" s="4" t="s">
        <v>13476</v>
      </c>
      <c r="B643" s="13" t="s">
        <v>43</v>
      </c>
      <c r="D643" s="3"/>
      <c r="E643" s="3"/>
      <c r="F643" s="3"/>
      <c r="G643" s="3"/>
      <c r="H643" s="3"/>
      <c r="I643" s="3"/>
    </row>
    <row r="644">
      <c r="A644" s="4" t="s">
        <v>13477</v>
      </c>
      <c r="B644" s="19" t="s">
        <v>48</v>
      </c>
      <c r="C644" s="4">
        <v>1.0</v>
      </c>
      <c r="D644" s="3"/>
      <c r="E644" s="4">
        <v>2.0</v>
      </c>
      <c r="F644" s="3"/>
      <c r="G644" s="3"/>
      <c r="H644" s="3"/>
      <c r="I644" s="3"/>
    </row>
    <row r="645">
      <c r="A645" s="4" t="s">
        <v>13478</v>
      </c>
      <c r="B645" s="19" t="s">
        <v>48</v>
      </c>
      <c r="C645" s="4">
        <v>2.0</v>
      </c>
      <c r="D645" s="3"/>
      <c r="E645" s="4">
        <v>2.0</v>
      </c>
      <c r="F645" s="3"/>
      <c r="G645" s="3"/>
      <c r="H645" s="4">
        <v>13.0</v>
      </c>
      <c r="I645" s="3"/>
    </row>
    <row r="646">
      <c r="A646" s="4" t="s">
        <v>13479</v>
      </c>
      <c r="B646" s="19" t="s">
        <v>48</v>
      </c>
      <c r="C646" s="4">
        <v>2.0</v>
      </c>
      <c r="D646" s="3"/>
      <c r="E646" s="4">
        <v>2.0</v>
      </c>
      <c r="F646" s="3"/>
      <c r="G646" s="3"/>
      <c r="H646" s="4">
        <v>13.0</v>
      </c>
      <c r="I646" s="3"/>
    </row>
    <row r="647">
      <c r="A647" s="4" t="s">
        <v>13480</v>
      </c>
      <c r="B647" s="19" t="s">
        <v>48</v>
      </c>
      <c r="C647" s="4">
        <v>2.0</v>
      </c>
      <c r="D647" s="3"/>
      <c r="E647" s="4">
        <v>2.0</v>
      </c>
      <c r="F647" s="3"/>
      <c r="G647" s="3"/>
      <c r="H647" s="4">
        <v>13.0</v>
      </c>
      <c r="I647" s="3"/>
      <c r="J647" s="4" t="s">
        <v>1757</v>
      </c>
    </row>
    <row r="648">
      <c r="A648" s="4" t="s">
        <v>13481</v>
      </c>
      <c r="B648" s="19" t="s">
        <v>48</v>
      </c>
      <c r="C648" s="4">
        <v>2.0</v>
      </c>
      <c r="D648" s="3"/>
      <c r="E648" s="4">
        <v>2.0</v>
      </c>
      <c r="F648" s="3"/>
      <c r="G648" s="3"/>
      <c r="H648" s="4">
        <v>13.0</v>
      </c>
      <c r="I648" s="3"/>
    </row>
    <row r="649">
      <c r="A649" s="4" t="s">
        <v>13482</v>
      </c>
      <c r="B649" s="19" t="s">
        <v>48</v>
      </c>
      <c r="C649" s="4">
        <v>2.0</v>
      </c>
      <c r="D649" s="3"/>
      <c r="E649" s="4">
        <v>2.0</v>
      </c>
      <c r="F649" s="3"/>
      <c r="G649" s="3"/>
      <c r="H649" s="4">
        <v>13.0</v>
      </c>
      <c r="I649" s="3"/>
    </row>
    <row r="650">
      <c r="A650" s="4" t="s">
        <v>13483</v>
      </c>
      <c r="B650" s="19" t="s">
        <v>48</v>
      </c>
      <c r="C650" s="4">
        <v>2.0</v>
      </c>
      <c r="D650" s="3"/>
      <c r="E650" s="4">
        <v>2.0</v>
      </c>
      <c r="F650" s="3"/>
      <c r="G650" s="3"/>
      <c r="H650" s="4">
        <v>13.0</v>
      </c>
      <c r="I650" s="3"/>
      <c r="J650" s="4" t="s">
        <v>1757</v>
      </c>
    </row>
    <row r="651">
      <c r="A651" s="4" t="s">
        <v>13484</v>
      </c>
      <c r="B651" s="19" t="s">
        <v>48</v>
      </c>
      <c r="C651" s="4">
        <v>3.0</v>
      </c>
      <c r="D651" s="3"/>
      <c r="E651" s="4">
        <v>2.0</v>
      </c>
      <c r="F651" s="4">
        <v>9.0</v>
      </c>
      <c r="G651" s="3"/>
      <c r="H651" s="4">
        <v>13.0</v>
      </c>
      <c r="I651" s="3"/>
      <c r="J651" s="4" t="s">
        <v>1757</v>
      </c>
    </row>
    <row r="652">
      <c r="A652" s="4" t="s">
        <v>13485</v>
      </c>
      <c r="B652" s="27" t="s">
        <v>4536</v>
      </c>
    </row>
    <row r="653">
      <c r="A653" s="4" t="s">
        <v>13486</v>
      </c>
      <c r="B653" s="27" t="s">
        <v>4536</v>
      </c>
    </row>
    <row r="654">
      <c r="A654" s="4" t="s">
        <v>13487</v>
      </c>
      <c r="B654" s="27" t="s">
        <v>4536</v>
      </c>
    </row>
    <row r="655">
      <c r="A655" s="4" t="s">
        <v>13488</v>
      </c>
      <c r="B655" s="27" t="s">
        <v>4536</v>
      </c>
    </row>
    <row r="656">
      <c r="A656" s="4" t="s">
        <v>13489</v>
      </c>
      <c r="B656" s="27" t="s">
        <v>4536</v>
      </c>
    </row>
    <row r="657">
      <c r="A657" s="4" t="s">
        <v>13490</v>
      </c>
      <c r="B657" s="27" t="s">
        <v>4536</v>
      </c>
    </row>
    <row r="658">
      <c r="A658" s="4" t="s">
        <v>13491</v>
      </c>
      <c r="B658" s="27" t="s">
        <v>4536</v>
      </c>
    </row>
    <row r="659">
      <c r="A659" s="4" t="s">
        <v>13492</v>
      </c>
      <c r="B659" s="27" t="s">
        <v>4536</v>
      </c>
    </row>
    <row r="660">
      <c r="A660" s="4" t="s">
        <v>13493</v>
      </c>
      <c r="B660" s="27" t="s">
        <v>4536</v>
      </c>
    </row>
    <row r="661">
      <c r="A661" s="4" t="s">
        <v>13494</v>
      </c>
      <c r="B661" s="27" t="s">
        <v>4536</v>
      </c>
    </row>
    <row r="662">
      <c r="A662" s="4" t="s">
        <v>13495</v>
      </c>
      <c r="B662" s="27" t="s">
        <v>4536</v>
      </c>
    </row>
    <row r="663">
      <c r="A663" s="4" t="s">
        <v>13496</v>
      </c>
      <c r="B663" s="27" t="s">
        <v>4536</v>
      </c>
    </row>
    <row r="664">
      <c r="A664" s="4" t="s">
        <v>13497</v>
      </c>
      <c r="B664" s="27" t="s">
        <v>4536</v>
      </c>
    </row>
    <row r="665">
      <c r="A665" s="4" t="s">
        <v>13498</v>
      </c>
      <c r="B665" s="27" t="s">
        <v>4536</v>
      </c>
    </row>
    <row r="666">
      <c r="A666" s="4" t="s">
        <v>13499</v>
      </c>
      <c r="B666" s="27" t="s">
        <v>4536</v>
      </c>
    </row>
    <row r="667">
      <c r="A667" s="4" t="s">
        <v>13500</v>
      </c>
      <c r="B667" s="27" t="s">
        <v>4536</v>
      </c>
    </row>
    <row r="668">
      <c r="A668" s="4" t="s">
        <v>13501</v>
      </c>
      <c r="B668" s="27" t="s">
        <v>4536</v>
      </c>
    </row>
    <row r="669">
      <c r="A669" s="4" t="s">
        <v>13502</v>
      </c>
      <c r="B669" s="27" t="s">
        <v>4536</v>
      </c>
    </row>
    <row r="670">
      <c r="A670" s="4" t="s">
        <v>13503</v>
      </c>
      <c r="B670" s="27" t="s">
        <v>4536</v>
      </c>
    </row>
    <row r="671">
      <c r="A671" s="4" t="s">
        <v>13504</v>
      </c>
      <c r="B671" s="27" t="s">
        <v>4536</v>
      </c>
    </row>
    <row r="672">
      <c r="A672" s="4" t="s">
        <v>13505</v>
      </c>
      <c r="B672" s="27" t="s">
        <v>4536</v>
      </c>
    </row>
    <row r="673">
      <c r="A673" s="4" t="s">
        <v>13506</v>
      </c>
      <c r="B673" s="27" t="s">
        <v>4536</v>
      </c>
    </row>
    <row r="674">
      <c r="A674" s="4" t="s">
        <v>13507</v>
      </c>
      <c r="B674" s="27" t="s">
        <v>4536</v>
      </c>
    </row>
    <row r="675">
      <c r="A675" s="4" t="s">
        <v>13508</v>
      </c>
      <c r="B675" s="27" t="s">
        <v>4536</v>
      </c>
    </row>
    <row r="676">
      <c r="A676" s="4" t="s">
        <v>13509</v>
      </c>
      <c r="B676" s="27" t="s">
        <v>4536</v>
      </c>
    </row>
    <row r="677">
      <c r="A677" s="4" t="s">
        <v>13510</v>
      </c>
      <c r="B677" s="27" t="s">
        <v>4536</v>
      </c>
    </row>
    <row r="678">
      <c r="A678" s="4" t="s">
        <v>13511</v>
      </c>
      <c r="B678" s="27" t="s">
        <v>4536</v>
      </c>
    </row>
    <row r="679">
      <c r="A679" s="4" t="s">
        <v>13512</v>
      </c>
      <c r="B679" s="27" t="s">
        <v>4536</v>
      </c>
    </row>
    <row r="680">
      <c r="A680" s="4" t="s">
        <v>13513</v>
      </c>
      <c r="B680" s="27" t="s">
        <v>4536</v>
      </c>
    </row>
    <row r="681">
      <c r="A681" s="4" t="s">
        <v>13514</v>
      </c>
      <c r="B681" s="27" t="s">
        <v>4536</v>
      </c>
    </row>
    <row r="682">
      <c r="A682" s="4" t="s">
        <v>13515</v>
      </c>
      <c r="B682" s="27" t="s">
        <v>4536</v>
      </c>
    </row>
    <row r="683">
      <c r="A683" s="4" t="s">
        <v>13516</v>
      </c>
      <c r="B683" s="27" t="s">
        <v>4536</v>
      </c>
    </row>
    <row r="684">
      <c r="A684" s="4" t="s">
        <v>13517</v>
      </c>
      <c r="B684" s="27" t="s">
        <v>4536</v>
      </c>
    </row>
    <row r="685">
      <c r="A685" s="4" t="s">
        <v>13518</v>
      </c>
      <c r="B685" s="27" t="s">
        <v>4536</v>
      </c>
    </row>
    <row r="686">
      <c r="A686" s="4" t="s">
        <v>13519</v>
      </c>
      <c r="B686" s="27" t="s">
        <v>4536</v>
      </c>
    </row>
    <row r="687">
      <c r="A687" s="4" t="s">
        <v>13520</v>
      </c>
      <c r="B687" s="27" t="s">
        <v>4536</v>
      </c>
    </row>
    <row r="688">
      <c r="A688" s="4" t="s">
        <v>13521</v>
      </c>
      <c r="B688" s="27" t="s">
        <v>4536</v>
      </c>
    </row>
    <row r="689">
      <c r="A689" s="4" t="s">
        <v>13522</v>
      </c>
      <c r="B689" s="27" t="s">
        <v>4536</v>
      </c>
    </row>
    <row r="690">
      <c r="A690" s="4" t="s">
        <v>13523</v>
      </c>
      <c r="B690" s="27" t="s">
        <v>4536</v>
      </c>
    </row>
    <row r="691">
      <c r="A691" s="4" t="s">
        <v>13524</v>
      </c>
      <c r="B691" s="27" t="s">
        <v>4536</v>
      </c>
    </row>
    <row r="692">
      <c r="A692" s="4" t="s">
        <v>13525</v>
      </c>
      <c r="B692" s="27" t="s">
        <v>4536</v>
      </c>
    </row>
    <row r="693">
      <c r="A693" s="4" t="s">
        <v>13526</v>
      </c>
      <c r="B693" s="27" t="s">
        <v>4536</v>
      </c>
    </row>
    <row r="694">
      <c r="A694" s="4" t="s">
        <v>13527</v>
      </c>
      <c r="B694" s="27" t="s">
        <v>4536</v>
      </c>
    </row>
    <row r="695">
      <c r="A695" s="4" t="s">
        <v>13528</v>
      </c>
      <c r="B695" s="27" t="s">
        <v>4536</v>
      </c>
    </row>
    <row r="696">
      <c r="A696" s="4" t="s">
        <v>13529</v>
      </c>
      <c r="B696" s="27" t="s">
        <v>4536</v>
      </c>
    </row>
    <row r="697">
      <c r="A697" s="4" t="s">
        <v>13530</v>
      </c>
      <c r="B697" s="28" t="s">
        <v>7513</v>
      </c>
    </row>
    <row r="698">
      <c r="A698" s="4" t="s">
        <v>13531</v>
      </c>
      <c r="B698" s="28" t="s">
        <v>7513</v>
      </c>
    </row>
    <row r="699">
      <c r="A699" s="4" t="s">
        <v>13532</v>
      </c>
      <c r="B699" s="28" t="s">
        <v>7513</v>
      </c>
    </row>
    <row r="700">
      <c r="A700" s="4" t="s">
        <v>13533</v>
      </c>
      <c r="B700" s="28" t="s">
        <v>7513</v>
      </c>
    </row>
    <row r="701">
      <c r="A701" s="4" t="s">
        <v>13534</v>
      </c>
      <c r="B701" s="28" t="s">
        <v>7513</v>
      </c>
    </row>
    <row r="702">
      <c r="A702" s="4" t="s">
        <v>13535</v>
      </c>
      <c r="B702" s="28" t="s">
        <v>7513</v>
      </c>
    </row>
    <row r="703">
      <c r="A703" s="4" t="s">
        <v>13536</v>
      </c>
      <c r="B703" s="28" t="s">
        <v>7513</v>
      </c>
    </row>
    <row r="704">
      <c r="A704" s="4" t="s">
        <v>13537</v>
      </c>
      <c r="B704" s="28" t="s">
        <v>7513</v>
      </c>
    </row>
    <row r="705">
      <c r="A705" s="4" t="s">
        <v>13538</v>
      </c>
      <c r="B705" s="28" t="s">
        <v>7513</v>
      </c>
    </row>
    <row r="706">
      <c r="A706" s="4" t="s">
        <v>13539</v>
      </c>
      <c r="B706" s="28" t="s">
        <v>7513</v>
      </c>
    </row>
    <row r="707">
      <c r="A707" s="4" t="s">
        <v>13540</v>
      </c>
      <c r="B707" s="28" t="s">
        <v>7513</v>
      </c>
    </row>
    <row r="708">
      <c r="A708" s="4" t="s">
        <v>13541</v>
      </c>
      <c r="B708" s="28" t="s">
        <v>7513</v>
      </c>
    </row>
    <row r="709">
      <c r="A709" s="4" t="s">
        <v>13542</v>
      </c>
      <c r="B709" s="28" t="s">
        <v>7513</v>
      </c>
    </row>
    <row r="710">
      <c r="A710" s="4" t="s">
        <v>13543</v>
      </c>
      <c r="B710" s="28" t="s">
        <v>7513</v>
      </c>
    </row>
    <row r="711">
      <c r="A711" s="4" t="s">
        <v>13544</v>
      </c>
      <c r="B711" s="28" t="s">
        <v>7513</v>
      </c>
    </row>
    <row r="712">
      <c r="A712" s="4" t="s">
        <v>13545</v>
      </c>
      <c r="B712" s="28" t="s">
        <v>7513</v>
      </c>
    </row>
    <row r="713">
      <c r="A713" s="4" t="s">
        <v>13546</v>
      </c>
      <c r="B713" s="28" t="s">
        <v>7513</v>
      </c>
    </row>
    <row r="714">
      <c r="A714" s="4" t="s">
        <v>13547</v>
      </c>
      <c r="B714" s="28" t="s">
        <v>7513</v>
      </c>
    </row>
    <row r="715">
      <c r="A715" s="4" t="s">
        <v>13548</v>
      </c>
      <c r="B715" s="28" t="s">
        <v>7513</v>
      </c>
    </row>
    <row r="716">
      <c r="A716" s="4" t="s">
        <v>13549</v>
      </c>
      <c r="B716" s="28" t="s">
        <v>7513</v>
      </c>
    </row>
    <row r="717">
      <c r="A717" s="4" t="s">
        <v>13550</v>
      </c>
      <c r="B717" s="28" t="s">
        <v>7513</v>
      </c>
    </row>
    <row r="718">
      <c r="A718" s="4" t="s">
        <v>13551</v>
      </c>
      <c r="B718" s="28" t="s">
        <v>7513</v>
      </c>
    </row>
    <row r="719">
      <c r="A719" s="4" t="s">
        <v>13552</v>
      </c>
      <c r="B719" s="28" t="s">
        <v>7513</v>
      </c>
    </row>
    <row r="720">
      <c r="A720" s="4" t="s">
        <v>13553</v>
      </c>
      <c r="B720" s="28" t="s">
        <v>7513</v>
      </c>
    </row>
    <row r="721">
      <c r="A721" s="4" t="s">
        <v>13554</v>
      </c>
      <c r="B721" s="28" t="s">
        <v>7513</v>
      </c>
    </row>
    <row r="722">
      <c r="A722" s="4" t="s">
        <v>13555</v>
      </c>
      <c r="B722" s="28" t="s">
        <v>7513</v>
      </c>
    </row>
    <row r="723">
      <c r="A723" s="4" t="s">
        <v>13556</v>
      </c>
      <c r="B723" s="28" t="s">
        <v>7513</v>
      </c>
    </row>
    <row r="724">
      <c r="A724" s="4" t="s">
        <v>13557</v>
      </c>
      <c r="B724" s="28" t="s">
        <v>7513</v>
      </c>
    </row>
    <row r="725">
      <c r="A725" s="4" t="s">
        <v>13558</v>
      </c>
      <c r="B725" s="28" t="s">
        <v>7513</v>
      </c>
    </row>
    <row r="726">
      <c r="A726" s="4" t="s">
        <v>13559</v>
      </c>
      <c r="B726" s="28" t="s">
        <v>7513</v>
      </c>
    </row>
    <row r="727">
      <c r="A727" s="4" t="s">
        <v>13560</v>
      </c>
      <c r="B727" s="28" t="s">
        <v>7513</v>
      </c>
    </row>
    <row r="728">
      <c r="A728" s="4" t="s">
        <v>13561</v>
      </c>
      <c r="B728" s="28" t="s">
        <v>7513</v>
      </c>
    </row>
    <row r="729">
      <c r="A729" s="4" t="s">
        <v>13562</v>
      </c>
      <c r="B729" s="28" t="s">
        <v>7513</v>
      </c>
    </row>
    <row r="730">
      <c r="A730" s="4" t="s">
        <v>13563</v>
      </c>
      <c r="B730" s="28" t="s">
        <v>7513</v>
      </c>
    </row>
    <row r="731">
      <c r="A731" s="4" t="s">
        <v>13564</v>
      </c>
      <c r="B731" s="28" t="s">
        <v>7513</v>
      </c>
    </row>
    <row r="732">
      <c r="A732" s="4" t="s">
        <v>13565</v>
      </c>
      <c r="B732" s="28" t="s">
        <v>7513</v>
      </c>
    </row>
    <row r="733">
      <c r="A733" s="4" t="s">
        <v>13566</v>
      </c>
      <c r="B733" s="28" t="s">
        <v>7513</v>
      </c>
    </row>
    <row r="734">
      <c r="A734" s="4" t="s">
        <v>13567</v>
      </c>
      <c r="B734" s="28" t="s">
        <v>7513</v>
      </c>
    </row>
    <row r="735">
      <c r="A735" s="4" t="s">
        <v>13568</v>
      </c>
      <c r="B735" s="28" t="s">
        <v>7513</v>
      </c>
    </row>
    <row r="736">
      <c r="A736" s="4" t="s">
        <v>13569</v>
      </c>
      <c r="B736" s="28" t="s">
        <v>7513</v>
      </c>
    </row>
    <row r="737">
      <c r="A737" s="4" t="s">
        <v>13570</v>
      </c>
      <c r="B737" s="28" t="s">
        <v>7513</v>
      </c>
    </row>
    <row r="738">
      <c r="A738" s="4" t="s">
        <v>13571</v>
      </c>
      <c r="B738" s="28" t="s">
        <v>7513</v>
      </c>
    </row>
    <row r="739">
      <c r="A739" s="4" t="s">
        <v>13572</v>
      </c>
      <c r="B739" s="28" t="s">
        <v>7513</v>
      </c>
    </row>
    <row r="740">
      <c r="A740" s="4" t="s">
        <v>13573</v>
      </c>
      <c r="B740" s="28" t="s">
        <v>7513</v>
      </c>
    </row>
    <row r="741">
      <c r="A741" s="4" t="s">
        <v>13574</v>
      </c>
      <c r="B741" s="28" t="s">
        <v>7513</v>
      </c>
    </row>
    <row r="742">
      <c r="A742" s="4" t="s">
        <v>13575</v>
      </c>
      <c r="B742" s="28" t="s">
        <v>7513</v>
      </c>
    </row>
    <row r="743">
      <c r="A743" s="4" t="s">
        <v>13576</v>
      </c>
      <c r="B743" s="28" t="s">
        <v>7513</v>
      </c>
    </row>
    <row r="744">
      <c r="A744" s="4" t="s">
        <v>13577</v>
      </c>
      <c r="B744" s="28" t="s">
        <v>7513</v>
      </c>
    </row>
    <row r="745">
      <c r="A745" s="4" t="s">
        <v>13578</v>
      </c>
      <c r="B745" s="28" t="s">
        <v>7513</v>
      </c>
    </row>
    <row r="746">
      <c r="A746" s="4" t="s">
        <v>13579</v>
      </c>
      <c r="B746" s="28" t="s">
        <v>7513</v>
      </c>
    </row>
    <row r="747">
      <c r="A747" s="4" t="s">
        <v>13580</v>
      </c>
      <c r="B747" s="28" t="s">
        <v>7513</v>
      </c>
    </row>
    <row r="748">
      <c r="A748" s="4" t="s">
        <v>13581</v>
      </c>
      <c r="B748" s="28" t="s">
        <v>7513</v>
      </c>
    </row>
    <row r="749">
      <c r="A749" s="4" t="s">
        <v>13582</v>
      </c>
      <c r="B749" s="28" t="s">
        <v>7513</v>
      </c>
    </row>
    <row r="750">
      <c r="A750" s="4" t="s">
        <v>13583</v>
      </c>
      <c r="B750" s="28" t="s">
        <v>7513</v>
      </c>
    </row>
    <row r="751">
      <c r="A751" s="4" t="s">
        <v>13584</v>
      </c>
      <c r="B751" s="28" t="s">
        <v>7513</v>
      </c>
    </row>
    <row r="752">
      <c r="A752" s="4" t="s">
        <v>13585</v>
      </c>
      <c r="B752" s="28" t="s">
        <v>7513</v>
      </c>
    </row>
    <row r="753">
      <c r="A753" s="4" t="s">
        <v>13586</v>
      </c>
      <c r="B753" s="28" t="s">
        <v>7513</v>
      </c>
    </row>
    <row r="754">
      <c r="A754" s="4" t="s">
        <v>13587</v>
      </c>
      <c r="B754" s="28" t="s">
        <v>7513</v>
      </c>
    </row>
    <row r="755">
      <c r="A755" s="4" t="s">
        <v>13588</v>
      </c>
      <c r="B755" s="28" t="s">
        <v>7513</v>
      </c>
    </row>
    <row r="756">
      <c r="A756" s="4" t="s">
        <v>13589</v>
      </c>
      <c r="B756" s="28" t="s">
        <v>7513</v>
      </c>
    </row>
    <row r="757">
      <c r="A757" s="4" t="s">
        <v>13590</v>
      </c>
      <c r="B757" s="28" t="s">
        <v>7513</v>
      </c>
    </row>
    <row r="758">
      <c r="A758" s="4" t="s">
        <v>13591</v>
      </c>
      <c r="B758" s="28" t="s">
        <v>7513</v>
      </c>
    </row>
    <row r="759">
      <c r="A759" s="4" t="s">
        <v>13592</v>
      </c>
      <c r="B759" s="28" t="s">
        <v>7513</v>
      </c>
    </row>
    <row r="760">
      <c r="A760" s="4" t="s">
        <v>13593</v>
      </c>
      <c r="B760" s="28" t="s">
        <v>7513</v>
      </c>
    </row>
    <row r="761">
      <c r="A761" s="4" t="s">
        <v>13594</v>
      </c>
      <c r="B761" s="28" t="s">
        <v>7513</v>
      </c>
    </row>
    <row r="762">
      <c r="A762" s="4" t="s">
        <v>13595</v>
      </c>
      <c r="B762" s="28" t="s">
        <v>7513</v>
      </c>
    </row>
    <row r="763">
      <c r="A763" s="4" t="s">
        <v>13596</v>
      </c>
      <c r="B763" s="28" t="s">
        <v>7513</v>
      </c>
    </row>
    <row r="764">
      <c r="A764" s="4" t="s">
        <v>13597</v>
      </c>
      <c r="B764" s="28" t="s">
        <v>7513</v>
      </c>
    </row>
    <row r="765">
      <c r="A765" s="4" t="s">
        <v>13598</v>
      </c>
      <c r="B765" s="28" t="s">
        <v>7513</v>
      </c>
    </row>
    <row r="766">
      <c r="A766" s="4" t="s">
        <v>13599</v>
      </c>
      <c r="B766" s="28" t="s">
        <v>7513</v>
      </c>
    </row>
    <row r="767">
      <c r="A767" s="4" t="s">
        <v>13600</v>
      </c>
      <c r="B767" s="28" t="s">
        <v>7513</v>
      </c>
    </row>
    <row r="768">
      <c r="A768" s="4" t="s">
        <v>13601</v>
      </c>
      <c r="B768" s="28" t="s">
        <v>7513</v>
      </c>
    </row>
    <row r="769">
      <c r="A769" s="4" t="s">
        <v>13602</v>
      </c>
      <c r="B769" s="28" t="s">
        <v>7513</v>
      </c>
    </row>
    <row r="770">
      <c r="A770" s="4" t="s">
        <v>13603</v>
      </c>
      <c r="B770" s="28" t="s">
        <v>7513</v>
      </c>
    </row>
    <row r="771">
      <c r="A771" s="4" t="s">
        <v>13604</v>
      </c>
      <c r="B771" s="28" t="s">
        <v>7513</v>
      </c>
    </row>
    <row r="772">
      <c r="A772" s="4" t="s">
        <v>13605</v>
      </c>
      <c r="B772" s="28" t="s">
        <v>7513</v>
      </c>
    </row>
    <row r="773">
      <c r="A773" s="4" t="s">
        <v>13606</v>
      </c>
      <c r="B773" s="28" t="s">
        <v>7513</v>
      </c>
    </row>
    <row r="774">
      <c r="A774" s="4" t="s">
        <v>13607</v>
      </c>
      <c r="B774" s="28" t="s">
        <v>7513</v>
      </c>
    </row>
    <row r="775">
      <c r="A775" s="4" t="s">
        <v>13608</v>
      </c>
      <c r="B775" s="28" t="s">
        <v>7513</v>
      </c>
    </row>
    <row r="776">
      <c r="A776" s="4" t="s">
        <v>13609</v>
      </c>
      <c r="B776" s="28" t="s">
        <v>7513</v>
      </c>
    </row>
    <row r="777">
      <c r="A777" s="4" t="s">
        <v>13610</v>
      </c>
      <c r="B777" s="28" t="s">
        <v>7513</v>
      </c>
    </row>
    <row r="778">
      <c r="A778" s="4" t="s">
        <v>13611</v>
      </c>
      <c r="B778" s="28" t="s">
        <v>7513</v>
      </c>
    </row>
    <row r="779">
      <c r="A779" s="4" t="s">
        <v>13612</v>
      </c>
      <c r="B779" s="28" t="s">
        <v>7513</v>
      </c>
    </row>
    <row r="780">
      <c r="A780" s="4" t="s">
        <v>13613</v>
      </c>
      <c r="B780" s="28" t="s">
        <v>7513</v>
      </c>
    </row>
    <row r="781">
      <c r="A781" s="4" t="s">
        <v>13614</v>
      </c>
      <c r="B781" s="28" t="s">
        <v>7513</v>
      </c>
    </row>
    <row r="782">
      <c r="A782" s="4" t="s">
        <v>13615</v>
      </c>
      <c r="B782" s="28" t="s">
        <v>7513</v>
      </c>
    </row>
    <row r="783">
      <c r="A783" s="4" t="s">
        <v>13616</v>
      </c>
      <c r="B783" s="28" t="s">
        <v>7513</v>
      </c>
    </row>
    <row r="784">
      <c r="A784" s="4" t="s">
        <v>13617</v>
      </c>
      <c r="B784" s="28" t="s">
        <v>7513</v>
      </c>
    </row>
    <row r="785">
      <c r="A785" s="4" t="s">
        <v>13618</v>
      </c>
      <c r="B785" s="28" t="s">
        <v>7513</v>
      </c>
    </row>
    <row r="786">
      <c r="A786" s="4" t="s">
        <v>13619</v>
      </c>
      <c r="B786" s="28" t="s">
        <v>7513</v>
      </c>
    </row>
    <row r="787">
      <c r="A787" s="4" t="s">
        <v>13620</v>
      </c>
      <c r="B787" s="28" t="s">
        <v>7513</v>
      </c>
    </row>
    <row r="788">
      <c r="A788" s="4" t="s">
        <v>13621</v>
      </c>
      <c r="B788" s="28" t="s">
        <v>7513</v>
      </c>
    </row>
    <row r="789">
      <c r="A789" s="4" t="s">
        <v>13622</v>
      </c>
      <c r="B789" s="28" t="s">
        <v>7513</v>
      </c>
    </row>
    <row r="790">
      <c r="A790" s="4" t="s">
        <v>13623</v>
      </c>
      <c r="B790" s="28" t="s">
        <v>7513</v>
      </c>
    </row>
    <row r="791">
      <c r="A791" s="4" t="s">
        <v>13624</v>
      </c>
      <c r="B791" s="28" t="s">
        <v>7513</v>
      </c>
    </row>
    <row r="792">
      <c r="A792" s="4" t="s">
        <v>13625</v>
      </c>
      <c r="B792" s="28" t="s">
        <v>7513</v>
      </c>
    </row>
    <row r="793">
      <c r="A793" s="4" t="s">
        <v>13626</v>
      </c>
      <c r="B793" s="28" t="s">
        <v>7513</v>
      </c>
    </row>
    <row r="794">
      <c r="A794" s="4" t="s">
        <v>13627</v>
      </c>
      <c r="B794" s="28" t="s">
        <v>7513</v>
      </c>
    </row>
    <row r="795">
      <c r="A795" s="4" t="s">
        <v>13628</v>
      </c>
      <c r="B795" s="28" t="s">
        <v>7513</v>
      </c>
    </row>
    <row r="796">
      <c r="A796" s="4" t="s">
        <v>13629</v>
      </c>
      <c r="B796" s="28" t="s">
        <v>7513</v>
      </c>
    </row>
    <row r="797">
      <c r="A797" s="4" t="s">
        <v>13630</v>
      </c>
      <c r="B797" s="28" t="s">
        <v>7513</v>
      </c>
    </row>
    <row r="798">
      <c r="A798" s="4" t="s">
        <v>13631</v>
      </c>
      <c r="B798" s="28" t="s">
        <v>7513</v>
      </c>
    </row>
    <row r="799">
      <c r="A799" s="4" t="s">
        <v>13632</v>
      </c>
      <c r="B799" s="28" t="s">
        <v>7513</v>
      </c>
    </row>
    <row r="800">
      <c r="A800" s="4" t="s">
        <v>13633</v>
      </c>
      <c r="B800" s="28" t="s">
        <v>7513</v>
      </c>
    </row>
    <row r="801">
      <c r="A801" s="4" t="s">
        <v>13634</v>
      </c>
      <c r="B801" s="28" t="s">
        <v>7513</v>
      </c>
    </row>
    <row r="802">
      <c r="A802" s="4" t="s">
        <v>13635</v>
      </c>
      <c r="B802" s="28" t="s">
        <v>7513</v>
      </c>
    </row>
    <row r="803">
      <c r="A803" s="4" t="s">
        <v>13636</v>
      </c>
      <c r="B803" s="28" t="s">
        <v>7513</v>
      </c>
    </row>
    <row r="804">
      <c r="A804" s="4" t="s">
        <v>13637</v>
      </c>
      <c r="B804" s="28" t="s">
        <v>7513</v>
      </c>
    </row>
    <row r="805">
      <c r="A805" s="4" t="s">
        <v>13638</v>
      </c>
      <c r="B805" s="28" t="s">
        <v>7513</v>
      </c>
    </row>
    <row r="806">
      <c r="A806" s="4" t="s">
        <v>13639</v>
      </c>
      <c r="B806" s="28" t="s">
        <v>7513</v>
      </c>
    </row>
    <row r="807">
      <c r="A807" s="4" t="s">
        <v>13640</v>
      </c>
      <c r="B807" s="28" t="s">
        <v>7513</v>
      </c>
    </row>
    <row r="808">
      <c r="A808" s="4" t="s">
        <v>13641</v>
      </c>
      <c r="B808" s="28" t="s">
        <v>7513</v>
      </c>
    </row>
    <row r="809">
      <c r="A809" s="4" t="s">
        <v>13642</v>
      </c>
      <c r="B809" s="28" t="s">
        <v>7513</v>
      </c>
    </row>
    <row r="810">
      <c r="A810" s="4" t="s">
        <v>13643</v>
      </c>
      <c r="B810" s="28" t="s">
        <v>7513</v>
      </c>
    </row>
    <row r="811">
      <c r="A811" s="4" t="s">
        <v>13644</v>
      </c>
      <c r="B811" s="28" t="s">
        <v>7513</v>
      </c>
    </row>
    <row r="812">
      <c r="A812" s="4" t="s">
        <v>13645</v>
      </c>
      <c r="B812" s="28" t="s">
        <v>7513</v>
      </c>
    </row>
    <row r="813">
      <c r="A813" s="4" t="s">
        <v>13646</v>
      </c>
      <c r="B813" s="28" t="s">
        <v>7513</v>
      </c>
    </row>
    <row r="814">
      <c r="A814" s="4" t="s">
        <v>13647</v>
      </c>
      <c r="B814" s="28" t="s">
        <v>7513</v>
      </c>
    </row>
    <row r="815">
      <c r="A815" s="4" t="s">
        <v>13648</v>
      </c>
      <c r="B815" s="28" t="s">
        <v>7513</v>
      </c>
    </row>
    <row r="816">
      <c r="A816" s="4" t="s">
        <v>13649</v>
      </c>
      <c r="B816" s="28" t="s">
        <v>7513</v>
      </c>
    </row>
    <row r="817">
      <c r="A817" s="4" t="s">
        <v>13650</v>
      </c>
      <c r="B817" s="28" t="s">
        <v>7513</v>
      </c>
    </row>
    <row r="818">
      <c r="A818" s="4" t="s">
        <v>13651</v>
      </c>
      <c r="B818" s="28" t="s">
        <v>7513</v>
      </c>
    </row>
    <row r="819">
      <c r="A819" s="4" t="s">
        <v>13652</v>
      </c>
      <c r="B819" s="28" t="s">
        <v>7513</v>
      </c>
    </row>
    <row r="820">
      <c r="A820" s="4" t="s">
        <v>13653</v>
      </c>
      <c r="B820" s="28" t="s">
        <v>7513</v>
      </c>
    </row>
    <row r="821">
      <c r="A821" s="4" t="s">
        <v>13654</v>
      </c>
      <c r="B821" s="28" t="s">
        <v>7513</v>
      </c>
    </row>
    <row r="822">
      <c r="A822" s="4" t="s">
        <v>13655</v>
      </c>
      <c r="B822" s="28" t="s">
        <v>7513</v>
      </c>
    </row>
    <row r="823">
      <c r="A823" s="4" t="s">
        <v>13656</v>
      </c>
      <c r="B823" s="28" t="s">
        <v>7513</v>
      </c>
    </row>
    <row r="824">
      <c r="A824" s="4" t="s">
        <v>13657</v>
      </c>
      <c r="B824" s="28" t="s">
        <v>7513</v>
      </c>
    </row>
    <row r="825">
      <c r="A825" s="4" t="s">
        <v>13658</v>
      </c>
      <c r="B825" s="28" t="s">
        <v>7513</v>
      </c>
    </row>
    <row r="826">
      <c r="A826" s="4" t="s">
        <v>13659</v>
      </c>
      <c r="B826" s="28" t="s">
        <v>7513</v>
      </c>
    </row>
    <row r="827">
      <c r="A827" s="4" t="s">
        <v>13660</v>
      </c>
      <c r="B827" s="28" t="s">
        <v>7513</v>
      </c>
    </row>
    <row r="828">
      <c r="A828" s="4" t="s">
        <v>13661</v>
      </c>
      <c r="B828" s="28" t="s">
        <v>7513</v>
      </c>
    </row>
    <row r="829">
      <c r="A829" s="4" t="s">
        <v>13662</v>
      </c>
      <c r="B829" s="28" t="s">
        <v>7513</v>
      </c>
    </row>
    <row r="830">
      <c r="A830" s="4" t="s">
        <v>13663</v>
      </c>
      <c r="B830" s="28" t="s">
        <v>7513</v>
      </c>
    </row>
    <row r="831">
      <c r="A831" s="4" t="s">
        <v>13664</v>
      </c>
      <c r="B831" s="28" t="s">
        <v>7513</v>
      </c>
    </row>
    <row r="832">
      <c r="A832" s="4" t="s">
        <v>13665</v>
      </c>
      <c r="B832" s="28" t="s">
        <v>7513</v>
      </c>
    </row>
    <row r="833">
      <c r="A833" s="4" t="s">
        <v>13666</v>
      </c>
      <c r="B833" s="28" t="s">
        <v>7513</v>
      </c>
    </row>
    <row r="834">
      <c r="A834" s="4" t="s">
        <v>13667</v>
      </c>
      <c r="B834" s="28" t="s">
        <v>7513</v>
      </c>
    </row>
    <row r="835">
      <c r="A835" s="4" t="s">
        <v>13668</v>
      </c>
      <c r="B835" s="28" t="s">
        <v>7513</v>
      </c>
    </row>
    <row r="836">
      <c r="A836" s="4" t="s">
        <v>13669</v>
      </c>
      <c r="B836" s="28" t="s">
        <v>7513</v>
      </c>
    </row>
    <row r="837">
      <c r="A837" s="4" t="s">
        <v>13670</v>
      </c>
      <c r="B837" s="28" t="s">
        <v>7513</v>
      </c>
    </row>
    <row r="838">
      <c r="A838" s="4" t="s">
        <v>13671</v>
      </c>
      <c r="B838" s="28" t="s">
        <v>7513</v>
      </c>
    </row>
    <row r="839">
      <c r="A839" s="4" t="s">
        <v>13672</v>
      </c>
      <c r="B839" s="28" t="s">
        <v>7513</v>
      </c>
    </row>
    <row r="840">
      <c r="A840" s="4" t="s">
        <v>13673</v>
      </c>
      <c r="B840" s="28" t="s">
        <v>7513</v>
      </c>
    </row>
    <row r="841">
      <c r="A841" s="4" t="s">
        <v>13674</v>
      </c>
      <c r="B841" s="28" t="s">
        <v>7513</v>
      </c>
    </row>
    <row r="842">
      <c r="A842" s="4" t="s">
        <v>13675</v>
      </c>
      <c r="B842" s="28" t="s">
        <v>7513</v>
      </c>
    </row>
    <row r="843">
      <c r="A843" s="4" t="s">
        <v>13676</v>
      </c>
      <c r="B843" s="28" t="s">
        <v>7513</v>
      </c>
    </row>
    <row r="844">
      <c r="A844" s="4" t="s">
        <v>13677</v>
      </c>
      <c r="B844" s="28" t="s">
        <v>7513</v>
      </c>
    </row>
    <row r="845">
      <c r="A845" s="4" t="s">
        <v>13678</v>
      </c>
      <c r="B845" s="28" t="s">
        <v>7513</v>
      </c>
    </row>
    <row r="846">
      <c r="A846" s="4" t="s">
        <v>13679</v>
      </c>
      <c r="B846" s="28" t="s">
        <v>7513</v>
      </c>
    </row>
    <row r="847">
      <c r="A847" s="4" t="s">
        <v>13680</v>
      </c>
      <c r="B847" s="28" t="s">
        <v>7513</v>
      </c>
    </row>
    <row r="848">
      <c r="A848" s="4" t="s">
        <v>13681</v>
      </c>
      <c r="B848" s="28" t="s">
        <v>7513</v>
      </c>
    </row>
    <row r="849">
      <c r="A849" s="4" t="s">
        <v>13682</v>
      </c>
      <c r="B849" s="28" t="s">
        <v>7513</v>
      </c>
    </row>
    <row r="850">
      <c r="A850" s="4" t="s">
        <v>13683</v>
      </c>
      <c r="B850" s="28" t="s">
        <v>7513</v>
      </c>
    </row>
    <row r="851">
      <c r="A851" s="4" t="s">
        <v>13684</v>
      </c>
      <c r="B851" s="28" t="s">
        <v>7513</v>
      </c>
    </row>
    <row r="852">
      <c r="A852" s="4" t="s">
        <v>13685</v>
      </c>
      <c r="B852" s="28" t="s">
        <v>7513</v>
      </c>
    </row>
    <row r="853">
      <c r="A853" s="4" t="s">
        <v>13686</v>
      </c>
      <c r="B853" s="28" t="s">
        <v>7513</v>
      </c>
    </row>
    <row r="854">
      <c r="A854" s="4" t="s">
        <v>13687</v>
      </c>
      <c r="B854" s="28" t="s">
        <v>7513</v>
      </c>
    </row>
    <row r="855">
      <c r="A855" s="4" t="s">
        <v>13688</v>
      </c>
      <c r="B855" s="28" t="s">
        <v>7513</v>
      </c>
    </row>
    <row r="856">
      <c r="A856" s="4" t="s">
        <v>13689</v>
      </c>
      <c r="B856" s="28" t="s">
        <v>7513</v>
      </c>
    </row>
    <row r="857">
      <c r="A857" s="4" t="s">
        <v>13690</v>
      </c>
      <c r="B857" s="28" t="s">
        <v>7513</v>
      </c>
    </row>
    <row r="858">
      <c r="A858" s="4" t="s">
        <v>13691</v>
      </c>
      <c r="B858" s="28" t="s">
        <v>7513</v>
      </c>
    </row>
    <row r="859">
      <c r="A859" s="4" t="s">
        <v>13692</v>
      </c>
      <c r="B859" s="28" t="s">
        <v>7513</v>
      </c>
    </row>
    <row r="860">
      <c r="A860" s="4" t="s">
        <v>13693</v>
      </c>
      <c r="B860" s="28" t="s">
        <v>7513</v>
      </c>
    </row>
    <row r="861">
      <c r="A861" s="4" t="s">
        <v>13694</v>
      </c>
      <c r="B861" s="28" t="s">
        <v>7513</v>
      </c>
    </row>
    <row r="862">
      <c r="A862" s="4" t="s">
        <v>13695</v>
      </c>
      <c r="B862" s="28" t="s">
        <v>7513</v>
      </c>
    </row>
    <row r="863">
      <c r="A863" s="4" t="s">
        <v>13696</v>
      </c>
      <c r="B863" s="28" t="s">
        <v>7513</v>
      </c>
    </row>
    <row r="864">
      <c r="A864" s="4" t="s">
        <v>13697</v>
      </c>
      <c r="B864" s="28" t="s">
        <v>7513</v>
      </c>
    </row>
    <row r="865">
      <c r="A865" s="4" t="s">
        <v>13698</v>
      </c>
      <c r="B865" s="28" t="s">
        <v>7513</v>
      </c>
    </row>
    <row r="866">
      <c r="A866" s="4" t="s">
        <v>13699</v>
      </c>
      <c r="B866" s="28" t="s">
        <v>7513</v>
      </c>
    </row>
    <row r="867">
      <c r="A867" s="4" t="s">
        <v>13700</v>
      </c>
      <c r="B867" s="28" t="s">
        <v>7513</v>
      </c>
    </row>
    <row r="868">
      <c r="A868" s="4" t="s">
        <v>13701</v>
      </c>
      <c r="B868" s="28" t="s">
        <v>7513</v>
      </c>
    </row>
    <row r="869">
      <c r="A869" s="4" t="s">
        <v>13702</v>
      </c>
      <c r="B869" s="28" t="s">
        <v>7513</v>
      </c>
    </row>
    <row r="870">
      <c r="A870" s="4" t="s">
        <v>13703</v>
      </c>
      <c r="B870" s="28" t="s">
        <v>7513</v>
      </c>
    </row>
    <row r="871">
      <c r="A871" s="4" t="s">
        <v>13704</v>
      </c>
      <c r="B871" s="28" t="s">
        <v>7513</v>
      </c>
    </row>
    <row r="872">
      <c r="A872" s="4" t="s">
        <v>13705</v>
      </c>
      <c r="B872" s="28" t="s">
        <v>7513</v>
      </c>
    </row>
    <row r="873">
      <c r="A873" s="4" t="s">
        <v>13706</v>
      </c>
      <c r="B873" s="28" t="s">
        <v>7513</v>
      </c>
    </row>
    <row r="874">
      <c r="A874" s="4" t="s">
        <v>13707</v>
      </c>
      <c r="B874" s="28" t="s">
        <v>7513</v>
      </c>
    </row>
    <row r="875">
      <c r="A875" s="4" t="s">
        <v>13708</v>
      </c>
      <c r="B875" s="28" t="s">
        <v>7513</v>
      </c>
    </row>
    <row r="876">
      <c r="A876" s="4" t="s">
        <v>13709</v>
      </c>
      <c r="B876" s="28" t="s">
        <v>7513</v>
      </c>
    </row>
    <row r="877">
      <c r="A877" s="4" t="s">
        <v>13710</v>
      </c>
      <c r="B877" s="28" t="s">
        <v>7513</v>
      </c>
    </row>
    <row r="878">
      <c r="A878" s="4" t="s">
        <v>13711</v>
      </c>
      <c r="B878" s="28" t="s">
        <v>7513</v>
      </c>
    </row>
    <row r="879">
      <c r="A879" s="4" t="s">
        <v>13712</v>
      </c>
      <c r="B879" s="28" t="s">
        <v>7513</v>
      </c>
    </row>
    <row r="880">
      <c r="A880" s="4" t="s">
        <v>13713</v>
      </c>
      <c r="B880" s="28" t="s">
        <v>7513</v>
      </c>
    </row>
    <row r="881">
      <c r="A881" s="4" t="s">
        <v>13714</v>
      </c>
      <c r="B881" s="28" t="s">
        <v>7513</v>
      </c>
    </row>
    <row r="882">
      <c r="A882" s="4" t="s">
        <v>13715</v>
      </c>
      <c r="B882" s="28" t="s">
        <v>7513</v>
      </c>
    </row>
    <row r="883">
      <c r="A883" s="4" t="s">
        <v>13716</v>
      </c>
      <c r="B883" s="28" t="s">
        <v>7513</v>
      </c>
    </row>
    <row r="884">
      <c r="A884" s="4" t="s">
        <v>13717</v>
      </c>
      <c r="B884" s="28" t="s">
        <v>7513</v>
      </c>
    </row>
    <row r="885">
      <c r="A885" s="4" t="s">
        <v>13718</v>
      </c>
      <c r="B885" s="28" t="s">
        <v>7513</v>
      </c>
    </row>
    <row r="886">
      <c r="A886" s="4" t="s">
        <v>13719</v>
      </c>
      <c r="B886" s="28" t="s">
        <v>7513</v>
      </c>
    </row>
    <row r="887">
      <c r="A887" s="4" t="s">
        <v>13720</v>
      </c>
      <c r="B887" s="28" t="s">
        <v>7513</v>
      </c>
    </row>
    <row r="888">
      <c r="A888" s="4" t="s">
        <v>13721</v>
      </c>
      <c r="B888" s="28" t="s">
        <v>7513</v>
      </c>
    </row>
    <row r="889">
      <c r="A889" s="4" t="s">
        <v>13722</v>
      </c>
      <c r="B889" s="28" t="s">
        <v>7513</v>
      </c>
    </row>
    <row r="890">
      <c r="A890" s="4" t="s">
        <v>13723</v>
      </c>
      <c r="B890" s="28" t="s">
        <v>7513</v>
      </c>
    </row>
    <row r="891">
      <c r="A891" s="4" t="s">
        <v>13724</v>
      </c>
      <c r="B891" s="28" t="s">
        <v>7513</v>
      </c>
    </row>
    <row r="892">
      <c r="A892" s="4" t="s">
        <v>13725</v>
      </c>
      <c r="B892" s="28" t="s">
        <v>7513</v>
      </c>
    </row>
    <row r="893">
      <c r="A893" s="4" t="s">
        <v>13726</v>
      </c>
      <c r="B893" s="28" t="s">
        <v>7513</v>
      </c>
    </row>
    <row r="894">
      <c r="A894" s="4" t="s">
        <v>13727</v>
      </c>
      <c r="B894" s="28" t="s">
        <v>7513</v>
      </c>
    </row>
    <row r="895">
      <c r="A895" s="4" t="s">
        <v>13728</v>
      </c>
      <c r="B895" s="28" t="s">
        <v>7513</v>
      </c>
    </row>
    <row r="896">
      <c r="A896" s="4" t="s">
        <v>13729</v>
      </c>
      <c r="B896" s="28" t="s">
        <v>7513</v>
      </c>
    </row>
    <row r="897">
      <c r="A897" s="4" t="s">
        <v>13730</v>
      </c>
      <c r="B897" s="28" t="s">
        <v>7513</v>
      </c>
    </row>
    <row r="898">
      <c r="A898" s="4" t="s">
        <v>13731</v>
      </c>
      <c r="B898" s="28" t="s">
        <v>7513</v>
      </c>
    </row>
    <row r="899">
      <c r="A899" s="4" t="s">
        <v>13732</v>
      </c>
      <c r="B899" s="28" t="s">
        <v>7513</v>
      </c>
    </row>
    <row r="900">
      <c r="A900" s="4" t="s">
        <v>13733</v>
      </c>
      <c r="B900" s="28" t="s">
        <v>7513</v>
      </c>
    </row>
    <row r="901">
      <c r="A901" s="4" t="s">
        <v>13734</v>
      </c>
      <c r="B901" s="28" t="s">
        <v>7513</v>
      </c>
    </row>
    <row r="902">
      <c r="A902" s="4" t="s">
        <v>13735</v>
      </c>
      <c r="B902" s="28" t="s">
        <v>7513</v>
      </c>
    </row>
    <row r="903">
      <c r="A903" s="4" t="s">
        <v>13736</v>
      </c>
      <c r="B903" s="28" t="s">
        <v>7513</v>
      </c>
    </row>
    <row r="904">
      <c r="A904" s="4" t="s">
        <v>13737</v>
      </c>
      <c r="B904" s="28" t="s">
        <v>7513</v>
      </c>
    </row>
    <row r="905">
      <c r="A905" s="4" t="s">
        <v>13738</v>
      </c>
      <c r="B905" s="28" t="s">
        <v>7513</v>
      </c>
    </row>
    <row r="906">
      <c r="A906" s="4" t="s">
        <v>13739</v>
      </c>
      <c r="B906" s="28" t="s">
        <v>7513</v>
      </c>
    </row>
    <row r="907">
      <c r="A907" s="4" t="s">
        <v>13740</v>
      </c>
      <c r="B907" s="28" t="s">
        <v>7513</v>
      </c>
    </row>
    <row r="908">
      <c r="A908" s="4" t="s">
        <v>13741</v>
      </c>
      <c r="B908" s="28" t="s">
        <v>7513</v>
      </c>
    </row>
    <row r="909">
      <c r="A909" s="4" t="s">
        <v>13742</v>
      </c>
      <c r="B909" s="28" t="s">
        <v>7513</v>
      </c>
    </row>
    <row r="910">
      <c r="A910" s="4" t="s">
        <v>13743</v>
      </c>
      <c r="B910" s="28" t="s">
        <v>7513</v>
      </c>
    </row>
    <row r="911">
      <c r="A911" s="4" t="s">
        <v>13744</v>
      </c>
      <c r="B911" s="28" t="s">
        <v>7513</v>
      </c>
    </row>
    <row r="912">
      <c r="A912" s="4" t="s">
        <v>13745</v>
      </c>
      <c r="B912" s="28" t="s">
        <v>7513</v>
      </c>
    </row>
    <row r="913">
      <c r="A913" s="4" t="s">
        <v>13746</v>
      </c>
      <c r="B913" s="28" t="s">
        <v>7513</v>
      </c>
    </row>
    <row r="914">
      <c r="A914" s="4" t="s">
        <v>13747</v>
      </c>
      <c r="B914" s="28" t="s">
        <v>7513</v>
      </c>
    </row>
    <row r="915">
      <c r="A915" s="4" t="s">
        <v>13748</v>
      </c>
      <c r="B915" s="28" t="s">
        <v>7513</v>
      </c>
    </row>
    <row r="916">
      <c r="A916" s="4" t="s">
        <v>13749</v>
      </c>
      <c r="B916" s="28" t="s">
        <v>7513</v>
      </c>
    </row>
    <row r="917">
      <c r="A917" s="4" t="s">
        <v>13750</v>
      </c>
      <c r="B917" s="28" t="s">
        <v>7513</v>
      </c>
    </row>
    <row r="918">
      <c r="A918" s="4" t="s">
        <v>13751</v>
      </c>
      <c r="B918" s="28" t="s">
        <v>7513</v>
      </c>
    </row>
    <row r="919">
      <c r="A919" s="4" t="s">
        <v>13752</v>
      </c>
      <c r="B919" s="28" t="s">
        <v>7513</v>
      </c>
    </row>
    <row r="920">
      <c r="A920" s="4" t="s">
        <v>13753</v>
      </c>
      <c r="B920" s="28" t="s">
        <v>7513</v>
      </c>
    </row>
    <row r="921">
      <c r="A921" s="4" t="s">
        <v>13754</v>
      </c>
      <c r="B921" s="28" t="s">
        <v>7513</v>
      </c>
    </row>
    <row r="922">
      <c r="A922" s="4" t="s">
        <v>13755</v>
      </c>
      <c r="B922" s="28" t="s">
        <v>7513</v>
      </c>
    </row>
    <row r="923">
      <c r="A923" s="4" t="s">
        <v>13756</v>
      </c>
      <c r="B923" s="28" t="s">
        <v>7513</v>
      </c>
    </row>
    <row r="924">
      <c r="A924" s="4" t="s">
        <v>13757</v>
      </c>
      <c r="B924" s="28" t="s">
        <v>7513</v>
      </c>
    </row>
    <row r="925">
      <c r="A925" s="4" t="s">
        <v>13758</v>
      </c>
      <c r="B925" s="28" t="s">
        <v>7513</v>
      </c>
    </row>
    <row r="926">
      <c r="A926" s="4" t="s">
        <v>13759</v>
      </c>
      <c r="B926" s="28" t="s">
        <v>7513</v>
      </c>
    </row>
    <row r="927">
      <c r="A927" s="4" t="s">
        <v>13760</v>
      </c>
      <c r="B927" s="28" t="s">
        <v>7513</v>
      </c>
    </row>
    <row r="928">
      <c r="A928" s="4" t="s">
        <v>13761</v>
      </c>
      <c r="B928" s="28" t="s">
        <v>7513</v>
      </c>
    </row>
    <row r="929">
      <c r="A929" s="4" t="s">
        <v>13762</v>
      </c>
      <c r="B929" s="28" t="s">
        <v>7513</v>
      </c>
    </row>
    <row r="930">
      <c r="A930" s="4" t="s">
        <v>13763</v>
      </c>
      <c r="B930" s="28" t="s">
        <v>7513</v>
      </c>
    </row>
    <row r="931">
      <c r="A931" s="4" t="s">
        <v>13764</v>
      </c>
      <c r="B931" s="28" t="s">
        <v>7513</v>
      </c>
    </row>
    <row r="932">
      <c r="A932" s="4" t="s">
        <v>13765</v>
      </c>
      <c r="B932" s="28" t="s">
        <v>7513</v>
      </c>
    </row>
    <row r="933">
      <c r="A933" s="4" t="s">
        <v>13766</v>
      </c>
      <c r="B933" s="28" t="s">
        <v>7513</v>
      </c>
    </row>
    <row r="934">
      <c r="A934" s="4" t="s">
        <v>13767</v>
      </c>
      <c r="B934" s="28" t="s">
        <v>7513</v>
      </c>
    </row>
    <row r="935">
      <c r="A935" s="4" t="s">
        <v>13768</v>
      </c>
      <c r="B935" s="28" t="s">
        <v>7513</v>
      </c>
    </row>
    <row r="936">
      <c r="A936" s="4" t="s">
        <v>13769</v>
      </c>
      <c r="B936" s="28" t="s">
        <v>7513</v>
      </c>
    </row>
    <row r="937">
      <c r="A937" s="4" t="s">
        <v>13770</v>
      </c>
      <c r="B937" s="28" t="s">
        <v>7513</v>
      </c>
    </row>
    <row r="938">
      <c r="A938" s="4" t="s">
        <v>13771</v>
      </c>
      <c r="B938" s="28" t="s">
        <v>7513</v>
      </c>
    </row>
    <row r="939">
      <c r="A939" s="4" t="s">
        <v>13772</v>
      </c>
      <c r="B939" s="28" t="s">
        <v>7513</v>
      </c>
    </row>
    <row r="940">
      <c r="A940" s="4" t="s">
        <v>13773</v>
      </c>
      <c r="B940" s="28" t="s">
        <v>7513</v>
      </c>
    </row>
    <row r="941">
      <c r="A941" s="4" t="s">
        <v>13774</v>
      </c>
      <c r="B941" s="28" t="s">
        <v>7513</v>
      </c>
    </row>
    <row r="942">
      <c r="A942" s="4" t="s">
        <v>13775</v>
      </c>
      <c r="B942" s="28" t="s">
        <v>7513</v>
      </c>
    </row>
    <row r="943">
      <c r="A943" s="4" t="s">
        <v>13776</v>
      </c>
      <c r="B943" s="28" t="s">
        <v>7513</v>
      </c>
    </row>
    <row r="944">
      <c r="A944" s="4" t="s">
        <v>13777</v>
      </c>
      <c r="B944" s="28" t="s">
        <v>7513</v>
      </c>
    </row>
    <row r="945">
      <c r="A945" s="4" t="s">
        <v>13778</v>
      </c>
      <c r="B945" s="28" t="s">
        <v>7513</v>
      </c>
    </row>
    <row r="946">
      <c r="A946" s="4" t="s">
        <v>13779</v>
      </c>
      <c r="B946" s="28" t="s">
        <v>7513</v>
      </c>
    </row>
    <row r="947">
      <c r="A947" s="4" t="s">
        <v>13780</v>
      </c>
      <c r="B947" s="27" t="s">
        <v>4536</v>
      </c>
    </row>
    <row r="948">
      <c r="A948" s="4" t="s">
        <v>13781</v>
      </c>
      <c r="B948" s="27" t="s">
        <v>4536</v>
      </c>
    </row>
    <row r="949">
      <c r="A949" s="4" t="s">
        <v>13782</v>
      </c>
      <c r="B949" s="27" t="s">
        <v>4536</v>
      </c>
    </row>
    <row r="950">
      <c r="A950" s="4" t="s">
        <v>13783</v>
      </c>
      <c r="B950" s="27" t="s">
        <v>4536</v>
      </c>
    </row>
    <row r="951">
      <c r="A951" s="4" t="s">
        <v>13784</v>
      </c>
      <c r="B951" s="27" t="s">
        <v>4536</v>
      </c>
    </row>
    <row r="952">
      <c r="A952" s="4" t="s">
        <v>13785</v>
      </c>
      <c r="B952" s="27" t="s">
        <v>4536</v>
      </c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  <row r="995">
      <c r="B995" s="13"/>
    </row>
    <row r="996">
      <c r="B996" s="13"/>
    </row>
    <row r="997">
      <c r="B997" s="13"/>
    </row>
    <row r="998">
      <c r="B998" s="13"/>
    </row>
    <row r="999">
      <c r="B999" s="13"/>
    </row>
    <row r="1000">
      <c r="B1000" s="13"/>
    </row>
    <row r="1001">
      <c r="B1001" s="13"/>
    </row>
    <row r="1002">
      <c r="B1002" s="13"/>
    </row>
    <row r="1003">
      <c r="B1003" s="13"/>
    </row>
    <row r="1004">
      <c r="B1004" s="13"/>
    </row>
    <row r="1005">
      <c r="B1005" s="13"/>
    </row>
    <row r="1006">
      <c r="B1006" s="13"/>
    </row>
    <row r="1007">
      <c r="B1007" s="13"/>
    </row>
    <row r="1008">
      <c r="B1008" s="13"/>
    </row>
    <row r="1009">
      <c r="B1009" s="13"/>
    </row>
    <row r="1010">
      <c r="B1010" s="13"/>
    </row>
    <row r="1011">
      <c r="B1011" s="13"/>
    </row>
    <row r="1012">
      <c r="B1012" s="13"/>
    </row>
    <row r="1013">
      <c r="B1013" s="13"/>
      <c r="E1013" s="3"/>
      <c r="F1013" s="3"/>
      <c r="G1013" s="3"/>
    </row>
    <row r="1014">
      <c r="B1014" s="13"/>
      <c r="E1014" s="3"/>
      <c r="F1014" s="3"/>
      <c r="G1014" s="3"/>
    </row>
    <row r="1015">
      <c r="B1015" s="13"/>
      <c r="E1015" s="3"/>
      <c r="F1015" s="3"/>
      <c r="G1015" s="3"/>
    </row>
    <row r="1016">
      <c r="B1016" s="13"/>
      <c r="E1016" s="3"/>
      <c r="F1016" s="3"/>
      <c r="G1016" s="3"/>
    </row>
    <row r="1017">
      <c r="B1017" s="13"/>
      <c r="E1017" s="3"/>
      <c r="F1017" s="3"/>
      <c r="G1017" s="3"/>
    </row>
    <row r="1018">
      <c r="B1018" s="13"/>
      <c r="E1018" s="3"/>
      <c r="F1018" s="3"/>
      <c r="G1018" s="3"/>
    </row>
    <row r="1019">
      <c r="B1019" s="13"/>
      <c r="E1019" s="3"/>
      <c r="F1019" s="3"/>
      <c r="G1019" s="3"/>
    </row>
    <row r="1020">
      <c r="B1020" s="13"/>
      <c r="E1020" s="3"/>
      <c r="F1020" s="3"/>
      <c r="G1020" s="3"/>
    </row>
    <row r="1021">
      <c r="B1021" s="13"/>
      <c r="E1021" s="3"/>
      <c r="F1021" s="3"/>
      <c r="G1021" s="3"/>
    </row>
    <row r="1022">
      <c r="B1022" s="13"/>
      <c r="E1022" s="3"/>
      <c r="F1022" s="3"/>
      <c r="G1022" s="3"/>
    </row>
    <row r="1023">
      <c r="B1023" s="13"/>
      <c r="E1023" s="3"/>
      <c r="F1023" s="3"/>
      <c r="G1023" s="3"/>
    </row>
    <row r="1024">
      <c r="B1024" s="13"/>
      <c r="E1024" s="3"/>
      <c r="F1024" s="3"/>
      <c r="G1024" s="3"/>
    </row>
    <row r="1025">
      <c r="B1025" s="13"/>
      <c r="E1025" s="3"/>
      <c r="F1025" s="3"/>
      <c r="G1025" s="3"/>
    </row>
    <row r="1026">
      <c r="B1026" s="13"/>
      <c r="E1026" s="3"/>
      <c r="F1026" s="3"/>
      <c r="G1026" s="3"/>
    </row>
    <row r="1027">
      <c r="B1027" s="13"/>
      <c r="E1027" s="3"/>
      <c r="F1027" s="3"/>
      <c r="G1027" s="3"/>
    </row>
    <row r="1028">
      <c r="B1028" s="13"/>
      <c r="E1028" s="3"/>
      <c r="F1028" s="3"/>
      <c r="G1028" s="3"/>
    </row>
    <row r="1029">
      <c r="B1029" s="13"/>
      <c r="E1029" s="3"/>
      <c r="F1029" s="3"/>
      <c r="G1029" s="3"/>
    </row>
    <row r="1030">
      <c r="B1030" s="13"/>
      <c r="E1030" s="3"/>
      <c r="F1030" s="3"/>
      <c r="G1030" s="3"/>
    </row>
    <row r="1031">
      <c r="B1031" s="13"/>
      <c r="E1031" s="3"/>
      <c r="F1031" s="3"/>
      <c r="G1031" s="3"/>
    </row>
    <row r="1032">
      <c r="B1032" s="13"/>
      <c r="E1032" s="3"/>
      <c r="F1032" s="3"/>
      <c r="G1032" s="3"/>
    </row>
    <row r="1033">
      <c r="B1033" s="13"/>
      <c r="E1033" s="3"/>
      <c r="F1033" s="3"/>
      <c r="G1033" s="3"/>
    </row>
    <row r="1034">
      <c r="B1034" s="13"/>
      <c r="E1034" s="3"/>
      <c r="F1034" s="3"/>
      <c r="G1034" s="3"/>
    </row>
    <row r="1035">
      <c r="B1035" s="13"/>
      <c r="E1035" s="3"/>
      <c r="F1035" s="3"/>
      <c r="G1035" s="3"/>
    </row>
    <row r="1036">
      <c r="B1036" s="13"/>
      <c r="E1036" s="3"/>
      <c r="F1036" s="3"/>
      <c r="G1036" s="3"/>
    </row>
    <row r="1037">
      <c r="B1037" s="13"/>
      <c r="E1037" s="3"/>
      <c r="F1037" s="3"/>
      <c r="G1037" s="3"/>
    </row>
    <row r="1038">
      <c r="B1038" s="13"/>
      <c r="E1038" s="3"/>
      <c r="F1038" s="3"/>
      <c r="G1038" s="3"/>
    </row>
    <row r="1039">
      <c r="B1039" s="13"/>
      <c r="E1039" s="3"/>
      <c r="F1039" s="3"/>
      <c r="G1039" s="3"/>
    </row>
    <row r="1040">
      <c r="B1040" s="13"/>
      <c r="E1040" s="3"/>
      <c r="F1040" s="3"/>
      <c r="G1040" s="3"/>
    </row>
    <row r="1041">
      <c r="B1041" s="13"/>
      <c r="E1041" s="3"/>
      <c r="F1041" s="3"/>
      <c r="G1041" s="3"/>
    </row>
    <row r="1042">
      <c r="B1042" s="13"/>
      <c r="E1042" s="3"/>
      <c r="F1042" s="3"/>
      <c r="G1042" s="3"/>
    </row>
    <row r="1043">
      <c r="B1043" s="13"/>
      <c r="E1043" s="3"/>
      <c r="F1043" s="3"/>
      <c r="G1043" s="3"/>
    </row>
    <row r="1044">
      <c r="B1044" s="13"/>
      <c r="E1044" s="3"/>
      <c r="F1044" s="3"/>
      <c r="G1044" s="3"/>
    </row>
    <row r="1045">
      <c r="B1045" s="13"/>
      <c r="E1045" s="3"/>
      <c r="F1045" s="3"/>
      <c r="G1045" s="3"/>
    </row>
    <row r="1046">
      <c r="B1046" s="13"/>
      <c r="E1046" s="3"/>
      <c r="F1046" s="3"/>
      <c r="G1046" s="3"/>
    </row>
    <row r="1047">
      <c r="B1047" s="13"/>
      <c r="E1047" s="3"/>
      <c r="F1047" s="3"/>
      <c r="G1047" s="3"/>
    </row>
    <row r="1048">
      <c r="B1048" s="13"/>
      <c r="E1048" s="3"/>
      <c r="F1048" s="3"/>
      <c r="G1048" s="3"/>
    </row>
    <row r="1049">
      <c r="B1049" s="13"/>
      <c r="E1049" s="3"/>
      <c r="F1049" s="3"/>
      <c r="G1049" s="3"/>
    </row>
    <row r="1050">
      <c r="B1050" s="13"/>
      <c r="E1050" s="3"/>
      <c r="F1050" s="3"/>
      <c r="G1050" s="3"/>
    </row>
    <row r="1051">
      <c r="B1051" s="13"/>
      <c r="E1051" s="3"/>
      <c r="F1051" s="3"/>
      <c r="G1051" s="3"/>
    </row>
    <row r="1052">
      <c r="B1052" s="13"/>
      <c r="E1052" s="3"/>
      <c r="F1052" s="3"/>
      <c r="G1052" s="3"/>
    </row>
    <row r="1053">
      <c r="B1053" s="13"/>
      <c r="E1053" s="3"/>
      <c r="F1053" s="3"/>
      <c r="G1053" s="3"/>
    </row>
    <row r="1054">
      <c r="B1054" s="13"/>
      <c r="E1054" s="3"/>
      <c r="F1054" s="3"/>
      <c r="G1054" s="3"/>
    </row>
    <row r="1055">
      <c r="B1055" s="13"/>
      <c r="E1055" s="3"/>
      <c r="F1055" s="3"/>
      <c r="G1055" s="3"/>
    </row>
    <row r="1056">
      <c r="B1056" s="13"/>
      <c r="E1056" s="3"/>
      <c r="F1056" s="3"/>
      <c r="G1056" s="3"/>
    </row>
    <row r="1057">
      <c r="B1057" s="13"/>
      <c r="E1057" s="3"/>
      <c r="F1057" s="3"/>
      <c r="G1057" s="3"/>
    </row>
    <row r="1058">
      <c r="B1058" s="13"/>
      <c r="E1058" s="3"/>
      <c r="F1058" s="3"/>
      <c r="G1058" s="3"/>
    </row>
    <row r="1059">
      <c r="B1059" s="13"/>
      <c r="E1059" s="3"/>
      <c r="F1059" s="3"/>
      <c r="G1059" s="3"/>
    </row>
    <row r="1060">
      <c r="B1060" s="13"/>
      <c r="E1060" s="3"/>
      <c r="F1060" s="3"/>
      <c r="G1060" s="3"/>
    </row>
    <row r="1061">
      <c r="B1061" s="13"/>
      <c r="E1061" s="3"/>
      <c r="F1061" s="3"/>
      <c r="G1061" s="3"/>
    </row>
    <row r="1062">
      <c r="B1062" s="13"/>
      <c r="E1062" s="3"/>
      <c r="F1062" s="3"/>
      <c r="G1062" s="3"/>
    </row>
    <row r="1063">
      <c r="B1063" s="13"/>
      <c r="E1063" s="3"/>
      <c r="F1063" s="3"/>
      <c r="G1063" s="3"/>
    </row>
    <row r="1064">
      <c r="B1064" s="13"/>
      <c r="E1064" s="3"/>
      <c r="F1064" s="3"/>
      <c r="G1064" s="3"/>
    </row>
    <row r="1065">
      <c r="B1065" s="19"/>
      <c r="E1065" s="3"/>
      <c r="F1065" s="3"/>
      <c r="G1065" s="3"/>
    </row>
    <row r="1066">
      <c r="B1066" s="19"/>
      <c r="E1066" s="3"/>
      <c r="F1066" s="3"/>
      <c r="G1066" s="3"/>
    </row>
    <row r="1067">
      <c r="B1067" s="19"/>
      <c r="E1067" s="3"/>
      <c r="F1067" s="3"/>
      <c r="G1067" s="3"/>
    </row>
    <row r="1068">
      <c r="B1068" s="19"/>
      <c r="E1068" s="3"/>
      <c r="F1068" s="3"/>
      <c r="G1068" s="3"/>
    </row>
    <row r="1069">
      <c r="B1069" s="19"/>
      <c r="E1069" s="3"/>
      <c r="F1069" s="3"/>
      <c r="G1069" s="3"/>
    </row>
    <row r="1070">
      <c r="B1070" s="19"/>
      <c r="E1070" s="3"/>
      <c r="F1070" s="3"/>
      <c r="G1070" s="3"/>
    </row>
    <row r="1071">
      <c r="B1071" s="19"/>
      <c r="E1071" s="3"/>
      <c r="F1071" s="3"/>
      <c r="G1071" s="3"/>
    </row>
    <row r="1072">
      <c r="B1072" s="19"/>
      <c r="E1072" s="3"/>
      <c r="F1072" s="3"/>
      <c r="G1072" s="3"/>
    </row>
    <row r="1073">
      <c r="B1073" s="19"/>
      <c r="E1073" s="3"/>
      <c r="F1073" s="3"/>
      <c r="G1073" s="3"/>
    </row>
    <row r="1074">
      <c r="B1074" s="19"/>
      <c r="E1074" s="3"/>
      <c r="F1074" s="3"/>
      <c r="G1074" s="3"/>
    </row>
    <row r="1075">
      <c r="B1075" s="19"/>
      <c r="E1075" s="3"/>
      <c r="F1075" s="3"/>
      <c r="G1075" s="3"/>
    </row>
    <row r="1076">
      <c r="B1076" s="19"/>
      <c r="E1076" s="3"/>
      <c r="F1076" s="3"/>
      <c r="G1076" s="3"/>
    </row>
    <row r="1077">
      <c r="B1077" s="19"/>
      <c r="E1077" s="3"/>
      <c r="F1077" s="3"/>
      <c r="G1077" s="3"/>
    </row>
    <row r="1078">
      <c r="B1078" s="19"/>
      <c r="E1078" s="3"/>
      <c r="F1078" s="3"/>
      <c r="G1078" s="3"/>
    </row>
    <row r="1079">
      <c r="B1079" s="19"/>
      <c r="E1079" s="3"/>
      <c r="F1079" s="3"/>
      <c r="G1079" s="3"/>
    </row>
    <row r="1080">
      <c r="B1080" s="19"/>
      <c r="E1080" s="3"/>
      <c r="F1080" s="3"/>
      <c r="G1080" s="3"/>
    </row>
    <row r="1081">
      <c r="B1081" s="19"/>
      <c r="E1081" s="3"/>
      <c r="F1081" s="3"/>
      <c r="G1081" s="3"/>
    </row>
    <row r="1082">
      <c r="B1082" s="19"/>
      <c r="E1082" s="3"/>
      <c r="F1082" s="3"/>
      <c r="G1082" s="3"/>
    </row>
    <row r="1083">
      <c r="B1083" s="19"/>
      <c r="E1083" s="3"/>
      <c r="F1083" s="3"/>
      <c r="G1083" s="3"/>
    </row>
    <row r="1084">
      <c r="B1084" s="19"/>
      <c r="E1084" s="3"/>
      <c r="F1084" s="3"/>
      <c r="G1084" s="3"/>
    </row>
    <row r="1085">
      <c r="B1085" s="19"/>
      <c r="E1085" s="3"/>
      <c r="F1085" s="3"/>
      <c r="G1085" s="3"/>
    </row>
    <row r="1086">
      <c r="B1086" s="19"/>
      <c r="E1086" s="3"/>
      <c r="F1086" s="3"/>
      <c r="G1086" s="3"/>
    </row>
    <row r="1087">
      <c r="B1087" s="19"/>
      <c r="E1087" s="3"/>
      <c r="F1087" s="3"/>
      <c r="G1087" s="3"/>
    </row>
    <row r="1088">
      <c r="B1088" s="19"/>
      <c r="E1088" s="3"/>
      <c r="F1088" s="3"/>
      <c r="G1088" s="3"/>
    </row>
    <row r="1089">
      <c r="B1089" s="19"/>
      <c r="E1089" s="3"/>
      <c r="F1089" s="3"/>
      <c r="G1089" s="3"/>
    </row>
    <row r="1090">
      <c r="B1090" s="19"/>
      <c r="E1090" s="3"/>
      <c r="F1090" s="3"/>
      <c r="G1090" s="3"/>
    </row>
    <row r="1091">
      <c r="B1091" s="19"/>
      <c r="E1091" s="3"/>
      <c r="F1091" s="3"/>
      <c r="G1091" s="3"/>
    </row>
    <row r="1092">
      <c r="B1092" s="19"/>
      <c r="E1092" s="3"/>
      <c r="F1092" s="3"/>
      <c r="G1092" s="3"/>
    </row>
    <row r="1093">
      <c r="B1093" s="19"/>
      <c r="E1093" s="3"/>
      <c r="F1093" s="3"/>
      <c r="G1093" s="3"/>
    </row>
    <row r="1094">
      <c r="B1094" s="19"/>
      <c r="E1094" s="3"/>
      <c r="F1094" s="3"/>
      <c r="G1094" s="3"/>
    </row>
    <row r="1095">
      <c r="B1095" s="19"/>
      <c r="E1095" s="3"/>
      <c r="F1095" s="3"/>
      <c r="G1095" s="3"/>
    </row>
    <row r="1096">
      <c r="B1096" s="19"/>
      <c r="E1096" s="3"/>
      <c r="F1096" s="3"/>
      <c r="G1096" s="3"/>
    </row>
    <row r="1097">
      <c r="B1097" s="19"/>
      <c r="E1097" s="3"/>
      <c r="F1097" s="3"/>
      <c r="G1097" s="3"/>
    </row>
    <row r="1098">
      <c r="B1098" s="19"/>
      <c r="E1098" s="3"/>
      <c r="F1098" s="3"/>
      <c r="G1098" s="3"/>
    </row>
    <row r="1099">
      <c r="B1099" s="19"/>
      <c r="E1099" s="3"/>
      <c r="F1099" s="3"/>
      <c r="G1099" s="3"/>
    </row>
    <row r="1100">
      <c r="B1100" s="19"/>
      <c r="E1100" s="3"/>
      <c r="F1100" s="3"/>
      <c r="G1100" s="3"/>
    </row>
    <row r="1101">
      <c r="B1101" s="19"/>
      <c r="E1101" s="3"/>
      <c r="F1101" s="3"/>
      <c r="G1101" s="3"/>
    </row>
    <row r="1102">
      <c r="E1102" s="3"/>
      <c r="F1102" s="3"/>
      <c r="G1102" s="3"/>
    </row>
    <row r="1103">
      <c r="E1103" s="3"/>
      <c r="F1103" s="3"/>
      <c r="G1103" s="3"/>
    </row>
    <row r="1104">
      <c r="E1104" s="3"/>
      <c r="F1104" s="3"/>
      <c r="G1104" s="3"/>
    </row>
    <row r="1105">
      <c r="A1105" s="4"/>
      <c r="E1105" s="3"/>
      <c r="F1105" s="3"/>
      <c r="G1105" s="3"/>
    </row>
    <row r="1106">
      <c r="A1106" s="4"/>
      <c r="E1106" s="3"/>
      <c r="F1106" s="3"/>
      <c r="G1106" s="3"/>
    </row>
    <row r="1107">
      <c r="A1107" s="4"/>
      <c r="E1107" s="3"/>
      <c r="F1107" s="3"/>
      <c r="G1107" s="3"/>
    </row>
    <row r="1108">
      <c r="A1108" s="4"/>
      <c r="E1108" s="3"/>
      <c r="F1108" s="3"/>
      <c r="G1108" s="3"/>
    </row>
    <row r="1109">
      <c r="A1109" s="4"/>
      <c r="E1109" s="3"/>
      <c r="F1109" s="3"/>
      <c r="G1109" s="3"/>
    </row>
    <row r="1110">
      <c r="A1110" s="4"/>
      <c r="E1110" s="3"/>
      <c r="F1110" s="3"/>
      <c r="G1110" s="3"/>
    </row>
    <row r="1111">
      <c r="A1111" s="4"/>
      <c r="E1111" s="3"/>
      <c r="F1111" s="3"/>
      <c r="G1111" s="3"/>
    </row>
  </sheetData>
  <mergeCells count="375"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B15:I15"/>
    <mergeCell ref="B16:I16"/>
    <mergeCell ref="B17:I17"/>
    <mergeCell ref="B652:I652"/>
    <mergeCell ref="B653:I653"/>
    <mergeCell ref="B654:I654"/>
    <mergeCell ref="B655:I655"/>
    <mergeCell ref="B656:I656"/>
    <mergeCell ref="B657:I657"/>
    <mergeCell ref="B658:I658"/>
    <mergeCell ref="B659:I659"/>
    <mergeCell ref="B660:I660"/>
    <mergeCell ref="B661:I661"/>
    <mergeCell ref="B662:I662"/>
    <mergeCell ref="B663:I663"/>
    <mergeCell ref="B664:I664"/>
    <mergeCell ref="B665:I665"/>
    <mergeCell ref="B666:I666"/>
    <mergeCell ref="B667:I667"/>
    <mergeCell ref="B668:I668"/>
    <mergeCell ref="B669:I669"/>
    <mergeCell ref="B670:I670"/>
    <mergeCell ref="B671:I671"/>
    <mergeCell ref="B672:I672"/>
    <mergeCell ref="B673:I673"/>
    <mergeCell ref="B674:I674"/>
    <mergeCell ref="B675:I675"/>
    <mergeCell ref="B676:I676"/>
    <mergeCell ref="B677:I677"/>
    <mergeCell ref="B678:I678"/>
    <mergeCell ref="B679:I679"/>
    <mergeCell ref="B680:I680"/>
    <mergeCell ref="B681:I681"/>
    <mergeCell ref="B682:I682"/>
    <mergeCell ref="B683:I683"/>
    <mergeCell ref="B684:I684"/>
    <mergeCell ref="B685:I685"/>
    <mergeCell ref="B686:I686"/>
    <mergeCell ref="B687:I687"/>
    <mergeCell ref="B688:I688"/>
    <mergeCell ref="B689:I689"/>
    <mergeCell ref="B690:I690"/>
    <mergeCell ref="B691:I691"/>
    <mergeCell ref="B692:I692"/>
    <mergeCell ref="B693:I693"/>
    <mergeCell ref="B694:I694"/>
    <mergeCell ref="B695:I695"/>
    <mergeCell ref="B696:I696"/>
    <mergeCell ref="B697:I697"/>
    <mergeCell ref="B698:I698"/>
    <mergeCell ref="B699:I699"/>
    <mergeCell ref="B700:I700"/>
    <mergeCell ref="B701:I701"/>
    <mergeCell ref="B702:I702"/>
    <mergeCell ref="B703:I703"/>
    <mergeCell ref="B704:I704"/>
    <mergeCell ref="B705:I705"/>
    <mergeCell ref="B706:I706"/>
    <mergeCell ref="B707:I707"/>
    <mergeCell ref="B708:I708"/>
    <mergeCell ref="B709:I709"/>
    <mergeCell ref="B710:I710"/>
    <mergeCell ref="B711:I711"/>
    <mergeCell ref="B712:I712"/>
    <mergeCell ref="B713:I713"/>
    <mergeCell ref="B714:I714"/>
    <mergeCell ref="B715:I715"/>
    <mergeCell ref="B716:I716"/>
    <mergeCell ref="B717:I717"/>
    <mergeCell ref="B718:I718"/>
    <mergeCell ref="B719:I719"/>
    <mergeCell ref="B720:I720"/>
    <mergeCell ref="B721:I721"/>
    <mergeCell ref="B722:I722"/>
    <mergeCell ref="B723:I723"/>
    <mergeCell ref="B724:I724"/>
    <mergeCell ref="B725:I725"/>
    <mergeCell ref="B726:I726"/>
    <mergeCell ref="B727:I727"/>
    <mergeCell ref="B728:I728"/>
    <mergeCell ref="B729:I729"/>
    <mergeCell ref="B730:I730"/>
    <mergeCell ref="B731:I731"/>
    <mergeCell ref="B732:I732"/>
    <mergeCell ref="B733:I733"/>
    <mergeCell ref="B734:I734"/>
    <mergeCell ref="B735:I735"/>
    <mergeCell ref="B736:I736"/>
    <mergeCell ref="B737:I737"/>
    <mergeCell ref="B738:I738"/>
    <mergeCell ref="B739:I739"/>
    <mergeCell ref="B740:I740"/>
    <mergeCell ref="B741:I741"/>
    <mergeCell ref="B742:I742"/>
    <mergeCell ref="B743:I743"/>
    <mergeCell ref="B744:I744"/>
    <mergeCell ref="B745:I745"/>
    <mergeCell ref="B746:I746"/>
    <mergeCell ref="B747:I747"/>
    <mergeCell ref="B748:I748"/>
    <mergeCell ref="B749:I749"/>
    <mergeCell ref="B750:I750"/>
    <mergeCell ref="B751:I751"/>
    <mergeCell ref="B752:I752"/>
    <mergeCell ref="B753:I753"/>
    <mergeCell ref="B754:I754"/>
    <mergeCell ref="B755:I755"/>
    <mergeCell ref="B756:I756"/>
    <mergeCell ref="B757:I757"/>
    <mergeCell ref="B758:I758"/>
    <mergeCell ref="B759:I759"/>
    <mergeCell ref="B760:I760"/>
    <mergeCell ref="B761:I761"/>
    <mergeCell ref="B762:I762"/>
    <mergeCell ref="B763:I763"/>
    <mergeCell ref="B764:I764"/>
    <mergeCell ref="B765:I765"/>
    <mergeCell ref="B766:I766"/>
    <mergeCell ref="B767:I767"/>
    <mergeCell ref="B768:I768"/>
    <mergeCell ref="B769:I769"/>
    <mergeCell ref="B770:I770"/>
    <mergeCell ref="B771:I771"/>
    <mergeCell ref="B772:I772"/>
    <mergeCell ref="B773:I773"/>
    <mergeCell ref="B774:I774"/>
    <mergeCell ref="B775:I775"/>
    <mergeCell ref="B776:I776"/>
    <mergeCell ref="B777:I777"/>
    <mergeCell ref="B778:I778"/>
    <mergeCell ref="B779:I779"/>
    <mergeCell ref="B780:I780"/>
    <mergeCell ref="B781:I781"/>
    <mergeCell ref="B782:I782"/>
    <mergeCell ref="B783:I783"/>
    <mergeCell ref="B784:I784"/>
    <mergeCell ref="B785:I785"/>
    <mergeCell ref="B786:I786"/>
    <mergeCell ref="B787:I787"/>
    <mergeCell ref="B788:I788"/>
    <mergeCell ref="B789:I789"/>
    <mergeCell ref="B790:I790"/>
    <mergeCell ref="B791:I791"/>
    <mergeCell ref="B792:I792"/>
    <mergeCell ref="B793:I793"/>
    <mergeCell ref="B794:I794"/>
    <mergeCell ref="B795:I795"/>
    <mergeCell ref="B796:I796"/>
    <mergeCell ref="B797:I797"/>
    <mergeCell ref="B798:I798"/>
    <mergeCell ref="B799:I799"/>
    <mergeCell ref="B800:I800"/>
    <mergeCell ref="B801:I801"/>
    <mergeCell ref="B802:I802"/>
    <mergeCell ref="B803:I803"/>
    <mergeCell ref="B804:I804"/>
    <mergeCell ref="B805:I805"/>
    <mergeCell ref="B806:I806"/>
    <mergeCell ref="B807:I807"/>
    <mergeCell ref="B808:I808"/>
    <mergeCell ref="B809:I809"/>
    <mergeCell ref="B810:I810"/>
    <mergeCell ref="B811:I811"/>
    <mergeCell ref="B812:I812"/>
    <mergeCell ref="B813:I813"/>
    <mergeCell ref="B814:I814"/>
    <mergeCell ref="B815:I815"/>
    <mergeCell ref="B816:I816"/>
    <mergeCell ref="B817:I817"/>
    <mergeCell ref="B818:I818"/>
    <mergeCell ref="B819:I819"/>
    <mergeCell ref="B820:I820"/>
    <mergeCell ref="B821:I821"/>
    <mergeCell ref="B822:I822"/>
    <mergeCell ref="B823:I823"/>
    <mergeCell ref="B824:I824"/>
    <mergeCell ref="B825:I825"/>
    <mergeCell ref="B826:I826"/>
    <mergeCell ref="B827:I827"/>
    <mergeCell ref="B828:I828"/>
    <mergeCell ref="B829:I829"/>
    <mergeCell ref="B830:I830"/>
    <mergeCell ref="B831:I831"/>
    <mergeCell ref="B832:I832"/>
    <mergeCell ref="B833:I833"/>
    <mergeCell ref="B834:I834"/>
    <mergeCell ref="B835:I835"/>
    <mergeCell ref="B836:I836"/>
    <mergeCell ref="B837:I837"/>
    <mergeCell ref="B838:I838"/>
    <mergeCell ref="B839:I839"/>
    <mergeCell ref="B840:I840"/>
    <mergeCell ref="B841:I841"/>
    <mergeCell ref="B842:I842"/>
    <mergeCell ref="B843:I843"/>
    <mergeCell ref="B844:I844"/>
    <mergeCell ref="B845:I845"/>
    <mergeCell ref="B846:I846"/>
    <mergeCell ref="B847:I847"/>
    <mergeCell ref="B848:I848"/>
    <mergeCell ref="B849:I849"/>
    <mergeCell ref="B850:I850"/>
    <mergeCell ref="B851:I851"/>
    <mergeCell ref="B852:I852"/>
    <mergeCell ref="B853:I853"/>
    <mergeCell ref="B854:I854"/>
    <mergeCell ref="B855:I855"/>
    <mergeCell ref="B856:I856"/>
    <mergeCell ref="B857:I857"/>
    <mergeCell ref="B858:I858"/>
    <mergeCell ref="B859:I859"/>
    <mergeCell ref="B860:I860"/>
    <mergeCell ref="B861:I861"/>
    <mergeCell ref="B862:I862"/>
    <mergeCell ref="B863:I863"/>
    <mergeCell ref="B864:I864"/>
    <mergeCell ref="B865:I865"/>
    <mergeCell ref="B866:I866"/>
    <mergeCell ref="B867:I867"/>
    <mergeCell ref="B868:I868"/>
    <mergeCell ref="B869:I869"/>
    <mergeCell ref="B870:I870"/>
    <mergeCell ref="B871:I871"/>
    <mergeCell ref="B872:I872"/>
    <mergeCell ref="B873:I873"/>
    <mergeCell ref="B874:I874"/>
    <mergeCell ref="B875:I875"/>
    <mergeCell ref="B876:I876"/>
    <mergeCell ref="B877:I877"/>
    <mergeCell ref="B878:I878"/>
    <mergeCell ref="B879:I879"/>
    <mergeCell ref="B880:I880"/>
    <mergeCell ref="B881:I881"/>
    <mergeCell ref="B882:I882"/>
    <mergeCell ref="B883:I883"/>
    <mergeCell ref="B884:I884"/>
    <mergeCell ref="B885:I885"/>
    <mergeCell ref="B886:I886"/>
    <mergeCell ref="B887:I887"/>
    <mergeCell ref="B888:I888"/>
    <mergeCell ref="B889:I889"/>
    <mergeCell ref="B890:I890"/>
    <mergeCell ref="B891:I891"/>
    <mergeCell ref="B892:I892"/>
    <mergeCell ref="B893:I893"/>
    <mergeCell ref="B894:I894"/>
    <mergeCell ref="B895:I895"/>
    <mergeCell ref="B896:I896"/>
    <mergeCell ref="B897:I897"/>
    <mergeCell ref="B898:I898"/>
    <mergeCell ref="B899:I899"/>
    <mergeCell ref="B900:I900"/>
    <mergeCell ref="B901:I901"/>
    <mergeCell ref="B902:I902"/>
    <mergeCell ref="B903:I903"/>
    <mergeCell ref="B904:I904"/>
    <mergeCell ref="B905:I905"/>
    <mergeCell ref="B906:I906"/>
    <mergeCell ref="B907:I907"/>
    <mergeCell ref="B908:I908"/>
    <mergeCell ref="B909:I909"/>
    <mergeCell ref="B910:I910"/>
    <mergeCell ref="B911:I911"/>
    <mergeCell ref="B912:I912"/>
    <mergeCell ref="B913:I913"/>
    <mergeCell ref="B914:I914"/>
    <mergeCell ref="B915:I915"/>
    <mergeCell ref="B916:I916"/>
    <mergeCell ref="B917:I917"/>
    <mergeCell ref="B918:I918"/>
    <mergeCell ref="B919:I919"/>
    <mergeCell ref="B920:I920"/>
    <mergeCell ref="B921:I921"/>
    <mergeCell ref="B922:I922"/>
    <mergeCell ref="B923:I923"/>
    <mergeCell ref="B924:I924"/>
    <mergeCell ref="B925:I925"/>
    <mergeCell ref="B926:I926"/>
    <mergeCell ref="B927:I927"/>
    <mergeCell ref="B928:I928"/>
    <mergeCell ref="B929:I929"/>
    <mergeCell ref="B930:I930"/>
    <mergeCell ref="B931:I931"/>
    <mergeCell ref="B981:I981"/>
    <mergeCell ref="B982:I982"/>
    <mergeCell ref="B983:I983"/>
    <mergeCell ref="B984:I984"/>
    <mergeCell ref="B985:I985"/>
    <mergeCell ref="B986:I986"/>
    <mergeCell ref="B987:I987"/>
    <mergeCell ref="B988:I988"/>
    <mergeCell ref="B989:I989"/>
    <mergeCell ref="B990:I990"/>
    <mergeCell ref="B991:I991"/>
    <mergeCell ref="B992:I992"/>
    <mergeCell ref="B993:I993"/>
    <mergeCell ref="B994:I994"/>
    <mergeCell ref="B995:I995"/>
    <mergeCell ref="B996:I996"/>
    <mergeCell ref="B997:I997"/>
    <mergeCell ref="B998:I998"/>
    <mergeCell ref="B999:I999"/>
    <mergeCell ref="B1000:I1000"/>
    <mergeCell ref="B1001:I1001"/>
    <mergeCell ref="B1009:I1009"/>
    <mergeCell ref="B1010:I1010"/>
    <mergeCell ref="B1011:I1011"/>
    <mergeCell ref="B1012:I1012"/>
    <mergeCell ref="B1002:I1002"/>
    <mergeCell ref="B1003:I1003"/>
    <mergeCell ref="B1004:I1004"/>
    <mergeCell ref="B1005:I1005"/>
    <mergeCell ref="B1006:I1006"/>
    <mergeCell ref="B1007:I1007"/>
    <mergeCell ref="B1008:I1008"/>
    <mergeCell ref="B932:I932"/>
    <mergeCell ref="B933:I933"/>
    <mergeCell ref="B934:I934"/>
    <mergeCell ref="B935:I935"/>
    <mergeCell ref="B936:I936"/>
    <mergeCell ref="B937:I937"/>
    <mergeCell ref="B938:I938"/>
    <mergeCell ref="B939:I939"/>
    <mergeCell ref="B940:I940"/>
    <mergeCell ref="B941:I941"/>
    <mergeCell ref="B942:I942"/>
    <mergeCell ref="B943:I943"/>
    <mergeCell ref="B944:I944"/>
    <mergeCell ref="B945:I945"/>
    <mergeCell ref="B946:I946"/>
    <mergeCell ref="B947:I947"/>
    <mergeCell ref="B948:I948"/>
    <mergeCell ref="B949:I949"/>
    <mergeCell ref="B950:I950"/>
    <mergeCell ref="B951:I951"/>
    <mergeCell ref="B952:I952"/>
    <mergeCell ref="B953:I953"/>
    <mergeCell ref="B954:I954"/>
    <mergeCell ref="B955:I955"/>
    <mergeCell ref="B956:I956"/>
    <mergeCell ref="B957:I957"/>
    <mergeCell ref="B958:I958"/>
    <mergeCell ref="B959:I959"/>
    <mergeCell ref="B960:I960"/>
    <mergeCell ref="B961:I961"/>
    <mergeCell ref="B962:I962"/>
    <mergeCell ref="B963:I963"/>
    <mergeCell ref="B964:I964"/>
    <mergeCell ref="B965:I965"/>
    <mergeCell ref="B966:I966"/>
    <mergeCell ref="B967:I967"/>
    <mergeCell ref="B968:I968"/>
    <mergeCell ref="B969:I969"/>
    <mergeCell ref="B970:I970"/>
    <mergeCell ref="B971:I971"/>
    <mergeCell ref="B972:I972"/>
    <mergeCell ref="B973:I973"/>
    <mergeCell ref="B974:I974"/>
    <mergeCell ref="B975:I975"/>
    <mergeCell ref="B976:I976"/>
    <mergeCell ref="B977:I977"/>
    <mergeCell ref="B978:I978"/>
    <mergeCell ref="B979:I979"/>
    <mergeCell ref="B980:I980"/>
  </mergeCells>
  <conditionalFormatting sqref="I18:I651">
    <cfRule type="cellIs" dxfId="2" priority="1" operator="equal">
      <formula>15</formula>
    </cfRule>
  </conditionalFormatting>
  <conditionalFormatting sqref="J12:J13 E18:I651 E1013:G1111">
    <cfRule type="containsBlanks" dxfId="6" priority="2">
      <formula>LEN(TRIM(J12))=0</formula>
    </cfRule>
  </conditionalFormatting>
  <conditionalFormatting sqref="I18:I651">
    <cfRule type="cellIs" dxfId="1" priority="3" operator="notEqual">
      <formula>15</formula>
    </cfRule>
  </conditionalFormatting>
  <conditionalFormatting sqref="H18:H651">
    <cfRule type="cellIs" dxfId="2" priority="4" operator="equal">
      <formula>13</formula>
    </cfRule>
  </conditionalFormatting>
  <conditionalFormatting sqref="H18:H651">
    <cfRule type="cellIs" dxfId="1" priority="5" operator="notEqual">
      <formula>13</formula>
    </cfRule>
  </conditionalFormatting>
  <conditionalFormatting sqref="G18:G651 G1013:G1111">
    <cfRule type="cellIs" dxfId="2" priority="6" operator="equal">
      <formula>10</formula>
    </cfRule>
  </conditionalFormatting>
  <conditionalFormatting sqref="G18:G651 G1013:G1111">
    <cfRule type="cellIs" dxfId="1" priority="7" operator="notEqual">
      <formula>10</formula>
    </cfRule>
  </conditionalFormatting>
  <conditionalFormatting sqref="F18:F651 F1013:F1111">
    <cfRule type="cellIs" dxfId="2" priority="8" operator="equal">
      <formula>9</formula>
    </cfRule>
  </conditionalFormatting>
  <conditionalFormatting sqref="F18:F651 F1013:F1111">
    <cfRule type="cellIs" dxfId="1" priority="9" operator="notEqual">
      <formula>9</formula>
    </cfRule>
  </conditionalFormatting>
  <conditionalFormatting sqref="J12:J13 E18:E651 E1013:E1111">
    <cfRule type="cellIs" dxfId="2" priority="10" operator="equal">
      <formula>2</formula>
    </cfRule>
  </conditionalFormatting>
  <conditionalFormatting sqref="J12:J13 E18:E651 E1013:E1111">
    <cfRule type="cellIs" dxfId="7" priority="11" operator="notEqual">
      <formula>2</formula>
    </cfRule>
  </conditionalFormatting>
  <conditionalFormatting sqref="J12:J13 D18:D651">
    <cfRule type="cellIs" dxfId="2" priority="12" operator="equal">
      <formula>1</formula>
    </cfRule>
  </conditionalFormatting>
  <conditionalFormatting sqref="J12:J13 D18:D651">
    <cfRule type="containsBlanks" dxfId="3" priority="13">
      <formula>LEN(TRIM(J12))=0</formula>
    </cfRule>
  </conditionalFormatting>
  <conditionalFormatting sqref="J12:J13 D18:D651">
    <cfRule type="cellIs" dxfId="1" priority="14" operator="notEqual">
      <formula>1</formula>
    </cfRule>
  </conditionalFormatting>
  <conditionalFormatting sqref="B18:B651 B953:B1101">
    <cfRule type="cellIs" dxfId="0" priority="15" operator="equal">
      <formula>"YES"</formula>
    </cfRule>
  </conditionalFormatting>
  <conditionalFormatting sqref="B18:B651 B953:B1101">
    <cfRule type="cellIs" dxfId="1" priority="16" operator="equal">
      <formula>"NO"</formula>
    </cfRule>
  </conditionalFormatting>
  <drawing r:id="rId1"/>
</worksheet>
</file>